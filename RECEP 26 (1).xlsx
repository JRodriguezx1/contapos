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13_ncr:1_{F90C28E6-CB30-411E-BFB6-2F58CA35DD3A}" xr6:coauthVersionLast="43" xr6:coauthVersionMax="43" xr10:uidLastSave="{00000000-0000-0000-0000-000000000000}"/>
  <bookViews>
    <workbookView xWindow="5190" yWindow="2505" windowWidth="24645" windowHeight="15645" activeTab="6" xr2:uid="{00000000-000D-0000-FFFF-FFFF00000000}"/>
  </bookViews>
  <sheets>
    <sheet name="JUN 26" sheetId="8" r:id="rId1"/>
    <sheet name="MAY 26" sheetId="7" r:id="rId2"/>
    <sheet name="ABR 26" sheetId="6" r:id="rId3"/>
    <sheet name="MAR 26" sheetId="5" r:id="rId4"/>
    <sheet name="FEB 26" sheetId="3" r:id="rId5"/>
    <sheet name="ENE 26" sheetId="2" r:id="rId6"/>
    <sheet name="Consolidado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27" i="9" l="1"/>
  <c r="I1337" i="9"/>
  <c r="I1336" i="9"/>
  <c r="I1335" i="9"/>
  <c r="I1334" i="9"/>
  <c r="I1333" i="9"/>
  <c r="I1332" i="9"/>
  <c r="I1331" i="9"/>
  <c r="I1330" i="9"/>
  <c r="I1329" i="9"/>
  <c r="I1328" i="9"/>
  <c r="I1327" i="9"/>
  <c r="I1326" i="9"/>
  <c r="I1325" i="9"/>
  <c r="I1324" i="9"/>
  <c r="I1323" i="9"/>
  <c r="I1322" i="9"/>
  <c r="I1321" i="9"/>
  <c r="I1320" i="9"/>
  <c r="I1319" i="9"/>
  <c r="I1318" i="9"/>
  <c r="I1317" i="9"/>
  <c r="I1316" i="9"/>
  <c r="I1315" i="9"/>
  <c r="I1314" i="9"/>
  <c r="I1313" i="9"/>
  <c r="I1312" i="9"/>
  <c r="I1311" i="9"/>
  <c r="I1310" i="9"/>
  <c r="I1309" i="9"/>
  <c r="I1308" i="9"/>
  <c r="I1307" i="9"/>
  <c r="I1306" i="9"/>
  <c r="I1305" i="9"/>
  <c r="I1304" i="9"/>
  <c r="I1303" i="9"/>
  <c r="I1302" i="9"/>
  <c r="I1301" i="9"/>
  <c r="I1300" i="9"/>
  <c r="I1299" i="9"/>
  <c r="I1298" i="9"/>
  <c r="I1297" i="9"/>
  <c r="I1296" i="9"/>
  <c r="I1295" i="9"/>
  <c r="I1294" i="9"/>
  <c r="I1293" i="9"/>
  <c r="I1292" i="9"/>
  <c r="I1291" i="9"/>
  <c r="I1290" i="9"/>
  <c r="I1289" i="9"/>
  <c r="I1288" i="9"/>
  <c r="I1287" i="9"/>
  <c r="I1286" i="9"/>
  <c r="I1285" i="9"/>
  <c r="I1284" i="9"/>
  <c r="I1283" i="9"/>
  <c r="I1282" i="9"/>
  <c r="I1281" i="9"/>
  <c r="I1280" i="9"/>
  <c r="I1279" i="9"/>
  <c r="I1278" i="9"/>
  <c r="I1277" i="9"/>
  <c r="I1276" i="9"/>
  <c r="I1275" i="9"/>
  <c r="I1274" i="9"/>
  <c r="I1273" i="9"/>
  <c r="I1272" i="9"/>
  <c r="I1271" i="9"/>
  <c r="I1270" i="9"/>
  <c r="I1269" i="9"/>
  <c r="I1268" i="9"/>
  <c r="I1267" i="9"/>
  <c r="I1266" i="9"/>
  <c r="I1265" i="9"/>
  <c r="I1264" i="9"/>
  <c r="I1263" i="9"/>
  <c r="I1262" i="9"/>
  <c r="I1261" i="9"/>
  <c r="I1260" i="9"/>
  <c r="I1259" i="9"/>
  <c r="I1258" i="9"/>
  <c r="I1257" i="9"/>
  <c r="I1256" i="9"/>
  <c r="I1255" i="9"/>
  <c r="I1254" i="9"/>
  <c r="I1253" i="9"/>
  <c r="I1252" i="9"/>
  <c r="I1251" i="9"/>
  <c r="I1250" i="9"/>
  <c r="I1249" i="9"/>
  <c r="I1248" i="9"/>
  <c r="I1247" i="9"/>
  <c r="I1246" i="9"/>
  <c r="I1245" i="9"/>
  <c r="I1244" i="9"/>
  <c r="I1243" i="9"/>
  <c r="I1242" i="9"/>
  <c r="I1241" i="9"/>
  <c r="I1240" i="9"/>
  <c r="I1239" i="9"/>
  <c r="I1238" i="9"/>
  <c r="I1237" i="9"/>
  <c r="I1236" i="9"/>
  <c r="I1235" i="9"/>
  <c r="I1234" i="9"/>
  <c r="I1233" i="9"/>
  <c r="I1232" i="9"/>
  <c r="I1231" i="9"/>
  <c r="I1230" i="9"/>
  <c r="I1229" i="9"/>
  <c r="I1228" i="9"/>
  <c r="I1227" i="9"/>
  <c r="I1226" i="9"/>
  <c r="I1225" i="9"/>
  <c r="I1224" i="9"/>
  <c r="I1223" i="9"/>
  <c r="I1222" i="9"/>
  <c r="I1221" i="9"/>
  <c r="I1220" i="9"/>
  <c r="I1219" i="9"/>
  <c r="I1218" i="9"/>
  <c r="I1217" i="9"/>
  <c r="I1216" i="9"/>
  <c r="I1215" i="9"/>
  <c r="I1214" i="9"/>
  <c r="I1213" i="9"/>
  <c r="I1212" i="9"/>
  <c r="I1211" i="9"/>
  <c r="I1210" i="9"/>
  <c r="I1209" i="9"/>
  <c r="I1208" i="9"/>
  <c r="I1207" i="9"/>
  <c r="I1206" i="9"/>
  <c r="I1205" i="9"/>
  <c r="I1204" i="9"/>
  <c r="I1203" i="9"/>
  <c r="I1202" i="9"/>
  <c r="I1201" i="9"/>
  <c r="I1200" i="9"/>
  <c r="I1199" i="9"/>
  <c r="I1198" i="9"/>
  <c r="I1197" i="9"/>
  <c r="I1196" i="9"/>
  <c r="I1195" i="9"/>
  <c r="I1194" i="9"/>
  <c r="I1193" i="9"/>
  <c r="I1192" i="9"/>
  <c r="I1191" i="9"/>
  <c r="I1190" i="9"/>
  <c r="I1189" i="9"/>
  <c r="I1188" i="9"/>
  <c r="I1187" i="9"/>
  <c r="I1186" i="9"/>
  <c r="I1185" i="9"/>
  <c r="I1184" i="9"/>
  <c r="I1183" i="9"/>
  <c r="I1182" i="9"/>
  <c r="I1181" i="9"/>
  <c r="I1180" i="9"/>
  <c r="I1179" i="9"/>
  <c r="I1178" i="9"/>
  <c r="I1177" i="9"/>
  <c r="I1176" i="9"/>
  <c r="I1175" i="9"/>
  <c r="I1174" i="9"/>
  <c r="I1173" i="9"/>
  <c r="I1172" i="9"/>
  <c r="I1171" i="9"/>
  <c r="I1170" i="9"/>
  <c r="I1169" i="9"/>
  <c r="I1168" i="9"/>
  <c r="I1167" i="9"/>
  <c r="I1166" i="9"/>
  <c r="I1165" i="9"/>
  <c r="I1164" i="9"/>
  <c r="I1163" i="9"/>
  <c r="I1162" i="9"/>
  <c r="I1161" i="9"/>
  <c r="I1160" i="9"/>
  <c r="I1159" i="9"/>
  <c r="I1158" i="9"/>
  <c r="I1157" i="9"/>
  <c r="I1156" i="9"/>
  <c r="I1155" i="9"/>
  <c r="I1154" i="9"/>
  <c r="I1153" i="9"/>
  <c r="I1152" i="9"/>
  <c r="I1151" i="9"/>
  <c r="I1150" i="9"/>
  <c r="I1149" i="9"/>
  <c r="I1148" i="9"/>
  <c r="I1147" i="9"/>
  <c r="I1146" i="9"/>
  <c r="I1145" i="9"/>
  <c r="I1144" i="9"/>
  <c r="I1143" i="9"/>
  <c r="I1142" i="9"/>
  <c r="I1141" i="9"/>
  <c r="I1140" i="9"/>
  <c r="I1139" i="9"/>
  <c r="I1138" i="9"/>
  <c r="I1137" i="9"/>
  <c r="I1136" i="9"/>
  <c r="I1135" i="9"/>
  <c r="I1134" i="9"/>
  <c r="I1133" i="9"/>
  <c r="I1132" i="9"/>
  <c r="I1131" i="9"/>
  <c r="I1130" i="9"/>
  <c r="I1129" i="9"/>
  <c r="I1128" i="9"/>
  <c r="I1127" i="9"/>
  <c r="I1126" i="9"/>
  <c r="I1125" i="9"/>
  <c r="I1124" i="9"/>
  <c r="I1123" i="9"/>
  <c r="I1122" i="9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2" i="9"/>
  <c r="H1337" i="9" l="1"/>
  <c r="G1337" i="9"/>
  <c r="H1336" i="9"/>
  <c r="G1336" i="9"/>
  <c r="H1335" i="9"/>
  <c r="G1335" i="9"/>
  <c r="H1334" i="9"/>
  <c r="G1334" i="9"/>
  <c r="H1333" i="9"/>
  <c r="G1333" i="9"/>
  <c r="H1332" i="9"/>
  <c r="G1332" i="9"/>
  <c r="H1331" i="9"/>
  <c r="G1331" i="9"/>
  <c r="H1330" i="9"/>
  <c r="G1330" i="9"/>
  <c r="H1329" i="9"/>
  <c r="G1329" i="9"/>
  <c r="H1328" i="9"/>
  <c r="G1328" i="9"/>
  <c r="H1327" i="9"/>
  <c r="G1327" i="9"/>
  <c r="H1326" i="9"/>
  <c r="G1326" i="9"/>
  <c r="H1325" i="9"/>
  <c r="G1325" i="9"/>
  <c r="H1324" i="9"/>
  <c r="G1324" i="9"/>
  <c r="H1323" i="9"/>
  <c r="G1323" i="9"/>
  <c r="H1322" i="9"/>
  <c r="G1322" i="9"/>
  <c r="H1321" i="9"/>
  <c r="G1321" i="9"/>
  <c r="H1320" i="9"/>
  <c r="G1320" i="9"/>
  <c r="H1319" i="9"/>
  <c r="G1319" i="9"/>
  <c r="H1318" i="9"/>
  <c r="G1318" i="9"/>
  <c r="H1317" i="9"/>
  <c r="G1317" i="9"/>
  <c r="H1316" i="9"/>
  <c r="G1316" i="9"/>
  <c r="H1315" i="9"/>
  <c r="G1315" i="9"/>
  <c r="H1314" i="9"/>
  <c r="G1314" i="9"/>
  <c r="H1313" i="9"/>
  <c r="G1313" i="9"/>
  <c r="H1312" i="9"/>
  <c r="G1312" i="9"/>
  <c r="H1311" i="9"/>
  <c r="G1311" i="9"/>
  <c r="H1310" i="9"/>
  <c r="G1310" i="9"/>
  <c r="H1309" i="9"/>
  <c r="G1309" i="9"/>
  <c r="H1308" i="9"/>
  <c r="G1308" i="9"/>
  <c r="H1307" i="9"/>
  <c r="G1307" i="9"/>
  <c r="H1306" i="9"/>
  <c r="G1306" i="9"/>
  <c r="H1305" i="9"/>
  <c r="G1305" i="9"/>
  <c r="H1304" i="9"/>
  <c r="G1304" i="9"/>
  <c r="H1303" i="9"/>
  <c r="G1303" i="9"/>
  <c r="H1302" i="9"/>
  <c r="G1302" i="9"/>
  <c r="H1301" i="9"/>
  <c r="G1301" i="9"/>
  <c r="H1300" i="9"/>
  <c r="G1300" i="9"/>
  <c r="H1299" i="9"/>
  <c r="G1299" i="9"/>
  <c r="H1298" i="9"/>
  <c r="G1298" i="9"/>
  <c r="H1297" i="9"/>
  <c r="G1297" i="9"/>
  <c r="H1296" i="9"/>
  <c r="G1296" i="9"/>
  <c r="H1295" i="9"/>
  <c r="G1295" i="9"/>
  <c r="H1294" i="9"/>
  <c r="G1294" i="9"/>
  <c r="H1293" i="9"/>
  <c r="G1293" i="9"/>
  <c r="H1292" i="9"/>
  <c r="G1292" i="9"/>
  <c r="H1291" i="9"/>
  <c r="G1291" i="9"/>
  <c r="H1290" i="9"/>
  <c r="G1290" i="9"/>
  <c r="H1289" i="9"/>
  <c r="G1289" i="9"/>
  <c r="H1288" i="9"/>
  <c r="G1288" i="9"/>
  <c r="H1287" i="9"/>
  <c r="G1287" i="9"/>
  <c r="H1286" i="9"/>
  <c r="G1286" i="9"/>
  <c r="H1285" i="9"/>
  <c r="G1285" i="9"/>
  <c r="H1284" i="9"/>
  <c r="G1284" i="9"/>
  <c r="H1283" i="9"/>
  <c r="G1283" i="9"/>
  <c r="H1282" i="9"/>
  <c r="G1282" i="9"/>
  <c r="H1281" i="9"/>
  <c r="G1281" i="9"/>
  <c r="H1280" i="9"/>
  <c r="G1280" i="9"/>
  <c r="H1279" i="9"/>
  <c r="G1279" i="9"/>
  <c r="H1278" i="9"/>
  <c r="G1278" i="9"/>
  <c r="H1277" i="9"/>
  <c r="G1277" i="9"/>
  <c r="H1276" i="9"/>
  <c r="G1276" i="9"/>
  <c r="H1275" i="9"/>
  <c r="G1275" i="9"/>
  <c r="H1274" i="9"/>
  <c r="G1274" i="9"/>
  <c r="H1273" i="9"/>
  <c r="G1273" i="9"/>
  <c r="H1272" i="9"/>
  <c r="G1272" i="9"/>
  <c r="H1271" i="9"/>
  <c r="G1271" i="9"/>
  <c r="H1270" i="9"/>
  <c r="G1270" i="9"/>
  <c r="H1269" i="9"/>
  <c r="G1269" i="9"/>
  <c r="H1268" i="9"/>
  <c r="G1268" i="9"/>
  <c r="H1267" i="9"/>
  <c r="G1267" i="9"/>
  <c r="H1266" i="9"/>
  <c r="G1266" i="9"/>
  <c r="H1265" i="9"/>
  <c r="G1265" i="9"/>
  <c r="H1264" i="9"/>
  <c r="G1264" i="9"/>
  <c r="H1263" i="9"/>
  <c r="G1263" i="9"/>
  <c r="H1262" i="9"/>
  <c r="G1262" i="9"/>
  <c r="H1261" i="9"/>
  <c r="G1261" i="9"/>
  <c r="H1260" i="9"/>
  <c r="G1260" i="9"/>
  <c r="H1259" i="9"/>
  <c r="G1259" i="9"/>
  <c r="H1258" i="9"/>
  <c r="G1258" i="9"/>
  <c r="H1257" i="9"/>
  <c r="G1257" i="9"/>
  <c r="H1256" i="9"/>
  <c r="G1256" i="9"/>
  <c r="H1255" i="9"/>
  <c r="G1255" i="9"/>
  <c r="H1254" i="9"/>
  <c r="G1254" i="9"/>
  <c r="H1253" i="9"/>
  <c r="G1253" i="9"/>
  <c r="H1252" i="9"/>
  <c r="G1252" i="9"/>
  <c r="H1251" i="9"/>
  <c r="G1251" i="9"/>
  <c r="H1250" i="9"/>
  <c r="G1250" i="9"/>
  <c r="H1249" i="9"/>
  <c r="G1249" i="9"/>
  <c r="H1248" i="9"/>
  <c r="G1248" i="9"/>
  <c r="H1247" i="9"/>
  <c r="G1247" i="9"/>
  <c r="H1246" i="9"/>
  <c r="G1246" i="9"/>
  <c r="H1245" i="9"/>
  <c r="G1245" i="9"/>
  <c r="H1244" i="9"/>
  <c r="G1244" i="9"/>
  <c r="H1243" i="9"/>
  <c r="G1243" i="9"/>
  <c r="H1242" i="9"/>
  <c r="G1242" i="9"/>
  <c r="H1241" i="9"/>
  <c r="G1241" i="9"/>
  <c r="H1240" i="9"/>
  <c r="G1240" i="9"/>
  <c r="H1239" i="9"/>
  <c r="G1239" i="9"/>
  <c r="H1238" i="9"/>
  <c r="G1238" i="9"/>
  <c r="H1237" i="9"/>
  <c r="G1237" i="9"/>
  <c r="H1236" i="9"/>
  <c r="G1236" i="9"/>
  <c r="H1235" i="9"/>
  <c r="G1235" i="9"/>
  <c r="H1234" i="9"/>
  <c r="G1234" i="9"/>
  <c r="H1233" i="9"/>
  <c r="G1233" i="9"/>
  <c r="H1232" i="9"/>
  <c r="G1232" i="9"/>
  <c r="H1231" i="9"/>
  <c r="G1231" i="9"/>
  <c r="H1230" i="9"/>
  <c r="G1230" i="9"/>
  <c r="H1229" i="9"/>
  <c r="G1229" i="9"/>
  <c r="H1228" i="9"/>
  <c r="G1228" i="9"/>
  <c r="H1227" i="9"/>
  <c r="G1227" i="9"/>
  <c r="H1226" i="9"/>
  <c r="G1226" i="9"/>
  <c r="H1225" i="9"/>
  <c r="G1225" i="9"/>
  <c r="H1224" i="9"/>
  <c r="G1224" i="9"/>
  <c r="H1223" i="9"/>
  <c r="G1223" i="9"/>
  <c r="H1222" i="9"/>
  <c r="G1222" i="9"/>
  <c r="H1221" i="9"/>
  <c r="G1221" i="9"/>
  <c r="H1220" i="9"/>
  <c r="G1220" i="9"/>
  <c r="H1219" i="9"/>
  <c r="G1219" i="9"/>
  <c r="H1218" i="9"/>
  <c r="G1218" i="9"/>
  <c r="H1217" i="9"/>
  <c r="G1217" i="9"/>
  <c r="H1216" i="9"/>
  <c r="G1216" i="9"/>
  <c r="H1215" i="9"/>
  <c r="G1215" i="9"/>
  <c r="H1214" i="9"/>
  <c r="G1214" i="9"/>
  <c r="H1213" i="9"/>
  <c r="G1213" i="9"/>
  <c r="H1212" i="9"/>
  <c r="G1212" i="9"/>
  <c r="H1211" i="9"/>
  <c r="G1211" i="9"/>
  <c r="H1210" i="9"/>
  <c r="G1210" i="9"/>
  <c r="H1209" i="9"/>
  <c r="G1209" i="9"/>
  <c r="H1208" i="9"/>
  <c r="G1208" i="9"/>
  <c r="H1207" i="9"/>
  <c r="G1207" i="9"/>
  <c r="H1206" i="9"/>
  <c r="G1206" i="9"/>
  <c r="H1205" i="9"/>
  <c r="G1205" i="9"/>
  <c r="H1204" i="9"/>
  <c r="G1204" i="9"/>
  <c r="H1203" i="9"/>
  <c r="G1203" i="9"/>
  <c r="H1202" i="9"/>
  <c r="G1202" i="9"/>
  <c r="H1201" i="9"/>
  <c r="G1201" i="9"/>
  <c r="H1200" i="9"/>
  <c r="G1200" i="9"/>
  <c r="H1199" i="9"/>
  <c r="G1199" i="9"/>
  <c r="H1198" i="9"/>
  <c r="G1198" i="9"/>
  <c r="H1197" i="9"/>
  <c r="G1197" i="9"/>
  <c r="H1196" i="9"/>
  <c r="G1196" i="9"/>
  <c r="H1195" i="9"/>
  <c r="G1195" i="9"/>
  <c r="H1194" i="9"/>
  <c r="G1194" i="9"/>
  <c r="H1193" i="9"/>
  <c r="G1193" i="9"/>
  <c r="H1192" i="9"/>
  <c r="G1192" i="9"/>
  <c r="H1191" i="9"/>
  <c r="G1191" i="9"/>
  <c r="H1190" i="9"/>
  <c r="G1190" i="9"/>
  <c r="H1189" i="9"/>
  <c r="G1189" i="9"/>
  <c r="H1188" i="9"/>
  <c r="G1188" i="9"/>
  <c r="H1187" i="9"/>
  <c r="G1187" i="9"/>
  <c r="H1186" i="9"/>
  <c r="G1186" i="9"/>
  <c r="H1185" i="9"/>
  <c r="G1185" i="9"/>
  <c r="H1184" i="9"/>
  <c r="G1184" i="9"/>
  <c r="H1183" i="9"/>
  <c r="G1183" i="9"/>
  <c r="H1182" i="9"/>
  <c r="G1182" i="9"/>
  <c r="H1181" i="9"/>
  <c r="G1181" i="9"/>
  <c r="H1180" i="9"/>
  <c r="G1180" i="9"/>
  <c r="H1179" i="9"/>
  <c r="G1179" i="9"/>
  <c r="H1178" i="9"/>
  <c r="G1178" i="9"/>
  <c r="H1177" i="9"/>
  <c r="G1177" i="9"/>
  <c r="H1176" i="9"/>
  <c r="G1176" i="9"/>
  <c r="H1175" i="9"/>
  <c r="G1175" i="9"/>
  <c r="H1174" i="9"/>
  <c r="G1174" i="9"/>
  <c r="H1173" i="9"/>
  <c r="G1173" i="9"/>
  <c r="H1172" i="9"/>
  <c r="G1172" i="9"/>
  <c r="H1171" i="9"/>
  <c r="G1171" i="9"/>
  <c r="H1170" i="9"/>
  <c r="G1170" i="9"/>
  <c r="H1169" i="9"/>
  <c r="G1169" i="9"/>
  <c r="H1168" i="9"/>
  <c r="G1168" i="9"/>
  <c r="H1167" i="9"/>
  <c r="G1167" i="9"/>
  <c r="H1166" i="9"/>
  <c r="G1166" i="9"/>
  <c r="H1165" i="9"/>
  <c r="G1165" i="9"/>
  <c r="H1164" i="9"/>
  <c r="G1164" i="9"/>
  <c r="H1163" i="9"/>
  <c r="G1163" i="9"/>
  <c r="H1162" i="9"/>
  <c r="G1162" i="9"/>
  <c r="H1161" i="9"/>
  <c r="G1161" i="9"/>
  <c r="H1160" i="9"/>
  <c r="G1160" i="9"/>
  <c r="H1159" i="9"/>
  <c r="G1159" i="9"/>
  <c r="H1158" i="9"/>
  <c r="G1158" i="9"/>
  <c r="H1157" i="9"/>
  <c r="G1157" i="9"/>
  <c r="H1156" i="9"/>
  <c r="G1156" i="9"/>
  <c r="H1155" i="9"/>
  <c r="G1155" i="9"/>
  <c r="H1154" i="9"/>
  <c r="G1154" i="9"/>
  <c r="H1153" i="9"/>
  <c r="G1153" i="9"/>
  <c r="H1152" i="9"/>
  <c r="G1152" i="9"/>
  <c r="H1151" i="9"/>
  <c r="G1151" i="9"/>
  <c r="H1150" i="9"/>
  <c r="G1150" i="9"/>
  <c r="H1149" i="9"/>
  <c r="G1149" i="9"/>
  <c r="H1148" i="9"/>
  <c r="G1148" i="9"/>
  <c r="H1147" i="9"/>
  <c r="G1147" i="9"/>
  <c r="H1146" i="9"/>
  <c r="G1146" i="9"/>
  <c r="H1145" i="9"/>
  <c r="G1145" i="9"/>
  <c r="H1144" i="9"/>
  <c r="G1144" i="9"/>
  <c r="H1143" i="9"/>
  <c r="G1143" i="9"/>
  <c r="H1142" i="9"/>
  <c r="G1142" i="9"/>
  <c r="H1141" i="9"/>
  <c r="G1141" i="9"/>
  <c r="H1140" i="9"/>
  <c r="G1140" i="9"/>
  <c r="H1139" i="9"/>
  <c r="G1139" i="9"/>
  <c r="H1138" i="9"/>
  <c r="G1138" i="9"/>
  <c r="H1137" i="9"/>
  <c r="G1137" i="9"/>
  <c r="H1136" i="9"/>
  <c r="G1136" i="9"/>
  <c r="H1135" i="9"/>
  <c r="G1135" i="9"/>
  <c r="H1134" i="9"/>
  <c r="G1134" i="9"/>
  <c r="H1133" i="9"/>
  <c r="G1133" i="9"/>
  <c r="H1132" i="9"/>
  <c r="G1132" i="9"/>
  <c r="H1131" i="9"/>
  <c r="G1131" i="9"/>
  <c r="H1130" i="9"/>
  <c r="G1130" i="9"/>
  <c r="H1129" i="9"/>
  <c r="G1129" i="9"/>
  <c r="H1128" i="9"/>
  <c r="G1128" i="9"/>
  <c r="H1127" i="9"/>
  <c r="G1127" i="9"/>
  <c r="H1126" i="9"/>
  <c r="G1126" i="9"/>
  <c r="H1125" i="9"/>
  <c r="G1125" i="9"/>
  <c r="H1124" i="9"/>
  <c r="G1124" i="9"/>
  <c r="H1123" i="9"/>
  <c r="G1123" i="9"/>
  <c r="H1122" i="9"/>
  <c r="G1122" i="9"/>
  <c r="H1121" i="9"/>
  <c r="G1121" i="9"/>
  <c r="H1120" i="9"/>
  <c r="G1120" i="9"/>
  <c r="H1119" i="9"/>
  <c r="G1119" i="9"/>
  <c r="H1118" i="9"/>
  <c r="G1118" i="9"/>
  <c r="H1117" i="9"/>
  <c r="G1117" i="9"/>
  <c r="H1116" i="9"/>
  <c r="G1116" i="9"/>
  <c r="H1115" i="9"/>
  <c r="G1115" i="9"/>
  <c r="H1114" i="9"/>
  <c r="G1114" i="9"/>
  <c r="H1113" i="9"/>
  <c r="G1113" i="9"/>
  <c r="H1112" i="9"/>
  <c r="G1112" i="9"/>
  <c r="H1111" i="9"/>
  <c r="G1111" i="9"/>
  <c r="H1110" i="9"/>
  <c r="G1110" i="9"/>
  <c r="H1109" i="9"/>
  <c r="G1109" i="9"/>
  <c r="H1108" i="9"/>
  <c r="G1108" i="9"/>
  <c r="H1107" i="9"/>
  <c r="G1107" i="9"/>
  <c r="H1106" i="9"/>
  <c r="G1106" i="9"/>
  <c r="H1105" i="9"/>
  <c r="G1105" i="9"/>
  <c r="H1104" i="9"/>
  <c r="G1104" i="9"/>
  <c r="H1103" i="9"/>
  <c r="G1103" i="9"/>
  <c r="H1102" i="9"/>
  <c r="G1102" i="9"/>
  <c r="H1101" i="9"/>
  <c r="G1101" i="9"/>
  <c r="H1100" i="9"/>
  <c r="G1100" i="9"/>
  <c r="H1099" i="9"/>
  <c r="G1099" i="9"/>
  <c r="H1098" i="9"/>
  <c r="G1098" i="9"/>
  <c r="H1097" i="9"/>
  <c r="G1097" i="9"/>
  <c r="H1096" i="9"/>
  <c r="G1096" i="9"/>
  <c r="H1095" i="9"/>
  <c r="G1095" i="9"/>
  <c r="H1094" i="9"/>
  <c r="G1094" i="9"/>
  <c r="H1093" i="9"/>
  <c r="G1093" i="9"/>
  <c r="H1092" i="9"/>
  <c r="G1092" i="9"/>
  <c r="H1091" i="9"/>
  <c r="G1091" i="9"/>
  <c r="H1090" i="9"/>
  <c r="G1090" i="9"/>
  <c r="H1089" i="9"/>
  <c r="G1089" i="9"/>
  <c r="H1088" i="9"/>
  <c r="G1088" i="9"/>
  <c r="H1087" i="9"/>
  <c r="G1087" i="9"/>
  <c r="H1086" i="9"/>
  <c r="G1086" i="9"/>
  <c r="H1085" i="9"/>
  <c r="G1085" i="9"/>
  <c r="H1084" i="9"/>
  <c r="G1084" i="9"/>
  <c r="H1083" i="9"/>
  <c r="G1083" i="9"/>
  <c r="H1082" i="9"/>
  <c r="G1082" i="9"/>
  <c r="H1081" i="9"/>
  <c r="G1081" i="9"/>
  <c r="H1080" i="9"/>
  <c r="G1080" i="9"/>
  <c r="H1079" i="9"/>
  <c r="G1079" i="9"/>
  <c r="H1078" i="9"/>
  <c r="G1078" i="9"/>
  <c r="H1077" i="9"/>
  <c r="G1077" i="9"/>
  <c r="H1076" i="9"/>
  <c r="G1076" i="9"/>
  <c r="H1075" i="9"/>
  <c r="G1075" i="9"/>
  <c r="H1074" i="9"/>
  <c r="G1074" i="9"/>
  <c r="H1073" i="9"/>
  <c r="G1073" i="9"/>
  <c r="H1072" i="9"/>
  <c r="G1072" i="9"/>
  <c r="H1071" i="9"/>
  <c r="G1071" i="9"/>
  <c r="H1070" i="9"/>
  <c r="G1070" i="9"/>
  <c r="H1069" i="9"/>
  <c r="G1069" i="9"/>
  <c r="H1068" i="9"/>
  <c r="G1068" i="9"/>
  <c r="H1067" i="9"/>
  <c r="G1067" i="9"/>
  <c r="H1066" i="9"/>
  <c r="G1066" i="9"/>
  <c r="H1065" i="9"/>
  <c r="G1065" i="9"/>
  <c r="H1064" i="9"/>
  <c r="G1064" i="9"/>
  <c r="H1063" i="9"/>
  <c r="G1063" i="9"/>
  <c r="H1062" i="9"/>
  <c r="G1062" i="9"/>
  <c r="H1061" i="9"/>
  <c r="G1061" i="9"/>
  <c r="H1060" i="9"/>
  <c r="G1060" i="9"/>
  <c r="H1059" i="9"/>
  <c r="G1059" i="9"/>
  <c r="H1058" i="9"/>
  <c r="G1058" i="9"/>
  <c r="H1057" i="9"/>
  <c r="G1057" i="9"/>
  <c r="H1056" i="9"/>
  <c r="G1056" i="9"/>
  <c r="H1055" i="9"/>
  <c r="G1055" i="9"/>
  <c r="H1054" i="9"/>
  <c r="G1054" i="9"/>
  <c r="H1053" i="9"/>
  <c r="G1053" i="9"/>
  <c r="H1052" i="9"/>
  <c r="G1052" i="9"/>
  <c r="H1051" i="9"/>
  <c r="G1051" i="9"/>
  <c r="H1050" i="9"/>
  <c r="G1050" i="9"/>
  <c r="H1049" i="9"/>
  <c r="G1049" i="9"/>
  <c r="H1048" i="9"/>
  <c r="G1048" i="9"/>
  <c r="H1047" i="9"/>
  <c r="G1047" i="9"/>
  <c r="H1046" i="9"/>
  <c r="G1046" i="9"/>
  <c r="H1045" i="9"/>
  <c r="G1045" i="9"/>
  <c r="H1044" i="9"/>
  <c r="G1044" i="9"/>
  <c r="H1043" i="9"/>
  <c r="G1043" i="9"/>
  <c r="H1042" i="9"/>
  <c r="G1042" i="9"/>
  <c r="H1041" i="9"/>
  <c r="G1041" i="9"/>
  <c r="H1040" i="9"/>
  <c r="G1040" i="9"/>
  <c r="H1039" i="9"/>
  <c r="G1039" i="9"/>
  <c r="H1038" i="9"/>
  <c r="G1038" i="9"/>
  <c r="H1037" i="9"/>
  <c r="G1037" i="9"/>
  <c r="H1036" i="9"/>
  <c r="G1036" i="9"/>
  <c r="H1035" i="9"/>
  <c r="G1035" i="9"/>
  <c r="H1034" i="9"/>
  <c r="G1034" i="9"/>
  <c r="H1033" i="9"/>
  <c r="G1033" i="9"/>
  <c r="H1032" i="9"/>
  <c r="G1032" i="9"/>
  <c r="H1031" i="9"/>
  <c r="G1031" i="9"/>
  <c r="H1030" i="9"/>
  <c r="G1030" i="9"/>
  <c r="H1029" i="9"/>
  <c r="G1029" i="9"/>
  <c r="H1028" i="9"/>
  <c r="G1028" i="9"/>
  <c r="H1027" i="9"/>
  <c r="G1027" i="9"/>
  <c r="H1026" i="9"/>
  <c r="G1026" i="9"/>
  <c r="H1025" i="9"/>
  <c r="G1025" i="9"/>
  <c r="H1024" i="9"/>
  <c r="G1024" i="9"/>
  <c r="H1023" i="9"/>
  <c r="G1023" i="9"/>
  <c r="H1022" i="9"/>
  <c r="G1022" i="9"/>
  <c r="H1021" i="9"/>
  <c r="G1021" i="9"/>
  <c r="H1020" i="9"/>
  <c r="G1020" i="9"/>
  <c r="H1019" i="9"/>
  <c r="G1019" i="9"/>
  <c r="H1018" i="9"/>
  <c r="G1018" i="9"/>
  <c r="H1017" i="9"/>
  <c r="G1017" i="9"/>
  <c r="H1016" i="9"/>
  <c r="G1016" i="9"/>
  <c r="H1015" i="9"/>
  <c r="G1015" i="9"/>
  <c r="H1014" i="9"/>
  <c r="G1014" i="9"/>
  <c r="H1013" i="9"/>
  <c r="G1013" i="9"/>
  <c r="H1012" i="9"/>
  <c r="G1012" i="9"/>
  <c r="H1011" i="9"/>
  <c r="G1011" i="9"/>
  <c r="H1010" i="9"/>
  <c r="G1010" i="9"/>
  <c r="H1009" i="9"/>
  <c r="G1009" i="9"/>
  <c r="H1008" i="9"/>
  <c r="G1008" i="9"/>
  <c r="H1007" i="9"/>
  <c r="G1007" i="9"/>
  <c r="H1006" i="9"/>
  <c r="G1006" i="9"/>
  <c r="H1005" i="9"/>
  <c r="G1005" i="9"/>
  <c r="H1004" i="9"/>
  <c r="G1004" i="9"/>
  <c r="H1003" i="9"/>
  <c r="G1003" i="9"/>
  <c r="H1002" i="9"/>
  <c r="G1002" i="9"/>
  <c r="H1001" i="9"/>
  <c r="G1001" i="9"/>
  <c r="H1000" i="9"/>
  <c r="G1000" i="9"/>
  <c r="H999" i="9"/>
  <c r="G999" i="9"/>
  <c r="H998" i="9"/>
  <c r="G998" i="9"/>
  <c r="H997" i="9"/>
  <c r="G997" i="9"/>
  <c r="H996" i="9"/>
  <c r="G996" i="9"/>
  <c r="H995" i="9"/>
  <c r="G995" i="9"/>
  <c r="H994" i="9"/>
  <c r="G994" i="9"/>
  <c r="H993" i="9"/>
  <c r="G993" i="9"/>
  <c r="H992" i="9"/>
  <c r="G992" i="9"/>
  <c r="H991" i="9"/>
  <c r="G991" i="9"/>
  <c r="H990" i="9"/>
  <c r="G990" i="9"/>
  <c r="H989" i="9"/>
  <c r="G989" i="9"/>
  <c r="H988" i="9"/>
  <c r="G988" i="9"/>
  <c r="H987" i="9"/>
  <c r="G987" i="9"/>
  <c r="H986" i="9"/>
  <c r="G986" i="9"/>
  <c r="H985" i="9"/>
  <c r="G985" i="9"/>
  <c r="H984" i="9"/>
  <c r="G984" i="9"/>
  <c r="H983" i="9"/>
  <c r="G983" i="9"/>
  <c r="H982" i="9"/>
  <c r="G982" i="9"/>
  <c r="H981" i="9"/>
  <c r="G981" i="9"/>
  <c r="H980" i="9"/>
  <c r="G980" i="9"/>
  <c r="H979" i="9"/>
  <c r="G979" i="9"/>
  <c r="H978" i="9"/>
  <c r="G978" i="9"/>
  <c r="H977" i="9"/>
  <c r="G977" i="9"/>
  <c r="H976" i="9"/>
  <c r="G976" i="9"/>
  <c r="H975" i="9"/>
  <c r="G975" i="9"/>
  <c r="H974" i="9"/>
  <c r="G974" i="9"/>
  <c r="H973" i="9"/>
  <c r="G973" i="9"/>
  <c r="H972" i="9"/>
  <c r="G972" i="9"/>
  <c r="H971" i="9"/>
  <c r="G971" i="9"/>
  <c r="H970" i="9"/>
  <c r="G970" i="9"/>
  <c r="H969" i="9"/>
  <c r="G969" i="9"/>
  <c r="H968" i="9"/>
  <c r="G968" i="9"/>
  <c r="H967" i="9"/>
  <c r="G967" i="9"/>
  <c r="H966" i="9"/>
  <c r="G966" i="9"/>
  <c r="H965" i="9"/>
  <c r="G965" i="9"/>
  <c r="H964" i="9"/>
  <c r="G964" i="9"/>
  <c r="H963" i="9"/>
  <c r="G963" i="9"/>
  <c r="H962" i="9"/>
  <c r="G962" i="9"/>
  <c r="H961" i="9"/>
  <c r="G961" i="9"/>
  <c r="H960" i="9"/>
  <c r="G960" i="9"/>
  <c r="H959" i="9"/>
  <c r="G959" i="9"/>
  <c r="H958" i="9"/>
  <c r="G958" i="9"/>
  <c r="H957" i="9"/>
  <c r="G957" i="9"/>
  <c r="H956" i="9"/>
  <c r="G956" i="9"/>
  <c r="H955" i="9"/>
  <c r="G955" i="9"/>
  <c r="H954" i="9"/>
  <c r="G954" i="9"/>
  <c r="H953" i="9"/>
  <c r="G953" i="9"/>
  <c r="H952" i="9"/>
  <c r="G952" i="9"/>
  <c r="H951" i="9"/>
  <c r="G951" i="9"/>
  <c r="H950" i="9"/>
  <c r="G950" i="9"/>
  <c r="H949" i="9"/>
  <c r="G949" i="9"/>
  <c r="H948" i="9"/>
  <c r="G948" i="9"/>
  <c r="H947" i="9"/>
  <c r="G947" i="9"/>
  <c r="H946" i="9"/>
  <c r="G946" i="9"/>
  <c r="H945" i="9"/>
  <c r="G945" i="9"/>
  <c r="H944" i="9"/>
  <c r="G944" i="9"/>
  <c r="H943" i="9"/>
  <c r="G943" i="9"/>
  <c r="H942" i="9"/>
  <c r="G942" i="9"/>
  <c r="H941" i="9"/>
  <c r="G941" i="9"/>
  <c r="H940" i="9"/>
  <c r="G940" i="9"/>
  <c r="H939" i="9"/>
  <c r="G939" i="9"/>
  <c r="H938" i="9"/>
  <c r="G938" i="9"/>
  <c r="H937" i="9"/>
  <c r="G937" i="9"/>
  <c r="H936" i="9"/>
  <c r="G936" i="9"/>
  <c r="H935" i="9"/>
  <c r="G935" i="9"/>
  <c r="H934" i="9"/>
  <c r="G934" i="9"/>
  <c r="H933" i="9"/>
  <c r="G933" i="9"/>
  <c r="H932" i="9"/>
  <c r="G932" i="9"/>
  <c r="H931" i="9"/>
  <c r="G931" i="9"/>
  <c r="H930" i="9"/>
  <c r="G930" i="9"/>
  <c r="H929" i="9"/>
  <c r="G929" i="9"/>
  <c r="H928" i="9"/>
  <c r="G928" i="9"/>
  <c r="H927" i="9"/>
  <c r="G927" i="9"/>
  <c r="H926" i="9"/>
  <c r="G926" i="9"/>
  <c r="H925" i="9"/>
  <c r="G925" i="9"/>
  <c r="H924" i="9"/>
  <c r="G924" i="9"/>
  <c r="H923" i="9"/>
  <c r="G923" i="9"/>
  <c r="H922" i="9"/>
  <c r="G922" i="9"/>
  <c r="H921" i="9"/>
  <c r="G921" i="9"/>
  <c r="H920" i="9"/>
  <c r="G920" i="9"/>
  <c r="H919" i="9"/>
  <c r="G919" i="9"/>
  <c r="H918" i="9"/>
  <c r="G918" i="9"/>
  <c r="H917" i="9"/>
  <c r="G917" i="9"/>
  <c r="H916" i="9"/>
  <c r="G916" i="9"/>
  <c r="H915" i="9"/>
  <c r="G915" i="9"/>
  <c r="H914" i="9"/>
  <c r="G914" i="9"/>
  <c r="H913" i="9"/>
  <c r="G913" i="9"/>
  <c r="H912" i="9"/>
  <c r="G912" i="9"/>
  <c r="H911" i="9"/>
  <c r="G911" i="9"/>
  <c r="H910" i="9"/>
  <c r="G910" i="9"/>
  <c r="H909" i="9"/>
  <c r="G909" i="9"/>
  <c r="H908" i="9"/>
  <c r="G908" i="9"/>
  <c r="H907" i="9"/>
  <c r="G907" i="9"/>
  <c r="H906" i="9"/>
  <c r="G906" i="9"/>
  <c r="H905" i="9"/>
  <c r="G905" i="9"/>
  <c r="H904" i="9"/>
  <c r="G904" i="9"/>
  <c r="H903" i="9"/>
  <c r="G903" i="9"/>
  <c r="H902" i="9"/>
  <c r="G902" i="9"/>
  <c r="H901" i="9"/>
  <c r="G901" i="9"/>
  <c r="H900" i="9"/>
  <c r="G900" i="9"/>
  <c r="H899" i="9"/>
  <c r="G899" i="9"/>
  <c r="H898" i="9"/>
  <c r="G898" i="9"/>
  <c r="H897" i="9"/>
  <c r="G897" i="9"/>
  <c r="H896" i="9"/>
  <c r="G896" i="9"/>
  <c r="H895" i="9"/>
  <c r="G895" i="9"/>
  <c r="H894" i="9"/>
  <c r="G894" i="9"/>
  <c r="H893" i="9"/>
  <c r="G893" i="9"/>
  <c r="H892" i="9"/>
  <c r="G892" i="9"/>
  <c r="H891" i="9"/>
  <c r="G891" i="9"/>
  <c r="H890" i="9"/>
  <c r="G890" i="9"/>
  <c r="H889" i="9"/>
  <c r="G889" i="9"/>
  <c r="H888" i="9"/>
  <c r="G888" i="9"/>
  <c r="H887" i="9"/>
  <c r="G887" i="9"/>
  <c r="H886" i="9"/>
  <c r="G886" i="9"/>
  <c r="H885" i="9"/>
  <c r="G885" i="9"/>
  <c r="H884" i="9"/>
  <c r="G884" i="9"/>
  <c r="H883" i="9"/>
  <c r="G883" i="9"/>
  <c r="H882" i="9"/>
  <c r="G882" i="9"/>
  <c r="H881" i="9"/>
  <c r="G881" i="9"/>
  <c r="H880" i="9"/>
  <c r="G880" i="9"/>
  <c r="H879" i="9"/>
  <c r="G879" i="9"/>
  <c r="H878" i="9"/>
  <c r="G878" i="9"/>
  <c r="H877" i="9"/>
  <c r="G877" i="9"/>
  <c r="H876" i="9"/>
  <c r="G876" i="9"/>
  <c r="H875" i="9"/>
  <c r="G875" i="9"/>
  <c r="H874" i="9"/>
  <c r="G874" i="9"/>
  <c r="H873" i="9"/>
  <c r="G873" i="9"/>
  <c r="H872" i="9"/>
  <c r="G872" i="9"/>
  <c r="H871" i="9"/>
  <c r="G871" i="9"/>
  <c r="H870" i="9"/>
  <c r="G870" i="9"/>
  <c r="H869" i="9"/>
  <c r="G869" i="9"/>
  <c r="H868" i="9"/>
  <c r="G868" i="9"/>
  <c r="H867" i="9"/>
  <c r="G867" i="9"/>
  <c r="H866" i="9"/>
  <c r="G866" i="9"/>
  <c r="H865" i="9"/>
  <c r="G865" i="9"/>
  <c r="H864" i="9"/>
  <c r="G864" i="9"/>
  <c r="H863" i="9"/>
  <c r="G863" i="9"/>
  <c r="H862" i="9"/>
  <c r="G862" i="9"/>
  <c r="H861" i="9"/>
  <c r="G861" i="9"/>
  <c r="H860" i="9"/>
  <c r="G860" i="9"/>
  <c r="H859" i="9"/>
  <c r="G859" i="9"/>
  <c r="H858" i="9"/>
  <c r="G858" i="9"/>
  <c r="H857" i="9"/>
  <c r="G857" i="9"/>
  <c r="H856" i="9"/>
  <c r="G856" i="9"/>
  <c r="H855" i="9"/>
  <c r="G855" i="9"/>
  <c r="H854" i="9"/>
  <c r="G854" i="9"/>
  <c r="H853" i="9"/>
  <c r="G853" i="9"/>
  <c r="H852" i="9"/>
  <c r="G852" i="9"/>
  <c r="H851" i="9"/>
  <c r="G851" i="9"/>
  <c r="H850" i="9"/>
  <c r="G850" i="9"/>
  <c r="H849" i="9"/>
  <c r="G849" i="9"/>
  <c r="H848" i="9"/>
  <c r="G848" i="9"/>
  <c r="H847" i="9"/>
  <c r="G847" i="9"/>
  <c r="H846" i="9"/>
  <c r="G846" i="9"/>
  <c r="H845" i="9"/>
  <c r="G845" i="9"/>
  <c r="H844" i="9"/>
  <c r="G844" i="9"/>
  <c r="H843" i="9"/>
  <c r="G843" i="9"/>
  <c r="H842" i="9"/>
  <c r="G842" i="9"/>
  <c r="H841" i="9"/>
  <c r="G841" i="9"/>
  <c r="H840" i="9"/>
  <c r="G840" i="9"/>
  <c r="H839" i="9"/>
  <c r="G839" i="9"/>
  <c r="H838" i="9"/>
  <c r="G838" i="9"/>
  <c r="H837" i="9"/>
  <c r="G837" i="9"/>
  <c r="H836" i="9"/>
  <c r="G836" i="9"/>
  <c r="H835" i="9"/>
  <c r="G835" i="9"/>
  <c r="H834" i="9"/>
  <c r="G834" i="9"/>
  <c r="H833" i="9"/>
  <c r="G833" i="9"/>
  <c r="H832" i="9"/>
  <c r="G832" i="9"/>
  <c r="H831" i="9"/>
  <c r="G831" i="9"/>
  <c r="H830" i="9"/>
  <c r="G830" i="9"/>
  <c r="H829" i="9"/>
  <c r="G829" i="9"/>
  <c r="H828" i="9"/>
  <c r="G828" i="9"/>
  <c r="H827" i="9"/>
  <c r="G827" i="9"/>
  <c r="H826" i="9"/>
  <c r="G826" i="9"/>
  <c r="H825" i="9"/>
  <c r="G825" i="9"/>
  <c r="H824" i="9"/>
  <c r="G824" i="9"/>
  <c r="H823" i="9"/>
  <c r="G823" i="9"/>
  <c r="H822" i="9"/>
  <c r="G822" i="9"/>
  <c r="H821" i="9"/>
  <c r="G821" i="9"/>
  <c r="H820" i="9"/>
  <c r="G820" i="9"/>
  <c r="H819" i="9"/>
  <c r="G819" i="9"/>
  <c r="H818" i="9"/>
  <c r="G818" i="9"/>
  <c r="H817" i="9"/>
  <c r="G817" i="9"/>
  <c r="H816" i="9"/>
  <c r="G816" i="9"/>
  <c r="H815" i="9"/>
  <c r="G815" i="9"/>
  <c r="H814" i="9"/>
  <c r="G814" i="9"/>
  <c r="H813" i="9"/>
  <c r="G813" i="9"/>
  <c r="H812" i="9"/>
  <c r="G812" i="9"/>
  <c r="H811" i="9"/>
  <c r="G811" i="9"/>
  <c r="H810" i="9"/>
  <c r="G810" i="9"/>
  <c r="H809" i="9"/>
  <c r="G809" i="9"/>
  <c r="H808" i="9"/>
  <c r="G808" i="9"/>
  <c r="H807" i="9"/>
  <c r="G807" i="9"/>
  <c r="H806" i="9"/>
  <c r="G806" i="9"/>
  <c r="H805" i="9"/>
  <c r="G805" i="9"/>
  <c r="H804" i="9"/>
  <c r="G804" i="9"/>
  <c r="H803" i="9"/>
  <c r="G803" i="9"/>
  <c r="H802" i="9"/>
  <c r="G802" i="9"/>
  <c r="H801" i="9"/>
  <c r="G801" i="9"/>
  <c r="H800" i="9"/>
  <c r="G800" i="9"/>
  <c r="H799" i="9"/>
  <c r="G799" i="9"/>
  <c r="H798" i="9"/>
  <c r="G798" i="9"/>
  <c r="H797" i="9"/>
  <c r="G797" i="9"/>
  <c r="H796" i="9"/>
  <c r="G796" i="9"/>
  <c r="H795" i="9"/>
  <c r="G795" i="9"/>
  <c r="H794" i="9"/>
  <c r="G794" i="9"/>
  <c r="H793" i="9"/>
  <c r="G793" i="9"/>
  <c r="H792" i="9"/>
  <c r="G792" i="9"/>
  <c r="H791" i="9"/>
  <c r="G791" i="9"/>
  <c r="H790" i="9"/>
  <c r="G790" i="9"/>
  <c r="H789" i="9"/>
  <c r="G789" i="9"/>
  <c r="H788" i="9"/>
  <c r="G788" i="9"/>
  <c r="H787" i="9"/>
  <c r="G787" i="9"/>
  <c r="H786" i="9"/>
  <c r="G786" i="9"/>
  <c r="H785" i="9"/>
  <c r="G785" i="9"/>
  <c r="H784" i="9"/>
  <c r="G784" i="9"/>
  <c r="H783" i="9"/>
  <c r="G783" i="9"/>
  <c r="H782" i="9"/>
  <c r="G782" i="9"/>
  <c r="H781" i="9"/>
  <c r="G781" i="9"/>
  <c r="H780" i="9"/>
  <c r="G780" i="9"/>
  <c r="H779" i="9"/>
  <c r="G779" i="9"/>
  <c r="H778" i="9"/>
  <c r="G778" i="9"/>
  <c r="H777" i="9"/>
  <c r="G777" i="9"/>
  <c r="H776" i="9"/>
  <c r="G776" i="9"/>
  <c r="H775" i="9"/>
  <c r="G775" i="9"/>
  <c r="H774" i="9"/>
  <c r="G774" i="9"/>
  <c r="H773" i="9"/>
  <c r="G773" i="9"/>
  <c r="H772" i="9"/>
  <c r="G772" i="9"/>
  <c r="H771" i="9"/>
  <c r="G771" i="9"/>
  <c r="H770" i="9"/>
  <c r="G770" i="9"/>
  <c r="H769" i="9"/>
  <c r="G769" i="9"/>
  <c r="H768" i="9"/>
  <c r="G768" i="9"/>
  <c r="H767" i="9"/>
  <c r="G767" i="9"/>
  <c r="H766" i="9"/>
  <c r="G766" i="9"/>
  <c r="H765" i="9"/>
  <c r="G765" i="9"/>
  <c r="H764" i="9"/>
  <c r="G764" i="9"/>
  <c r="H763" i="9"/>
  <c r="G763" i="9"/>
  <c r="H762" i="9"/>
  <c r="G762" i="9"/>
  <c r="H761" i="9"/>
  <c r="G761" i="9"/>
  <c r="H760" i="9"/>
  <c r="G760" i="9"/>
  <c r="H759" i="9"/>
  <c r="G759" i="9"/>
  <c r="H758" i="9"/>
  <c r="G758" i="9"/>
  <c r="H757" i="9"/>
  <c r="G757" i="9"/>
  <c r="H756" i="9"/>
  <c r="G756" i="9"/>
  <c r="H755" i="9"/>
  <c r="G755" i="9"/>
  <c r="H754" i="9"/>
  <c r="G754" i="9"/>
  <c r="H753" i="9"/>
  <c r="G753" i="9"/>
  <c r="H752" i="9"/>
  <c r="G752" i="9"/>
  <c r="H751" i="9"/>
  <c r="G751" i="9"/>
  <c r="H750" i="9"/>
  <c r="G750" i="9"/>
  <c r="H749" i="9"/>
  <c r="G749" i="9"/>
  <c r="H748" i="9"/>
  <c r="G748" i="9"/>
  <c r="H747" i="9"/>
  <c r="G747" i="9"/>
  <c r="H746" i="9"/>
  <c r="G746" i="9"/>
  <c r="H745" i="9"/>
  <c r="G745" i="9"/>
  <c r="H744" i="9"/>
  <c r="G744" i="9"/>
  <c r="H743" i="9"/>
  <c r="G743" i="9"/>
  <c r="H742" i="9"/>
  <c r="G742" i="9"/>
  <c r="H741" i="9"/>
  <c r="G741" i="9"/>
  <c r="H740" i="9"/>
  <c r="G740" i="9"/>
  <c r="H739" i="9"/>
  <c r="G739" i="9"/>
  <c r="H738" i="9"/>
  <c r="G738" i="9"/>
  <c r="H737" i="9"/>
  <c r="G737" i="9"/>
  <c r="H736" i="9"/>
  <c r="G736" i="9"/>
  <c r="H735" i="9"/>
  <c r="G735" i="9"/>
  <c r="H734" i="9"/>
  <c r="G734" i="9"/>
  <c r="H733" i="9"/>
  <c r="G733" i="9"/>
  <c r="H732" i="9"/>
  <c r="G732" i="9"/>
  <c r="H731" i="9"/>
  <c r="G731" i="9"/>
  <c r="H730" i="9"/>
  <c r="G730" i="9"/>
  <c r="H729" i="9"/>
  <c r="G729" i="9"/>
  <c r="H728" i="9"/>
  <c r="G728" i="9"/>
  <c r="H727" i="9"/>
  <c r="G727" i="9"/>
  <c r="H726" i="9"/>
  <c r="G726" i="9"/>
  <c r="H725" i="9"/>
  <c r="G725" i="9"/>
  <c r="H724" i="9"/>
  <c r="G724" i="9"/>
  <c r="H723" i="9"/>
  <c r="G723" i="9"/>
  <c r="H722" i="9"/>
  <c r="G722" i="9"/>
  <c r="H721" i="9"/>
  <c r="G721" i="9"/>
  <c r="H720" i="9"/>
  <c r="G720" i="9"/>
  <c r="H719" i="9"/>
  <c r="G719" i="9"/>
  <c r="H718" i="9"/>
  <c r="G718" i="9"/>
  <c r="H717" i="9"/>
  <c r="G717" i="9"/>
  <c r="H716" i="9"/>
  <c r="G716" i="9"/>
  <c r="H715" i="9"/>
  <c r="G715" i="9"/>
  <c r="H714" i="9"/>
  <c r="G714" i="9"/>
  <c r="H713" i="9"/>
  <c r="G713" i="9"/>
  <c r="H712" i="9"/>
  <c r="G712" i="9"/>
  <c r="H711" i="9"/>
  <c r="G711" i="9"/>
  <c r="H710" i="9"/>
  <c r="G710" i="9"/>
  <c r="H709" i="9"/>
  <c r="G709" i="9"/>
  <c r="H708" i="9"/>
  <c r="G708" i="9"/>
  <c r="H707" i="9"/>
  <c r="G707" i="9"/>
  <c r="H706" i="9"/>
  <c r="G706" i="9"/>
  <c r="H705" i="9"/>
  <c r="G705" i="9"/>
  <c r="H704" i="9"/>
  <c r="G704" i="9"/>
  <c r="H703" i="9"/>
  <c r="G703" i="9"/>
  <c r="H702" i="9"/>
  <c r="G702" i="9"/>
  <c r="H701" i="9"/>
  <c r="G701" i="9"/>
  <c r="H700" i="9"/>
  <c r="G700" i="9"/>
  <c r="H699" i="9"/>
  <c r="G699" i="9"/>
  <c r="H698" i="9"/>
  <c r="G698" i="9"/>
  <c r="H697" i="9"/>
  <c r="G697" i="9"/>
  <c r="H696" i="9"/>
  <c r="G696" i="9"/>
  <c r="H695" i="9"/>
  <c r="G695" i="9"/>
  <c r="H694" i="9"/>
  <c r="G694" i="9"/>
  <c r="H693" i="9"/>
  <c r="G693" i="9"/>
  <c r="H692" i="9"/>
  <c r="G692" i="9"/>
  <c r="H691" i="9"/>
  <c r="G691" i="9"/>
  <c r="H690" i="9"/>
  <c r="G690" i="9"/>
  <c r="H689" i="9"/>
  <c r="G689" i="9"/>
  <c r="H688" i="9"/>
  <c r="G688" i="9"/>
  <c r="H687" i="9"/>
  <c r="G687" i="9"/>
  <c r="H686" i="9"/>
  <c r="G686" i="9"/>
  <c r="H685" i="9"/>
  <c r="G685" i="9"/>
  <c r="H684" i="9"/>
  <c r="G684" i="9"/>
  <c r="H683" i="9"/>
  <c r="G683" i="9"/>
  <c r="H682" i="9"/>
  <c r="G682" i="9"/>
  <c r="H681" i="9"/>
  <c r="G681" i="9"/>
  <c r="H680" i="9"/>
  <c r="G680" i="9"/>
  <c r="H679" i="9"/>
  <c r="G679" i="9"/>
  <c r="H678" i="9"/>
  <c r="G678" i="9"/>
  <c r="H677" i="9"/>
  <c r="G677" i="9"/>
  <c r="H676" i="9"/>
  <c r="G676" i="9"/>
  <c r="H675" i="9"/>
  <c r="G675" i="9"/>
  <c r="H674" i="9"/>
  <c r="G674" i="9"/>
  <c r="H673" i="9"/>
  <c r="G673" i="9"/>
  <c r="H672" i="9"/>
  <c r="G672" i="9"/>
  <c r="H671" i="9"/>
  <c r="G671" i="9"/>
  <c r="H670" i="9"/>
  <c r="G670" i="9"/>
  <c r="H669" i="9"/>
  <c r="G669" i="9"/>
  <c r="H668" i="9"/>
  <c r="G668" i="9"/>
  <c r="H667" i="9"/>
  <c r="G667" i="9"/>
  <c r="H666" i="9"/>
  <c r="G666" i="9"/>
  <c r="H665" i="9"/>
  <c r="G665" i="9"/>
  <c r="H664" i="9"/>
  <c r="G664" i="9"/>
  <c r="H663" i="9"/>
  <c r="G663" i="9"/>
  <c r="H662" i="9"/>
  <c r="G662" i="9"/>
  <c r="H661" i="9"/>
  <c r="G661" i="9"/>
  <c r="H660" i="9"/>
  <c r="G660" i="9"/>
  <c r="H659" i="9"/>
  <c r="G659" i="9"/>
  <c r="H658" i="9"/>
  <c r="G658" i="9"/>
  <c r="H657" i="9"/>
  <c r="G657" i="9"/>
  <c r="H656" i="9"/>
  <c r="G656" i="9"/>
  <c r="H655" i="9"/>
  <c r="G655" i="9"/>
  <c r="H654" i="9"/>
  <c r="G654" i="9"/>
  <c r="H653" i="9"/>
  <c r="G653" i="9"/>
  <c r="H652" i="9"/>
  <c r="G652" i="9"/>
  <c r="H651" i="9"/>
  <c r="G651" i="9"/>
  <c r="H650" i="9"/>
  <c r="G650" i="9"/>
  <c r="H649" i="9"/>
  <c r="G649" i="9"/>
  <c r="H648" i="9"/>
  <c r="G648" i="9"/>
  <c r="H647" i="9"/>
  <c r="G647" i="9"/>
  <c r="H646" i="9"/>
  <c r="G646" i="9"/>
  <c r="H645" i="9"/>
  <c r="G645" i="9"/>
  <c r="H644" i="9"/>
  <c r="G644" i="9"/>
  <c r="H643" i="9"/>
  <c r="G643" i="9"/>
  <c r="H642" i="9"/>
  <c r="G642" i="9"/>
  <c r="H641" i="9"/>
  <c r="G641" i="9"/>
  <c r="H640" i="9"/>
  <c r="G640" i="9"/>
  <c r="H639" i="9"/>
  <c r="G639" i="9"/>
  <c r="H638" i="9"/>
  <c r="G638" i="9"/>
  <c r="H637" i="9"/>
  <c r="G637" i="9"/>
  <c r="H636" i="9"/>
  <c r="G636" i="9"/>
  <c r="H635" i="9"/>
  <c r="G635" i="9"/>
  <c r="H634" i="9"/>
  <c r="G634" i="9"/>
  <c r="H633" i="9"/>
  <c r="G633" i="9"/>
  <c r="H632" i="9"/>
  <c r="G632" i="9"/>
  <c r="H631" i="9"/>
  <c r="G631" i="9"/>
  <c r="H630" i="9"/>
  <c r="G630" i="9"/>
  <c r="H629" i="9"/>
  <c r="G629" i="9"/>
  <c r="H628" i="9"/>
  <c r="G628" i="9"/>
  <c r="H627" i="9"/>
  <c r="G627" i="9"/>
  <c r="H626" i="9"/>
  <c r="G626" i="9"/>
  <c r="H625" i="9"/>
  <c r="G625" i="9"/>
  <c r="H624" i="9"/>
  <c r="G624" i="9"/>
  <c r="H623" i="9"/>
  <c r="G623" i="9"/>
  <c r="H622" i="9"/>
  <c r="G622" i="9"/>
  <c r="H621" i="9"/>
  <c r="G621" i="9"/>
  <c r="H620" i="9"/>
  <c r="G620" i="9"/>
  <c r="H619" i="9"/>
  <c r="G619" i="9"/>
  <c r="H618" i="9"/>
  <c r="G618" i="9"/>
  <c r="H617" i="9"/>
  <c r="G617" i="9"/>
  <c r="H616" i="9"/>
  <c r="G616" i="9"/>
  <c r="H615" i="9"/>
  <c r="G615" i="9"/>
  <c r="H614" i="9"/>
  <c r="G614" i="9"/>
  <c r="H613" i="9"/>
  <c r="G613" i="9"/>
  <c r="H612" i="9"/>
  <c r="G612" i="9"/>
  <c r="H611" i="9"/>
  <c r="G611" i="9"/>
  <c r="H610" i="9"/>
  <c r="G610" i="9"/>
  <c r="H609" i="9"/>
  <c r="G609" i="9"/>
  <c r="H608" i="9"/>
  <c r="G608" i="9"/>
  <c r="H607" i="9"/>
  <c r="G607" i="9"/>
  <c r="H606" i="9"/>
  <c r="G606" i="9"/>
  <c r="H605" i="9"/>
  <c r="G605" i="9"/>
  <c r="H604" i="9"/>
  <c r="G604" i="9"/>
  <c r="H603" i="9"/>
  <c r="G603" i="9"/>
  <c r="H602" i="9"/>
  <c r="G602" i="9"/>
  <c r="H601" i="9"/>
  <c r="G601" i="9"/>
  <c r="H600" i="9"/>
  <c r="G600" i="9"/>
  <c r="H599" i="9"/>
  <c r="G599" i="9"/>
  <c r="H598" i="9"/>
  <c r="G598" i="9"/>
  <c r="H597" i="9"/>
  <c r="G597" i="9"/>
  <c r="H596" i="9"/>
  <c r="G596" i="9"/>
  <c r="H595" i="9"/>
  <c r="G595" i="9"/>
  <c r="H594" i="9"/>
  <c r="G594" i="9"/>
  <c r="H593" i="9"/>
  <c r="G593" i="9"/>
  <c r="H592" i="9"/>
  <c r="G592" i="9"/>
  <c r="H591" i="9"/>
  <c r="G591" i="9"/>
  <c r="H590" i="9"/>
  <c r="G590" i="9"/>
  <c r="H589" i="9"/>
  <c r="G589" i="9"/>
  <c r="H588" i="9"/>
  <c r="G588" i="9"/>
  <c r="H587" i="9"/>
  <c r="G587" i="9"/>
  <c r="H586" i="9"/>
  <c r="G586" i="9"/>
  <c r="H585" i="9"/>
  <c r="G585" i="9"/>
  <c r="H584" i="9"/>
  <c r="G584" i="9"/>
  <c r="H583" i="9"/>
  <c r="G583" i="9"/>
  <c r="H582" i="9"/>
  <c r="G582" i="9"/>
  <c r="H581" i="9"/>
  <c r="G581" i="9"/>
  <c r="H580" i="9"/>
  <c r="G580" i="9"/>
  <c r="H579" i="9"/>
  <c r="G579" i="9"/>
  <c r="H578" i="9"/>
  <c r="G578" i="9"/>
  <c r="H577" i="9"/>
  <c r="G577" i="9"/>
  <c r="H576" i="9"/>
  <c r="G576" i="9"/>
  <c r="H575" i="9"/>
  <c r="G575" i="9"/>
  <c r="H574" i="9"/>
  <c r="G574" i="9"/>
  <c r="H573" i="9"/>
  <c r="G573" i="9"/>
  <c r="H572" i="9"/>
  <c r="G572" i="9"/>
  <c r="H571" i="9"/>
  <c r="G571" i="9"/>
  <c r="H570" i="9"/>
  <c r="G570" i="9"/>
  <c r="H569" i="9"/>
  <c r="G569" i="9"/>
  <c r="H568" i="9"/>
  <c r="G568" i="9"/>
  <c r="H567" i="9"/>
  <c r="G567" i="9"/>
  <c r="H566" i="9"/>
  <c r="G566" i="9"/>
  <c r="H565" i="9"/>
  <c r="G565" i="9"/>
  <c r="H564" i="9"/>
  <c r="G564" i="9"/>
  <c r="H563" i="9"/>
  <c r="G563" i="9"/>
  <c r="H562" i="9"/>
  <c r="G562" i="9"/>
  <c r="H561" i="9"/>
  <c r="G561" i="9"/>
  <c r="H560" i="9"/>
  <c r="G560" i="9"/>
  <c r="H559" i="9"/>
  <c r="G559" i="9"/>
  <c r="H558" i="9"/>
  <c r="G558" i="9"/>
  <c r="H557" i="9"/>
  <c r="G557" i="9"/>
  <c r="H556" i="9"/>
  <c r="G556" i="9"/>
  <c r="H555" i="9"/>
  <c r="G555" i="9"/>
  <c r="H554" i="9"/>
  <c r="G554" i="9"/>
  <c r="H553" i="9"/>
  <c r="G553" i="9"/>
  <c r="H552" i="9"/>
  <c r="G552" i="9"/>
  <c r="H551" i="9"/>
  <c r="G551" i="9"/>
  <c r="H550" i="9"/>
  <c r="G550" i="9"/>
  <c r="H549" i="9"/>
  <c r="G549" i="9"/>
  <c r="H548" i="9"/>
  <c r="G548" i="9"/>
  <c r="H547" i="9"/>
  <c r="G547" i="9"/>
  <c r="H546" i="9"/>
  <c r="G546" i="9"/>
  <c r="H545" i="9"/>
  <c r="G545" i="9"/>
  <c r="H544" i="9"/>
  <c r="G544" i="9"/>
  <c r="H543" i="9"/>
  <c r="G543" i="9"/>
  <c r="H542" i="9"/>
  <c r="G542" i="9"/>
  <c r="H541" i="9"/>
  <c r="G541" i="9"/>
  <c r="H540" i="9"/>
  <c r="G540" i="9"/>
  <c r="H539" i="9"/>
  <c r="G539" i="9"/>
  <c r="H538" i="9"/>
  <c r="G538" i="9"/>
  <c r="H537" i="9"/>
  <c r="G537" i="9"/>
  <c r="H536" i="9"/>
  <c r="G536" i="9"/>
  <c r="H535" i="9"/>
  <c r="G535" i="9"/>
  <c r="H534" i="9"/>
  <c r="G534" i="9"/>
  <c r="H533" i="9"/>
  <c r="G533" i="9"/>
  <c r="H532" i="9"/>
  <c r="G532" i="9"/>
  <c r="H531" i="9"/>
  <c r="G531" i="9"/>
  <c r="H530" i="9"/>
  <c r="G530" i="9"/>
  <c r="H529" i="9"/>
  <c r="G529" i="9"/>
  <c r="H528" i="9"/>
  <c r="G528" i="9"/>
  <c r="H527" i="9"/>
  <c r="G527" i="9"/>
  <c r="H526" i="9"/>
  <c r="G526" i="9"/>
  <c r="H525" i="9"/>
  <c r="G525" i="9"/>
  <c r="H524" i="9"/>
  <c r="G524" i="9"/>
  <c r="H523" i="9"/>
  <c r="G523" i="9"/>
  <c r="H522" i="9"/>
  <c r="G522" i="9"/>
  <c r="H521" i="9"/>
  <c r="G521" i="9"/>
  <c r="H520" i="9"/>
  <c r="G520" i="9"/>
  <c r="H519" i="9"/>
  <c r="G519" i="9"/>
  <c r="H518" i="9"/>
  <c r="G518" i="9"/>
  <c r="H517" i="9"/>
  <c r="G517" i="9"/>
  <c r="H516" i="9"/>
  <c r="G516" i="9"/>
  <c r="H515" i="9"/>
  <c r="G515" i="9"/>
  <c r="H514" i="9"/>
  <c r="G514" i="9"/>
  <c r="H513" i="9"/>
  <c r="G513" i="9"/>
  <c r="H512" i="9"/>
  <c r="G512" i="9"/>
  <c r="H511" i="9"/>
  <c r="G511" i="9"/>
  <c r="H510" i="9"/>
  <c r="G510" i="9"/>
  <c r="H509" i="9"/>
  <c r="G509" i="9"/>
  <c r="H508" i="9"/>
  <c r="G508" i="9"/>
  <c r="H507" i="9"/>
  <c r="G507" i="9"/>
  <c r="H506" i="9"/>
  <c r="G506" i="9"/>
  <c r="H505" i="9"/>
  <c r="G505" i="9"/>
  <c r="H504" i="9"/>
  <c r="G504" i="9"/>
  <c r="H503" i="9"/>
  <c r="G503" i="9"/>
  <c r="H502" i="9"/>
  <c r="G502" i="9"/>
  <c r="H501" i="9"/>
  <c r="G501" i="9"/>
  <c r="H500" i="9"/>
  <c r="G500" i="9"/>
  <c r="H499" i="9"/>
  <c r="G499" i="9"/>
  <c r="H498" i="9"/>
  <c r="G498" i="9"/>
  <c r="H497" i="9"/>
  <c r="G497" i="9"/>
  <c r="H496" i="9"/>
  <c r="G496" i="9"/>
  <c r="H495" i="9"/>
  <c r="G495" i="9"/>
  <c r="H494" i="9"/>
  <c r="G494" i="9"/>
  <c r="H493" i="9"/>
  <c r="G493" i="9"/>
  <c r="H492" i="9"/>
  <c r="G492" i="9"/>
  <c r="H491" i="9"/>
  <c r="G491" i="9"/>
  <c r="H490" i="9"/>
  <c r="G490" i="9"/>
  <c r="H489" i="9"/>
  <c r="G489" i="9"/>
  <c r="H488" i="9"/>
  <c r="G488" i="9"/>
  <c r="H487" i="9"/>
  <c r="G487" i="9"/>
  <c r="H486" i="9"/>
  <c r="G486" i="9"/>
  <c r="H485" i="9"/>
  <c r="G485" i="9"/>
  <c r="H484" i="9"/>
  <c r="G484" i="9"/>
  <c r="H483" i="9"/>
  <c r="G483" i="9"/>
  <c r="H482" i="9"/>
  <c r="G482" i="9"/>
  <c r="H481" i="9"/>
  <c r="G481" i="9"/>
  <c r="H480" i="9"/>
  <c r="G480" i="9"/>
  <c r="H479" i="9"/>
  <c r="G479" i="9"/>
  <c r="H478" i="9"/>
  <c r="G478" i="9"/>
  <c r="H477" i="9"/>
  <c r="G477" i="9"/>
  <c r="H476" i="9"/>
  <c r="G476" i="9"/>
  <c r="H475" i="9"/>
  <c r="G475" i="9"/>
  <c r="H474" i="9"/>
  <c r="G474" i="9"/>
  <c r="H473" i="9"/>
  <c r="G473" i="9"/>
  <c r="H472" i="9"/>
  <c r="G472" i="9"/>
  <c r="H471" i="9"/>
  <c r="G471" i="9"/>
  <c r="H470" i="9"/>
  <c r="G470" i="9"/>
  <c r="H469" i="9"/>
  <c r="G469" i="9"/>
  <c r="H468" i="9"/>
  <c r="G468" i="9"/>
  <c r="H467" i="9"/>
  <c r="G467" i="9"/>
  <c r="H466" i="9"/>
  <c r="G466" i="9"/>
  <c r="H465" i="9"/>
  <c r="G465" i="9"/>
  <c r="H464" i="9"/>
  <c r="G464" i="9"/>
  <c r="H463" i="9"/>
  <c r="G463" i="9"/>
  <c r="H462" i="9"/>
  <c r="G462" i="9"/>
  <c r="H461" i="9"/>
  <c r="G461" i="9"/>
  <c r="H460" i="9"/>
  <c r="G460" i="9"/>
  <c r="H459" i="9"/>
  <c r="G459" i="9"/>
  <c r="H458" i="9"/>
  <c r="G458" i="9"/>
  <c r="H457" i="9"/>
  <c r="G457" i="9"/>
  <c r="H456" i="9"/>
  <c r="G456" i="9"/>
  <c r="H455" i="9"/>
  <c r="G455" i="9"/>
  <c r="H454" i="9"/>
  <c r="G454" i="9"/>
  <c r="H453" i="9"/>
  <c r="G453" i="9"/>
  <c r="H452" i="9"/>
  <c r="G452" i="9"/>
  <c r="H451" i="9"/>
  <c r="G451" i="9"/>
  <c r="H450" i="9"/>
  <c r="G450" i="9"/>
  <c r="H449" i="9"/>
  <c r="G449" i="9"/>
  <c r="H448" i="9"/>
  <c r="G448" i="9"/>
  <c r="H447" i="9"/>
  <c r="G447" i="9"/>
  <c r="H446" i="9"/>
  <c r="G446" i="9"/>
  <c r="H445" i="9"/>
  <c r="G445" i="9"/>
  <c r="H444" i="9"/>
  <c r="G444" i="9"/>
  <c r="H443" i="9"/>
  <c r="G443" i="9"/>
  <c r="H442" i="9"/>
  <c r="G442" i="9"/>
  <c r="H441" i="9"/>
  <c r="G441" i="9"/>
  <c r="H440" i="9"/>
  <c r="G440" i="9"/>
  <c r="H439" i="9"/>
  <c r="G439" i="9"/>
  <c r="H438" i="9"/>
  <c r="G438" i="9"/>
  <c r="H437" i="9"/>
  <c r="G437" i="9"/>
  <c r="H436" i="9"/>
  <c r="G436" i="9"/>
  <c r="H435" i="9"/>
  <c r="G435" i="9"/>
  <c r="H434" i="9"/>
  <c r="G434" i="9"/>
  <c r="H433" i="9"/>
  <c r="G433" i="9"/>
  <c r="H432" i="9"/>
  <c r="G432" i="9"/>
  <c r="H431" i="9"/>
  <c r="G431" i="9"/>
  <c r="H430" i="9"/>
  <c r="G430" i="9"/>
  <c r="H429" i="9"/>
  <c r="G429" i="9"/>
  <c r="H428" i="9"/>
  <c r="G428" i="9"/>
  <c r="H427" i="9"/>
  <c r="G427" i="9"/>
  <c r="H426" i="9"/>
  <c r="G426" i="9"/>
  <c r="H425" i="9"/>
  <c r="G425" i="9"/>
  <c r="H424" i="9"/>
  <c r="G424" i="9"/>
  <c r="H423" i="9"/>
  <c r="G423" i="9"/>
  <c r="H422" i="9"/>
  <c r="G422" i="9"/>
  <c r="H421" i="9"/>
  <c r="G421" i="9"/>
  <c r="H420" i="9"/>
  <c r="G420" i="9"/>
  <c r="H419" i="9"/>
  <c r="G419" i="9"/>
  <c r="H418" i="9"/>
  <c r="G418" i="9"/>
  <c r="H417" i="9"/>
  <c r="G417" i="9"/>
  <c r="H416" i="9"/>
  <c r="G416" i="9"/>
  <c r="H415" i="9"/>
  <c r="G415" i="9"/>
  <c r="H414" i="9"/>
  <c r="G414" i="9"/>
  <c r="H413" i="9"/>
  <c r="G413" i="9"/>
  <c r="H412" i="9"/>
  <c r="G412" i="9"/>
  <c r="H411" i="9"/>
  <c r="G411" i="9"/>
  <c r="H410" i="9"/>
  <c r="G410" i="9"/>
  <c r="H409" i="9"/>
  <c r="G409" i="9"/>
  <c r="H408" i="9"/>
  <c r="G408" i="9"/>
  <c r="H407" i="9"/>
  <c r="G407" i="9"/>
  <c r="H406" i="9"/>
  <c r="G406" i="9"/>
  <c r="H405" i="9"/>
  <c r="G405" i="9"/>
  <c r="H404" i="9"/>
  <c r="G404" i="9"/>
  <c r="H403" i="9"/>
  <c r="G403" i="9"/>
  <c r="H402" i="9"/>
  <c r="G402" i="9"/>
  <c r="H401" i="9"/>
  <c r="G401" i="9"/>
  <c r="H400" i="9"/>
  <c r="G400" i="9"/>
  <c r="H399" i="9"/>
  <c r="G399" i="9"/>
  <c r="H398" i="9"/>
  <c r="G398" i="9"/>
  <c r="H397" i="9"/>
  <c r="G397" i="9"/>
  <c r="H396" i="9"/>
  <c r="G396" i="9"/>
  <c r="H395" i="9"/>
  <c r="G395" i="9"/>
  <c r="H394" i="9"/>
  <c r="G394" i="9"/>
  <c r="H393" i="9"/>
  <c r="G393" i="9"/>
  <c r="H392" i="9"/>
  <c r="G392" i="9"/>
  <c r="H391" i="9"/>
  <c r="G391" i="9"/>
  <c r="H390" i="9"/>
  <c r="G390" i="9"/>
  <c r="H389" i="9"/>
  <c r="G389" i="9"/>
  <c r="H388" i="9"/>
  <c r="G388" i="9"/>
  <c r="H387" i="9"/>
  <c r="G387" i="9"/>
  <c r="H386" i="9"/>
  <c r="G386" i="9"/>
  <c r="H385" i="9"/>
  <c r="G385" i="9"/>
  <c r="H384" i="9"/>
  <c r="G384" i="9"/>
  <c r="H383" i="9"/>
  <c r="G383" i="9"/>
  <c r="H382" i="9"/>
  <c r="G382" i="9"/>
  <c r="H381" i="9"/>
  <c r="G381" i="9"/>
  <c r="H380" i="9"/>
  <c r="G380" i="9"/>
  <c r="H379" i="9"/>
  <c r="G379" i="9"/>
  <c r="H378" i="9"/>
  <c r="G378" i="9"/>
  <c r="H377" i="9"/>
  <c r="G377" i="9"/>
  <c r="H376" i="9"/>
  <c r="G376" i="9"/>
  <c r="H375" i="9"/>
  <c r="G375" i="9"/>
  <c r="H374" i="9"/>
  <c r="G374" i="9"/>
  <c r="H373" i="9"/>
  <c r="G373" i="9"/>
  <c r="H372" i="9"/>
  <c r="G372" i="9"/>
  <c r="H371" i="9"/>
  <c r="G371" i="9"/>
  <c r="H370" i="9"/>
  <c r="G370" i="9"/>
  <c r="H369" i="9"/>
  <c r="G369" i="9"/>
  <c r="H368" i="9"/>
  <c r="G368" i="9"/>
  <c r="H367" i="9"/>
  <c r="G367" i="9"/>
  <c r="H366" i="9"/>
  <c r="G366" i="9"/>
  <c r="H365" i="9"/>
  <c r="G365" i="9"/>
  <c r="H364" i="9"/>
  <c r="G364" i="9"/>
  <c r="H363" i="9"/>
  <c r="G363" i="9"/>
  <c r="H362" i="9"/>
  <c r="G362" i="9"/>
  <c r="H361" i="9"/>
  <c r="G361" i="9"/>
  <c r="H360" i="9"/>
  <c r="G360" i="9"/>
  <c r="H359" i="9"/>
  <c r="G359" i="9"/>
  <c r="H358" i="9"/>
  <c r="G358" i="9"/>
  <c r="H357" i="9"/>
  <c r="G357" i="9"/>
  <c r="H356" i="9"/>
  <c r="G356" i="9"/>
  <c r="H355" i="9"/>
  <c r="G355" i="9"/>
  <c r="H354" i="9"/>
  <c r="G354" i="9"/>
  <c r="H353" i="9"/>
  <c r="G353" i="9"/>
  <c r="H352" i="9"/>
  <c r="G352" i="9"/>
  <c r="H351" i="9"/>
  <c r="G351" i="9"/>
  <c r="H350" i="9"/>
  <c r="G350" i="9"/>
  <c r="H349" i="9"/>
  <c r="G349" i="9"/>
  <c r="H348" i="9"/>
  <c r="G348" i="9"/>
  <c r="H347" i="9"/>
  <c r="G347" i="9"/>
  <c r="H346" i="9"/>
  <c r="G346" i="9"/>
  <c r="H345" i="9"/>
  <c r="G345" i="9"/>
  <c r="H344" i="9"/>
  <c r="G344" i="9"/>
  <c r="H343" i="9"/>
  <c r="G343" i="9"/>
  <c r="H342" i="9"/>
  <c r="G342" i="9"/>
  <c r="H341" i="9"/>
  <c r="G341" i="9"/>
  <c r="H340" i="9"/>
  <c r="G340" i="9"/>
  <c r="H339" i="9"/>
  <c r="G339" i="9"/>
  <c r="H338" i="9"/>
  <c r="G338" i="9"/>
  <c r="H337" i="9"/>
  <c r="G337" i="9"/>
  <c r="H336" i="9"/>
  <c r="G336" i="9"/>
  <c r="H335" i="9"/>
  <c r="G335" i="9"/>
  <c r="H334" i="9"/>
  <c r="G334" i="9"/>
  <c r="H333" i="9"/>
  <c r="G333" i="9"/>
  <c r="H332" i="9"/>
  <c r="G332" i="9"/>
  <c r="H331" i="9"/>
  <c r="G331" i="9"/>
  <c r="H330" i="9"/>
  <c r="G330" i="9"/>
  <c r="H329" i="9"/>
  <c r="G329" i="9"/>
  <c r="H328" i="9"/>
  <c r="G328" i="9"/>
  <c r="H327" i="9"/>
  <c r="G327" i="9"/>
  <c r="H326" i="9"/>
  <c r="G326" i="9"/>
  <c r="H325" i="9"/>
  <c r="G325" i="9"/>
  <c r="H324" i="9"/>
  <c r="G324" i="9"/>
  <c r="H323" i="9"/>
  <c r="G323" i="9"/>
  <c r="H322" i="9"/>
  <c r="G322" i="9"/>
  <c r="H321" i="9"/>
  <c r="G321" i="9"/>
  <c r="H320" i="9"/>
  <c r="G320" i="9"/>
  <c r="H319" i="9"/>
  <c r="G319" i="9"/>
  <c r="H318" i="9"/>
  <c r="G318" i="9"/>
  <c r="H317" i="9"/>
  <c r="G317" i="9"/>
  <c r="H316" i="9"/>
  <c r="G316" i="9"/>
  <c r="H315" i="9"/>
  <c r="G315" i="9"/>
  <c r="H314" i="9"/>
  <c r="G314" i="9"/>
  <c r="H313" i="9"/>
  <c r="G313" i="9"/>
  <c r="H312" i="9"/>
  <c r="G312" i="9"/>
  <c r="H311" i="9"/>
  <c r="G311" i="9"/>
  <c r="H310" i="9"/>
  <c r="G310" i="9"/>
  <c r="H309" i="9"/>
  <c r="G309" i="9"/>
  <c r="H308" i="9"/>
  <c r="G308" i="9"/>
  <c r="H307" i="9"/>
  <c r="G307" i="9"/>
  <c r="H306" i="9"/>
  <c r="G306" i="9"/>
  <c r="H305" i="9"/>
  <c r="G305" i="9"/>
  <c r="H304" i="9"/>
  <c r="G304" i="9"/>
  <c r="H303" i="9"/>
  <c r="G303" i="9"/>
  <c r="H302" i="9"/>
  <c r="G302" i="9"/>
  <c r="H301" i="9"/>
  <c r="G301" i="9"/>
  <c r="H300" i="9"/>
  <c r="G300" i="9"/>
  <c r="H299" i="9"/>
  <c r="G299" i="9"/>
  <c r="H298" i="9"/>
  <c r="G298" i="9"/>
  <c r="H297" i="9"/>
  <c r="G297" i="9"/>
  <c r="H296" i="9"/>
  <c r="G296" i="9"/>
  <c r="H295" i="9"/>
  <c r="G295" i="9"/>
  <c r="H294" i="9"/>
  <c r="G294" i="9"/>
  <c r="H293" i="9"/>
  <c r="G293" i="9"/>
  <c r="H292" i="9"/>
  <c r="G292" i="9"/>
  <c r="H291" i="9"/>
  <c r="G291" i="9"/>
  <c r="H290" i="9"/>
  <c r="G290" i="9"/>
  <c r="H289" i="9"/>
  <c r="G289" i="9"/>
  <c r="H288" i="9"/>
  <c r="G288" i="9"/>
  <c r="H287" i="9"/>
  <c r="G287" i="9"/>
  <c r="H286" i="9"/>
  <c r="G286" i="9"/>
  <c r="H285" i="9"/>
  <c r="G285" i="9"/>
  <c r="H284" i="9"/>
  <c r="G284" i="9"/>
  <c r="H283" i="9"/>
  <c r="G283" i="9"/>
  <c r="H282" i="9"/>
  <c r="G282" i="9"/>
  <c r="H281" i="9"/>
  <c r="G281" i="9"/>
  <c r="H280" i="9"/>
  <c r="G280" i="9"/>
  <c r="H279" i="9"/>
  <c r="G279" i="9"/>
  <c r="H278" i="9"/>
  <c r="G278" i="9"/>
  <c r="H277" i="9"/>
  <c r="G277" i="9"/>
  <c r="H276" i="9"/>
  <c r="G276" i="9"/>
  <c r="H275" i="9"/>
  <c r="G275" i="9"/>
  <c r="H274" i="9"/>
  <c r="G274" i="9"/>
  <c r="H273" i="9"/>
  <c r="G273" i="9"/>
  <c r="H272" i="9"/>
  <c r="G272" i="9"/>
  <c r="H271" i="9"/>
  <c r="G271" i="9"/>
  <c r="H270" i="9"/>
  <c r="G270" i="9"/>
  <c r="H269" i="9"/>
  <c r="G269" i="9"/>
  <c r="H268" i="9"/>
  <c r="G268" i="9"/>
  <c r="H267" i="9"/>
  <c r="G267" i="9"/>
  <c r="H266" i="9"/>
  <c r="G266" i="9"/>
  <c r="H265" i="9"/>
  <c r="G265" i="9"/>
  <c r="H264" i="9"/>
  <c r="G264" i="9"/>
  <c r="H263" i="9"/>
  <c r="G263" i="9"/>
  <c r="H262" i="9"/>
  <c r="G262" i="9"/>
  <c r="H261" i="9"/>
  <c r="G261" i="9"/>
  <c r="H260" i="9"/>
  <c r="G260" i="9"/>
  <c r="H259" i="9"/>
  <c r="G259" i="9"/>
  <c r="H258" i="9"/>
  <c r="G258" i="9"/>
  <c r="H257" i="9"/>
  <c r="G257" i="9"/>
  <c r="H256" i="9"/>
  <c r="G256" i="9"/>
  <c r="H255" i="9"/>
  <c r="G255" i="9"/>
  <c r="H254" i="9"/>
  <c r="G254" i="9"/>
  <c r="H253" i="9"/>
  <c r="G253" i="9"/>
  <c r="H252" i="9"/>
  <c r="G252" i="9"/>
  <c r="H251" i="9"/>
  <c r="G251" i="9"/>
  <c r="H250" i="9"/>
  <c r="G250" i="9"/>
  <c r="H249" i="9"/>
  <c r="G249" i="9"/>
  <c r="H248" i="9"/>
  <c r="G248" i="9"/>
  <c r="H247" i="9"/>
  <c r="G247" i="9"/>
  <c r="H246" i="9"/>
  <c r="G246" i="9"/>
  <c r="H245" i="9"/>
  <c r="G245" i="9"/>
  <c r="H244" i="9"/>
  <c r="G244" i="9"/>
  <c r="H243" i="9"/>
  <c r="G243" i="9"/>
  <c r="H242" i="9"/>
  <c r="G242" i="9"/>
  <c r="H241" i="9"/>
  <c r="G241" i="9"/>
  <c r="H240" i="9"/>
  <c r="G240" i="9"/>
  <c r="H239" i="9"/>
  <c r="G239" i="9"/>
  <c r="H238" i="9"/>
  <c r="G238" i="9"/>
  <c r="H237" i="9"/>
  <c r="G237" i="9"/>
  <c r="H236" i="9"/>
  <c r="G236" i="9"/>
  <c r="H235" i="9"/>
  <c r="G235" i="9"/>
  <c r="H234" i="9"/>
  <c r="G234" i="9"/>
  <c r="H233" i="9"/>
  <c r="G233" i="9"/>
  <c r="H232" i="9"/>
  <c r="G232" i="9"/>
  <c r="H231" i="9"/>
  <c r="G231" i="9"/>
  <c r="H230" i="9"/>
  <c r="G230" i="9"/>
  <c r="H229" i="9"/>
  <c r="G229" i="9"/>
  <c r="H228" i="9"/>
  <c r="G228" i="9"/>
  <c r="H227" i="9"/>
  <c r="G227" i="9"/>
  <c r="H226" i="9"/>
  <c r="G226" i="9"/>
  <c r="H225" i="9"/>
  <c r="G225" i="9"/>
  <c r="H224" i="9"/>
  <c r="G224" i="9"/>
  <c r="H223" i="9"/>
  <c r="G223" i="9"/>
  <c r="H222" i="9"/>
  <c r="G222" i="9"/>
  <c r="H221" i="9"/>
  <c r="G221" i="9"/>
  <c r="H220" i="9"/>
  <c r="G220" i="9"/>
  <c r="H219" i="9"/>
  <c r="G219" i="9"/>
  <c r="H218" i="9"/>
  <c r="G218" i="9"/>
  <c r="H217" i="9"/>
  <c r="G217" i="9"/>
  <c r="H216" i="9"/>
  <c r="G216" i="9"/>
  <c r="H215" i="9"/>
  <c r="G215" i="9"/>
  <c r="H214" i="9"/>
  <c r="G214" i="9"/>
  <c r="H213" i="9"/>
  <c r="G213" i="9"/>
  <c r="H212" i="9"/>
  <c r="G212" i="9"/>
  <c r="H211" i="9"/>
  <c r="G211" i="9"/>
  <c r="H210" i="9"/>
  <c r="G210" i="9"/>
  <c r="H209" i="9"/>
  <c r="G209" i="9"/>
  <c r="H208" i="9"/>
  <c r="G208" i="9"/>
  <c r="H207" i="9"/>
  <c r="G207" i="9"/>
  <c r="H206" i="9"/>
  <c r="G206" i="9"/>
  <c r="H205" i="9"/>
  <c r="G205" i="9"/>
  <c r="H204" i="9"/>
  <c r="G204" i="9"/>
  <c r="H203" i="9"/>
  <c r="G203" i="9"/>
  <c r="H202" i="9"/>
  <c r="G202" i="9"/>
  <c r="H201" i="9"/>
  <c r="G201" i="9"/>
  <c r="H200" i="9"/>
  <c r="G200" i="9"/>
  <c r="H199" i="9"/>
  <c r="G199" i="9"/>
  <c r="H198" i="9"/>
  <c r="G198" i="9"/>
  <c r="H197" i="9"/>
  <c r="G197" i="9"/>
  <c r="H196" i="9"/>
  <c r="G196" i="9"/>
  <c r="H195" i="9"/>
  <c r="G195" i="9"/>
  <c r="H194" i="9"/>
  <c r="G194" i="9"/>
  <c r="H193" i="9"/>
  <c r="G193" i="9"/>
  <c r="H192" i="9"/>
  <c r="G192" i="9"/>
  <c r="H191" i="9"/>
  <c r="G191" i="9"/>
  <c r="H190" i="9"/>
  <c r="G190" i="9"/>
  <c r="H189" i="9"/>
  <c r="G189" i="9"/>
  <c r="H188" i="9"/>
  <c r="G188" i="9"/>
  <c r="H187" i="9"/>
  <c r="G187" i="9"/>
  <c r="H186" i="9"/>
  <c r="G186" i="9"/>
  <c r="H185" i="9"/>
  <c r="G185" i="9"/>
  <c r="H184" i="9"/>
  <c r="G184" i="9"/>
  <c r="H183" i="9"/>
  <c r="G183" i="9"/>
  <c r="H182" i="9"/>
  <c r="G182" i="9"/>
  <c r="H181" i="9"/>
  <c r="G181" i="9"/>
  <c r="H180" i="9"/>
  <c r="G180" i="9"/>
  <c r="H179" i="9"/>
  <c r="G179" i="9"/>
  <c r="H178" i="9"/>
  <c r="G178" i="9"/>
  <c r="H177" i="9"/>
  <c r="G177" i="9"/>
  <c r="H176" i="9"/>
  <c r="G176" i="9"/>
  <c r="H175" i="9"/>
  <c r="G175" i="9"/>
  <c r="H174" i="9"/>
  <c r="G174" i="9"/>
  <c r="H173" i="9"/>
  <c r="G173" i="9"/>
  <c r="H172" i="9"/>
  <c r="G172" i="9"/>
  <c r="H171" i="9"/>
  <c r="G171" i="9"/>
  <c r="H170" i="9"/>
  <c r="G170" i="9"/>
  <c r="H169" i="9"/>
  <c r="G169" i="9"/>
  <c r="H168" i="9"/>
  <c r="G168" i="9"/>
  <c r="H167" i="9"/>
  <c r="G167" i="9"/>
  <c r="H166" i="9"/>
  <c r="G166" i="9"/>
  <c r="H165" i="9"/>
  <c r="G165" i="9"/>
  <c r="H164" i="9"/>
  <c r="G164" i="9"/>
  <c r="H163" i="9"/>
  <c r="G163" i="9"/>
  <c r="H162" i="9"/>
  <c r="G162" i="9"/>
  <c r="H161" i="9"/>
  <c r="G161" i="9"/>
  <c r="H160" i="9"/>
  <c r="G160" i="9"/>
  <c r="H159" i="9"/>
  <c r="G159" i="9"/>
  <c r="H158" i="9"/>
  <c r="G158" i="9"/>
  <c r="H157" i="9"/>
  <c r="G157" i="9"/>
  <c r="H156" i="9"/>
  <c r="G156" i="9"/>
  <c r="H155" i="9"/>
  <c r="G155" i="9"/>
  <c r="H154" i="9"/>
  <c r="G154" i="9"/>
  <c r="H153" i="9"/>
  <c r="G153" i="9"/>
  <c r="H152" i="9"/>
  <c r="G152" i="9"/>
  <c r="H151" i="9"/>
  <c r="G151" i="9"/>
  <c r="H150" i="9"/>
  <c r="G150" i="9"/>
  <c r="H149" i="9"/>
  <c r="G149" i="9"/>
  <c r="H148" i="9"/>
  <c r="G148" i="9"/>
  <c r="H147" i="9"/>
  <c r="G147" i="9"/>
  <c r="H146" i="9"/>
  <c r="G146" i="9"/>
  <c r="H145" i="9"/>
  <c r="G145" i="9"/>
  <c r="H144" i="9"/>
  <c r="G144" i="9"/>
  <c r="H143" i="9"/>
  <c r="G143" i="9"/>
  <c r="H142" i="9"/>
  <c r="G142" i="9"/>
  <c r="H141" i="9"/>
  <c r="G141" i="9"/>
  <c r="H140" i="9"/>
  <c r="G140" i="9"/>
  <c r="H139" i="9"/>
  <c r="G139" i="9"/>
  <c r="H138" i="9"/>
  <c r="G138" i="9"/>
  <c r="H137" i="9"/>
  <c r="G137" i="9"/>
  <c r="H136" i="9"/>
  <c r="G136" i="9"/>
  <c r="H135" i="9"/>
  <c r="G135" i="9"/>
  <c r="H134" i="9"/>
  <c r="G134" i="9"/>
  <c r="H133" i="9"/>
  <c r="G133" i="9"/>
  <c r="H132" i="9"/>
  <c r="G132" i="9"/>
  <c r="H131" i="9"/>
  <c r="G131" i="9"/>
  <c r="H130" i="9"/>
  <c r="G130" i="9"/>
  <c r="H129" i="9"/>
  <c r="G129" i="9"/>
  <c r="H128" i="9"/>
  <c r="G128" i="9"/>
  <c r="H127" i="9"/>
  <c r="G127" i="9"/>
  <c r="H126" i="9"/>
  <c r="G126" i="9"/>
  <c r="H125" i="9"/>
  <c r="G125" i="9"/>
  <c r="H124" i="9"/>
  <c r="G124" i="9"/>
  <c r="H123" i="9"/>
  <c r="G123" i="9"/>
  <c r="H122" i="9"/>
  <c r="G122" i="9"/>
  <c r="H121" i="9"/>
  <c r="G121" i="9"/>
  <c r="H120" i="9"/>
  <c r="G120" i="9"/>
  <c r="H119" i="9"/>
  <c r="G119" i="9"/>
  <c r="H118" i="9"/>
  <c r="G118" i="9"/>
  <c r="H117" i="9"/>
  <c r="G117" i="9"/>
  <c r="H116" i="9"/>
  <c r="G116" i="9"/>
  <c r="H115" i="9"/>
  <c r="G115" i="9"/>
  <c r="H114" i="9"/>
  <c r="G114" i="9"/>
  <c r="H113" i="9"/>
  <c r="G113" i="9"/>
  <c r="H112" i="9"/>
  <c r="G112" i="9"/>
  <c r="H111" i="9"/>
  <c r="G111" i="9"/>
  <c r="H110" i="9"/>
  <c r="G110" i="9"/>
  <c r="H109" i="9"/>
  <c r="G109" i="9"/>
  <c r="H108" i="9"/>
  <c r="G108" i="9"/>
  <c r="H107" i="9"/>
  <c r="G107" i="9"/>
  <c r="H106" i="9"/>
  <c r="G106" i="9"/>
  <c r="H105" i="9"/>
  <c r="G105" i="9"/>
  <c r="H104" i="9"/>
  <c r="G104" i="9"/>
  <c r="H103" i="9"/>
  <c r="G103" i="9"/>
  <c r="H102" i="9"/>
  <c r="G102" i="9"/>
  <c r="H101" i="9"/>
  <c r="G101" i="9"/>
  <c r="H100" i="9"/>
  <c r="G100" i="9"/>
  <c r="H99" i="9"/>
  <c r="G99" i="9"/>
  <c r="H98" i="9"/>
  <c r="G98" i="9"/>
  <c r="H97" i="9"/>
  <c r="G97" i="9"/>
  <c r="H96" i="9"/>
  <c r="G96" i="9"/>
  <c r="H95" i="9"/>
  <c r="G95" i="9"/>
  <c r="H94" i="9"/>
  <c r="G94" i="9"/>
  <c r="H93" i="9"/>
  <c r="G93" i="9"/>
  <c r="H92" i="9"/>
  <c r="G92" i="9"/>
  <c r="H91" i="9"/>
  <c r="G91" i="9"/>
  <c r="H90" i="9"/>
  <c r="G90" i="9"/>
  <c r="H89" i="9"/>
  <c r="G89" i="9"/>
  <c r="H88" i="9"/>
  <c r="G88" i="9"/>
  <c r="H87" i="9"/>
  <c r="G87" i="9"/>
  <c r="H86" i="9"/>
  <c r="G86" i="9"/>
  <c r="H85" i="9"/>
  <c r="G85" i="9"/>
  <c r="H84" i="9"/>
  <c r="G84" i="9"/>
  <c r="H83" i="9"/>
  <c r="G83" i="9"/>
  <c r="H82" i="9"/>
  <c r="G82" i="9"/>
  <c r="H81" i="9"/>
  <c r="G81" i="9"/>
  <c r="H80" i="9"/>
  <c r="G80" i="9"/>
  <c r="H79" i="9"/>
  <c r="G79" i="9"/>
  <c r="H78" i="9"/>
  <c r="G78" i="9"/>
  <c r="H77" i="9"/>
  <c r="G77" i="9"/>
  <c r="H76" i="9"/>
  <c r="G76" i="9"/>
  <c r="H75" i="9"/>
  <c r="G75" i="9"/>
  <c r="H74" i="9"/>
  <c r="G74" i="9"/>
  <c r="H73" i="9"/>
  <c r="G73" i="9"/>
  <c r="H72" i="9"/>
  <c r="G72" i="9"/>
  <c r="H71" i="9"/>
  <c r="G71" i="9"/>
  <c r="H70" i="9"/>
  <c r="G70" i="9"/>
  <c r="H69" i="9"/>
  <c r="G69" i="9"/>
  <c r="H68" i="9"/>
  <c r="G68" i="9"/>
  <c r="H67" i="9"/>
  <c r="G67" i="9"/>
  <c r="H66" i="9"/>
  <c r="G66" i="9"/>
  <c r="H65" i="9"/>
  <c r="G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H57" i="9"/>
  <c r="G57" i="9"/>
  <c r="H56" i="9"/>
  <c r="G56" i="9"/>
  <c r="H55" i="9"/>
  <c r="G55" i="9"/>
  <c r="H54" i="9"/>
  <c r="G54" i="9"/>
  <c r="H53" i="9"/>
  <c r="G53" i="9"/>
  <c r="H52" i="9"/>
  <c r="G52" i="9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</calcChain>
</file>

<file path=xl/sharedStrings.xml><?xml version="1.0" encoding="utf-8"?>
<sst xmlns="http://schemas.openxmlformats.org/spreadsheetml/2006/main" count="12992" uniqueCount="2993">
  <si>
    <t xml:space="preserve">NOMBRE </t>
  </si>
  <si>
    <t>CANTIDAD</t>
  </si>
  <si>
    <t>IVA %</t>
  </si>
  <si>
    <t xml:space="preserve">P.V.P </t>
  </si>
  <si>
    <t>ETIQUETA, ROTULO, EMPAQUE</t>
  </si>
  <si>
    <t xml:space="preserve">CÓDIGO - EAN </t>
  </si>
  <si>
    <t>ACETAMINOFEN JARABE *120ML - LAPROFF</t>
  </si>
  <si>
    <t>7,000 X1</t>
  </si>
  <si>
    <t xml:space="preserve">FRASCO SELLADO *90ML DE JARABE </t>
  </si>
  <si>
    <t>OCEIRA</t>
  </si>
  <si>
    <t>8,000 X1</t>
  </si>
  <si>
    <t>CAJA *21 TABLETAS RECUBIERTAS</t>
  </si>
  <si>
    <t>SIN OBSERVACIONES</t>
  </si>
  <si>
    <t xml:space="preserve">FURM - FUROATO DE MOMETASONA CREMA X15GR </t>
  </si>
  <si>
    <t>17,000 X1</t>
  </si>
  <si>
    <t xml:space="preserve">CAJA CON TUBO SELLADO X15GR DE CREMA TOPICA </t>
  </si>
  <si>
    <t>DEXTROMETORFANO 0,3% - NOTUSIN ADULTO SUSP</t>
  </si>
  <si>
    <t>19,000 x1</t>
  </si>
  <si>
    <t>CAJA CON FRASCO SELLADO X120ML DE SUSPENSION ORAL</t>
  </si>
  <si>
    <t>SILDENAFILO 50MG - LAPRODFF</t>
  </si>
  <si>
    <t>2,000 X2</t>
  </si>
  <si>
    <t xml:space="preserve">CAJA *50TABLETAS RECUBIERTAS </t>
  </si>
  <si>
    <t xml:space="preserve">IBUPROFENO GENFAR KIDS </t>
  </si>
  <si>
    <t>15,000 X1</t>
  </si>
  <si>
    <t xml:space="preserve">CAJA CON FRASCO SELLADO *120ML JARABE </t>
  </si>
  <si>
    <t xml:space="preserve">AFRIN ADULTO </t>
  </si>
  <si>
    <t>30,000 X1</t>
  </si>
  <si>
    <t xml:space="preserve">CAJA SELLADA CON FRASCO SELLADO *15ML </t>
  </si>
  <si>
    <t xml:space="preserve">FERBIN - ACIDO VALPROICO CAPSULAS 250MG X50 CAPS </t>
  </si>
  <si>
    <t>15,000 X10</t>
  </si>
  <si>
    <t xml:space="preserve">CAJA X50 CAPSULAS DURAS </t>
  </si>
  <si>
    <t>ANTIBIL</t>
  </si>
  <si>
    <t>12,000 X1</t>
  </si>
  <si>
    <t xml:space="preserve">CAJA  *22GRAMOS DE POLVO ANTIBIL </t>
  </si>
  <si>
    <t xml:space="preserve">GASTRUM TABLETAS X48 TABLETAS </t>
  </si>
  <si>
    <t>1,600 X1</t>
  </si>
  <si>
    <t>CAJA *48 TABLETAS</t>
  </si>
  <si>
    <t>ARRURRU ROSADA 30ML</t>
  </si>
  <si>
    <t>9,000 X1</t>
  </si>
  <si>
    <t xml:space="preserve">1 COLONIA *30ML </t>
  </si>
  <si>
    <t>LORATADINA JARABE - LICOL X100ML</t>
  </si>
  <si>
    <t xml:space="preserve">FRASCO SELLADO X100ML DE SUSPENSION ORAL </t>
  </si>
  <si>
    <t>BELLAFACE *21</t>
  </si>
  <si>
    <t>32,500 X21</t>
  </si>
  <si>
    <t>CAJA SELLADA *21 TABLETAS RECUBIERTAS</t>
  </si>
  <si>
    <t>ALOPURINOL 100MG- TAB MEMPHIS</t>
  </si>
  <si>
    <t>17,500 X30</t>
  </si>
  <si>
    <t>EMES</t>
  </si>
  <si>
    <t>CAJA *30 TABLETAS</t>
  </si>
  <si>
    <t>ETORICOXIB 20MG X15 TABLETAS - BIOQUIFAR</t>
  </si>
  <si>
    <t>29,000 X15</t>
  </si>
  <si>
    <t xml:space="preserve">CAJA X15 TABLETAS ORALES </t>
  </si>
  <si>
    <t>LOSARTAN 50MG - LAPROFF</t>
  </si>
  <si>
    <t>1,500 X10</t>
  </si>
  <si>
    <t xml:space="preserve">CAJA SELLADA *300 TABLETAS RECUBIERTAS </t>
  </si>
  <si>
    <t xml:space="preserve">TERRAVITAL UNGUENTO - OXITETRACICLINA + POLIMIXINA </t>
  </si>
  <si>
    <t>28,000 X1</t>
  </si>
  <si>
    <t xml:space="preserve">CAJA CON TUBO SELLADO *10GR DE UNGUENTO OFTALMICO </t>
  </si>
  <si>
    <t xml:space="preserve">PAX NOCHE  LIMON X24 SOBRES </t>
  </si>
  <si>
    <t>3,000 X1</t>
  </si>
  <si>
    <t xml:space="preserve">CAJA *24 SOBRES </t>
  </si>
  <si>
    <t xml:space="preserve">TRIMEBUTINA + SIMETICONA 200MG/ 120MG  X30 CAJA  (X10) </t>
  </si>
  <si>
    <t>35,000 X10</t>
  </si>
  <si>
    <t xml:space="preserve">CAJA *30 TABLETAS RECUBIERTAS </t>
  </si>
  <si>
    <t>SINOVUL X21</t>
  </si>
  <si>
    <t>10,000 X21</t>
  </si>
  <si>
    <t xml:space="preserve">CAJA SELLADA X21 TABLETAS RECUBIERTAS </t>
  </si>
  <si>
    <t xml:space="preserve">CIRUELAX JALEA *150GR </t>
  </si>
  <si>
    <t>39,000 X1</t>
  </si>
  <si>
    <t xml:space="preserve">POTE CON SELLO INTERNO *150GR  DE JALEA </t>
  </si>
  <si>
    <t xml:space="preserve">PROTECTORES NOSOTRAS DIARIOS *15 UNIDADES </t>
  </si>
  <si>
    <t>3,000 X15</t>
  </si>
  <si>
    <t xml:space="preserve">PACK SELLADO *15 PROTECTORES TIPO ALGODON </t>
  </si>
  <si>
    <t xml:space="preserve">TRIATUSIC JARABE / DEXTROMETORFANO AMBROXOL Y TEOFILINA </t>
  </si>
  <si>
    <t>20,000 X1</t>
  </si>
  <si>
    <t xml:space="preserve">CAJA CON FRASCO SELLADO *120ML DE JARABE </t>
  </si>
  <si>
    <t xml:space="preserve">UMQUAN GOTAS X20ML </t>
  </si>
  <si>
    <t>74,000 X1</t>
  </si>
  <si>
    <t xml:space="preserve">CAJA CON FRASCO SELLADO DE 20ML SE SOLUCIÓN GOTAS </t>
  </si>
  <si>
    <t>SUERO FISIOLÓGICO/ CLORURO SODIO CORPAUL 500ML/CC</t>
  </si>
  <si>
    <t>6,000 X1</t>
  </si>
  <si>
    <t xml:space="preserve">FRASCO SELLADO *500ML DE SOLUCIÓN INYECTABLE </t>
  </si>
  <si>
    <t xml:space="preserve">BALANCE FORTE / ACETAMINOFEN + CAFEINA  325/65MG </t>
  </si>
  <si>
    <t xml:space="preserve">CAJA X30 TABLETAS EN BLISTER DE 10 C/U </t>
  </si>
  <si>
    <t>BETADIP *40GR</t>
  </si>
  <si>
    <t>11,000 X1</t>
  </si>
  <si>
    <t>CAJA CON TUBO SELLADO *40GR DE CREMA TÓPICA</t>
  </si>
  <si>
    <t xml:space="preserve">DIANE 35 </t>
  </si>
  <si>
    <t>18,000 X1</t>
  </si>
  <si>
    <t>CAJA SELLADA *21 GRAGEAS</t>
  </si>
  <si>
    <t>MULTISOLUTER *50ML</t>
  </si>
  <si>
    <t>16,000 X1</t>
  </si>
  <si>
    <t xml:space="preserve">CAJA CON FRASCO SELLADO *50ML DE AGUA ESTÉRIL PARA LENTES </t>
  </si>
  <si>
    <t xml:space="preserve">LOSARTAN 50MG -ECAR </t>
  </si>
  <si>
    <t>2,000 X15</t>
  </si>
  <si>
    <t xml:space="preserve">CAJA *300 TABLETAS RECUBIERTAS </t>
  </si>
  <si>
    <t xml:space="preserve">ENALAPRIL 5MG  COASPHARMA X50 TABLETAS </t>
  </si>
  <si>
    <t>10,000 X50</t>
  </si>
  <si>
    <t xml:space="preserve">CAJA X50 TABLETAS ORALES </t>
  </si>
  <si>
    <t>GENOPRAZOL 20MG</t>
  </si>
  <si>
    <t>18,000 X14</t>
  </si>
  <si>
    <t>CAJA *14 CÁPSULAS</t>
  </si>
  <si>
    <t xml:space="preserve">NAPROXENO 500MG  x300 tabs </t>
  </si>
  <si>
    <t>5,000 X10</t>
  </si>
  <si>
    <t>CAJA SELLADA *300 TABLETAS RECUBIERTAS</t>
  </si>
  <si>
    <t>LEVETIRACETAM 500MG / LEPILEV X30 HETERO</t>
  </si>
  <si>
    <t>33,000 X30</t>
  </si>
  <si>
    <t xml:space="preserve">CAJA X30 TABLETAS ORALES EN BLISTER DE 10 C/U </t>
  </si>
  <si>
    <t xml:space="preserve">BETAMETASONA CREMA 0,05% CREMA X40GR - COASPHARMA </t>
  </si>
  <si>
    <t>10,000 X1</t>
  </si>
  <si>
    <t xml:space="preserve">CAJA CON TUBO SELLADO X20GR DE CREMA TOPICA </t>
  </si>
  <si>
    <t xml:space="preserve">PANOTIL B GOTAS - POLIMIXINA, NEOMICINA, BETAMETASONA, LIDOCAINA </t>
  </si>
  <si>
    <t>26,000 X1</t>
  </si>
  <si>
    <t>CAJA CON FRASCO SELLADO *8ML DE SOLUCIÓN ÓTICA</t>
  </si>
  <si>
    <t xml:space="preserve">METSAFE 1000MG - METFORMINA 1000MG X30 TABLETAS </t>
  </si>
  <si>
    <t>18,000 X10</t>
  </si>
  <si>
    <t xml:space="preserve">CAJA X30 TABLETAS </t>
  </si>
  <si>
    <t xml:space="preserve">NIXODERM UNGÜENTO X20GR/ AZUFRE + ACIDO SALICILICO + ACIDO BENZOICO </t>
  </si>
  <si>
    <t>13,000 X1</t>
  </si>
  <si>
    <t xml:space="preserve">LATA SELLADA *20GR DE UNGÜENTO TÓPICO </t>
  </si>
  <si>
    <t xml:space="preserve">ELECTROLIT UVA </t>
  </si>
  <si>
    <t>FRASCO SELLADO DE SOLUCIÓN ORAL *625ML</t>
  </si>
  <si>
    <t>ENZYMAX 60CAP HEALTHY AME</t>
  </si>
  <si>
    <t>16,000 X10</t>
  </si>
  <si>
    <t>CAJA SELLADA X60 CAPSULAS - SUPLEMENTO DIETARIO</t>
  </si>
  <si>
    <t xml:space="preserve">FACETIX SUAVE </t>
  </si>
  <si>
    <t>13000 X28</t>
  </si>
  <si>
    <t xml:space="preserve">CAJA SELLADA X28 TABLETAS RECUBIERTAS </t>
  </si>
  <si>
    <t xml:space="preserve">HIELO MINERAL SPRAY *120ML CON CANNBIS  </t>
  </si>
  <si>
    <t>11,500 X120ML</t>
  </si>
  <si>
    <t>FRASCO *120ML LOCIÓN REFRESCANTE</t>
  </si>
  <si>
    <t>IBUPROFENO SUSP- COASPHARMA</t>
  </si>
  <si>
    <t xml:space="preserve">QUETIAPINA 25MG- GENFAR X30 TABS </t>
  </si>
  <si>
    <t>16,000 X30</t>
  </si>
  <si>
    <t>CAJA *30 COMPRIMIDOS RECUBIERTOS</t>
  </si>
  <si>
    <t xml:space="preserve">INHALOCAMARA ADULTO- RESPIRANDO MEJOR </t>
  </si>
  <si>
    <t xml:space="preserve">CAJA SELLADA CON INHALOCÁMARA ADULTO </t>
  </si>
  <si>
    <t>DIFENHIDRAMINA SUSP- LICOL</t>
  </si>
  <si>
    <t>CAJA *120ML DE JARABE</t>
  </si>
  <si>
    <t>CALADERM - ROSADO</t>
  </si>
  <si>
    <t xml:space="preserve">FRASCO *120ML DE SUSPENSIÓN TÓPICA </t>
  </si>
  <si>
    <t xml:space="preserve">CIRUELAX FORTE *60 COMPRIMIDOS </t>
  </si>
  <si>
    <t>1,300 X1</t>
  </si>
  <si>
    <t>CAJA *60 COMPRIMIDOS</t>
  </si>
  <si>
    <t xml:space="preserve">PENTOXIFILINA </t>
  </si>
  <si>
    <t>23,000 X10</t>
  </si>
  <si>
    <t>CAJA * 30 TABLETAS DE LIBERACIÓN PROLONGADA</t>
  </si>
  <si>
    <t xml:space="preserve">LAGRIMART / CARBOXIMETILCELULOSA GOTAS 05% </t>
  </si>
  <si>
    <t xml:space="preserve">CAJA CON FRASCO SELLADO X5ML DE GOAS OFTALMICAS </t>
  </si>
  <si>
    <t xml:space="preserve">NAZIL OFTENO - NAFAZOLINA 0,1% </t>
  </si>
  <si>
    <t>16,500 X1</t>
  </si>
  <si>
    <t xml:space="preserve">CAJA CON FRASCO SELLADO *15ML DE SOLUCIÓN OFTÁLMICA </t>
  </si>
  <si>
    <t xml:space="preserve">DICLOFENACO RECTARD AG </t>
  </si>
  <si>
    <t>8,000 x10</t>
  </si>
  <si>
    <t xml:space="preserve">CAJA *20 CAPSULAS DE LIBERACION PROLONGADA </t>
  </si>
  <si>
    <t>IBUPROFENO 800MG *300 TAB - LAPROFF</t>
  </si>
  <si>
    <t>3,000 X10</t>
  </si>
  <si>
    <t xml:space="preserve">O.K.A.P - TRAMADOL CLORHIDRATO 37,5MG + ACETAMINOFEN 325MG </t>
  </si>
  <si>
    <t>22,000 x10</t>
  </si>
  <si>
    <t xml:space="preserve">CAJA X10 CAPSULAS </t>
  </si>
  <si>
    <t>CLOTRIMAZOL VAGINAL 2% - MEMPHIS</t>
  </si>
  <si>
    <t>CAJA CON TUBO SELLADO  + APLICADORES</t>
  </si>
  <si>
    <t xml:space="preserve">AMOXICILINA SUSP AG </t>
  </si>
  <si>
    <t xml:space="preserve">FRASCO SELLADO *100ML POLVO PARA RECONSTRUIR </t>
  </si>
  <si>
    <t xml:space="preserve">PEDIALYTE FRESA 60 mEq </t>
  </si>
  <si>
    <t xml:space="preserve">FRASCO SELLADO *500ML DE SOLUCIÓN REHIDRATANTE </t>
  </si>
  <si>
    <t>TRAVAD TECNOQUIMICAS - RECTAL X133ML</t>
  </si>
  <si>
    <t>27,5000 X1</t>
  </si>
  <si>
    <t xml:space="preserve">BOLSA SELLADA X133ML DE ENEMA RECTAL </t>
  </si>
  <si>
    <t>OMEPRAZOL 20 MG - CHINOIN / FARMACOL</t>
  </si>
  <si>
    <t>2,500 X15</t>
  </si>
  <si>
    <t>CAJA X 300 CAPSULAS</t>
  </si>
  <si>
    <t>DERMASKIN *40GR</t>
  </si>
  <si>
    <t>22000 X1</t>
  </si>
  <si>
    <t xml:space="preserve">CAJA CON TUBO SELLADO *40GR DE CREMA TÓPICA </t>
  </si>
  <si>
    <t xml:space="preserve">ELECTROLIT FRESA </t>
  </si>
  <si>
    <t xml:space="preserve">PERIOGARD ENJUAGUE COLGATE </t>
  </si>
  <si>
    <t xml:space="preserve">CAJA SELLADA * 250ML CONTENIDO </t>
  </si>
  <si>
    <t>MICROGYNON 30 *21</t>
  </si>
  <si>
    <t>CAJA SELLADA * 21 COMPRIMIDOS RECUBIERTOS</t>
  </si>
  <si>
    <t xml:space="preserve">FIBRILOK ACIDO TRANEXAMICO X10 TABLETAS </t>
  </si>
  <si>
    <t>24,000 X10</t>
  </si>
  <si>
    <t xml:space="preserve">CAJA X10 TABLETAS </t>
  </si>
  <si>
    <t>DERMASKIN *20GR</t>
  </si>
  <si>
    <t xml:space="preserve">CAJA CON TUBO SELLADO *20GR DE CREMA TÓPICA </t>
  </si>
  <si>
    <t xml:space="preserve">DOLINSTAN JARABE *120ML - IBUPROFENO 100MG/ 5ML </t>
  </si>
  <si>
    <t xml:space="preserve">CAJA CON FRASCO SELLADO *120ML SUSPENSIÓN ORAL </t>
  </si>
  <si>
    <t>VILTALFER FRASCO</t>
  </si>
  <si>
    <t>32,000 X1</t>
  </si>
  <si>
    <t xml:space="preserve">CAJA CON FRASCO X550ML DE SUSPENSIÓN ORAL </t>
  </si>
  <si>
    <t xml:space="preserve">MOVIDOL *48 TABS </t>
  </si>
  <si>
    <t>4,000 X2</t>
  </si>
  <si>
    <t>CAJA *48 TABKETAS RECUBIERTAS</t>
  </si>
  <si>
    <t xml:space="preserve">ACICLOVIR 5% CREMA  ANGLOPHARMA </t>
  </si>
  <si>
    <t xml:space="preserve">CAJA CON TUBO SELLADO *15GR DE CREMA TÓPICA </t>
  </si>
  <si>
    <t>ALGINACID SUSP</t>
  </si>
  <si>
    <t>CAJA CON FRASCO SELLADO *360ML DE SUSPENSION ORAL</t>
  </si>
  <si>
    <t>PROPOTUSSIN NIÑOS</t>
  </si>
  <si>
    <t xml:space="preserve">CAJA CON FRASCO SELLADO *180GR DE JALEA ORAL </t>
  </si>
  <si>
    <t xml:space="preserve">DOLEX FORTE TABLETAS *100 TABS </t>
  </si>
  <si>
    <t>1,900 X1</t>
  </si>
  <si>
    <t>CAJA *100 TABLETAS RECUBIERTAS</t>
  </si>
  <si>
    <t xml:space="preserve">DIPIRONA TABLETAS X50 - ECAR </t>
  </si>
  <si>
    <t>4,500 x10</t>
  </si>
  <si>
    <t xml:space="preserve">CAJA X50 TABLETAS EN BLISTER DE 10 C/U </t>
  </si>
  <si>
    <t xml:space="preserve">CLORHEXIDINA 0,12% ENJUAGUE X180ML  - DOLAPCK ENCIAS </t>
  </si>
  <si>
    <t>41,000 X180ML</t>
  </si>
  <si>
    <t xml:space="preserve">PACK SELLADO X180ML DE ENJUAGUE BUCAL + SEDA DENTAL 15MTS </t>
  </si>
  <si>
    <t>TENA SLIP COMFORT TALLA XL X9</t>
  </si>
  <si>
    <t>38,000 X9</t>
  </si>
  <si>
    <t xml:space="preserve">PACK SELLADO X9 PAÑALES </t>
  </si>
  <si>
    <t xml:space="preserve">CLOTRIMAZOL VAGINAL 1% - LAPROFF X40GR </t>
  </si>
  <si>
    <t xml:space="preserve">CAJA CON APLICADORES EN EMPAQUE INDIVIDUAL CADA UNO + TUBO DE CREMA VAGINAL SELLADO </t>
  </si>
  <si>
    <t xml:space="preserve">MIEL DE ROSAS - PROMARQUIN </t>
  </si>
  <si>
    <t>2,000 X1</t>
  </si>
  <si>
    <t xml:space="preserve">KETOPROFENO X6 AMPOLLAS - GENFAR </t>
  </si>
  <si>
    <t xml:space="preserve">CAJA X6 AMPOLLAS SOLUCION INYECTABLE </t>
  </si>
  <si>
    <t xml:space="preserve">ACTIVIRAL UNGUENTO </t>
  </si>
  <si>
    <t xml:space="preserve">CAJA CON TUBO SELLADO X15 GRAMOS DE CREMA TOPICA </t>
  </si>
  <si>
    <t>DICLOFENACO + HIDROXIDO ALUMINIO CAPS X10</t>
  </si>
  <si>
    <t xml:space="preserve">CAJA X20 CAPSULAS BLANDAS </t>
  </si>
  <si>
    <t>FLUCONAZOL 150MG X10- MEMPHIS</t>
  </si>
  <si>
    <t>1,500 X1</t>
  </si>
  <si>
    <t>CAJA *10 CÁPSULA</t>
  </si>
  <si>
    <t>FLUOXETINA 20MG *300 CAPS- LAPROFF</t>
  </si>
  <si>
    <t>CAJA SELLADA *300 CÁPSULAS</t>
  </si>
  <si>
    <t xml:space="preserve">DESLORATADINA 5MG - LAPROFF X10 </t>
  </si>
  <si>
    <t>8,000 X10</t>
  </si>
  <si>
    <t xml:space="preserve">CAJA X10 TABLETAS ORALES </t>
  </si>
  <si>
    <t xml:space="preserve">CALADERM CLEAR PLUS LOCIÓN </t>
  </si>
  <si>
    <t>PACK CALADERM SELLADO DE 120ML LOCIÓN TÓPICA</t>
  </si>
  <si>
    <t xml:space="preserve">SEAMIB 1GR- SECNIDAZOL X2 TABS </t>
  </si>
  <si>
    <t>10,000 X2</t>
  </si>
  <si>
    <t xml:space="preserve">CAJA X2 TABLETAS ORALES </t>
  </si>
  <si>
    <t>IBUFLASH MIGRAN X30</t>
  </si>
  <si>
    <t>4,400 x2</t>
  </si>
  <si>
    <t>CAJA SELLADA *30 CAPSULAS LIQUIDAS</t>
  </si>
  <si>
    <t>AZITROMICINA LAPROFF X30 TABLETAS</t>
  </si>
  <si>
    <t>6,000 X3</t>
  </si>
  <si>
    <t xml:space="preserve">CAJA X30 TABLETAS RECUBIERTAS EN BLISTER DE 3 C/U </t>
  </si>
  <si>
    <t xml:space="preserve">BERODUAL INHALADOR - BROMURO DE IPRATROPIO </t>
  </si>
  <si>
    <t>38,000 X1</t>
  </si>
  <si>
    <t>CAJA SELLADA X1 INHALADOR BUCAL</t>
  </si>
  <si>
    <t xml:space="preserve">LEVADURA CERVEZA - X100 TABS BOTANITAS </t>
  </si>
  <si>
    <t>16,000 X100</t>
  </si>
  <si>
    <t xml:space="preserve">FRASCO SELLADO X100 CAPSULAS </t>
  </si>
  <si>
    <t>CITRATO MAGNESIO *90 CAPS - MEDICK</t>
  </si>
  <si>
    <t>53,500 X90</t>
  </si>
  <si>
    <t>FRASCO SELLADO *90 CAPSULAS</t>
  </si>
  <si>
    <t xml:space="preserve">HIDRAPLUS 75 MANZANA  VERDE X4 SACHET </t>
  </si>
  <si>
    <t>3,500 X1</t>
  </si>
  <si>
    <t xml:space="preserve">FRASCO SELLADO *400ML DE SOLUCIÓN ORAL </t>
  </si>
  <si>
    <t>HIDRAPLUS ZINC 75 CEREZA X 4 SACHETS</t>
  </si>
  <si>
    <t xml:space="preserve">CAJA SELLADA * 4 SACHETS </t>
  </si>
  <si>
    <t xml:space="preserve">ELECTROLIT FRESA- KIWI </t>
  </si>
  <si>
    <t>FRASCO SELLADO DE SOLUCIÓN ORAL X625ML</t>
  </si>
  <si>
    <t>AMLODIPINO 5MG *300 TABS</t>
  </si>
  <si>
    <t>1500 X10</t>
  </si>
  <si>
    <t xml:space="preserve">CAJA SELLADA *300 TABELTAS </t>
  </si>
  <si>
    <t>BACTRODERM SOLUCIÓN *60ML</t>
  </si>
  <si>
    <t xml:space="preserve">FRASCO SELLADO X60ML DE ANTISEPTICO- SOLUCIÓN </t>
  </si>
  <si>
    <t>CEFALEXINA 500MG *250 CAPS RECIPE</t>
  </si>
  <si>
    <t>7,000 X10</t>
  </si>
  <si>
    <t>CAJA *250 CÁPSULAS</t>
  </si>
  <si>
    <t>LUMBAL FORTE *36 TAB</t>
  </si>
  <si>
    <t xml:space="preserve">CAJA *36 TABLETAS </t>
  </si>
  <si>
    <t xml:space="preserve">TAXEN - NITAZOXANIDA TABLETAS </t>
  </si>
  <si>
    <t>15,000 X6</t>
  </si>
  <si>
    <t xml:space="preserve">CAJA *6 TABLETAS VIA ORAL </t>
  </si>
  <si>
    <t>GENOPRAZOL 10MG</t>
  </si>
  <si>
    <t>9,000 X14</t>
  </si>
  <si>
    <t>LOSARTAN 50MG - EXPOFARMA X30</t>
  </si>
  <si>
    <t>5,000 X30</t>
  </si>
  <si>
    <t xml:space="preserve">CAJA *30 TABLETAS </t>
  </si>
  <si>
    <t>GLIBENCLAMIDA TABLETAS X30</t>
  </si>
  <si>
    <t xml:space="preserve">MONURIL 3G - FOSFOMICINA </t>
  </si>
  <si>
    <t>22,000 X1</t>
  </si>
  <si>
    <t xml:space="preserve">CAJA X1 SOBRE DE GRANULADO </t>
  </si>
  <si>
    <t xml:space="preserve">CAPTOPRIL 50 MG - RECIPE </t>
  </si>
  <si>
    <t>6000 X30</t>
  </si>
  <si>
    <t xml:space="preserve">CAJA SELLADA *30 TABLETAS RECUBIERTAS </t>
  </si>
  <si>
    <t>LEVOTIROXINA 50MG - COLMED</t>
  </si>
  <si>
    <t>7,000 x15</t>
  </si>
  <si>
    <t xml:space="preserve">CAJA *150 TABLETAS </t>
  </si>
  <si>
    <t xml:space="preserve">DEFLAZACORT 6MG X10 TABS - GENFAR </t>
  </si>
  <si>
    <t>10,000 x10</t>
  </si>
  <si>
    <t xml:space="preserve">CAJA X10 TABLETAS VI ORAL </t>
  </si>
  <si>
    <t xml:space="preserve">MICROGYNON SUAVE </t>
  </si>
  <si>
    <t>CAJA SELLADA *21 COMPRIMIDOS RECUBIERTOS</t>
  </si>
  <si>
    <t xml:space="preserve">AZITROMICINA TABS X3 600MG / DELTAZITROM </t>
  </si>
  <si>
    <t>7,000 X3</t>
  </si>
  <si>
    <t xml:space="preserve">CAJA X3 TABLETAS VIA ORAL </t>
  </si>
  <si>
    <t xml:space="preserve">BETAHISTINA 16MG  - GENFAR X20 </t>
  </si>
  <si>
    <t>4,000 X1</t>
  </si>
  <si>
    <t xml:space="preserve">CAJA X20 TABLETAS </t>
  </si>
  <si>
    <t xml:space="preserve">DICLOXACILINA 500MG - AG X50 CAPS </t>
  </si>
  <si>
    <t xml:space="preserve">CAJA *50 CÁPSULAS </t>
  </si>
  <si>
    <t xml:space="preserve">RECOLECTOR CROPOLOGICO CEPILAB </t>
  </si>
  <si>
    <t>800 X1</t>
  </si>
  <si>
    <t>BOLSA SELLADA *1 FRASCO RECOLECTOR DE MUESTRA</t>
  </si>
  <si>
    <t>DIOVAN - VALSARTAN 320 MG X14</t>
  </si>
  <si>
    <t>51,000 X14</t>
  </si>
  <si>
    <t xml:space="preserve">CAJA X14 TABLETAS EN CAJA SELLADA </t>
  </si>
  <si>
    <t xml:space="preserve">VAGILAC - LACTOBACIULLUS  X14 </t>
  </si>
  <si>
    <t>67,000 X14</t>
  </si>
  <si>
    <t xml:space="preserve">CAJA X14 CAPSULAS </t>
  </si>
  <si>
    <t xml:space="preserve">YODORA *12GR </t>
  </si>
  <si>
    <t>4,200 X1</t>
  </si>
  <si>
    <t xml:space="preserve">CAJA CON TUBO SELLADO X12GR </t>
  </si>
  <si>
    <t xml:space="preserve">COREGA MENTA *20GR </t>
  </si>
  <si>
    <t>27,000 X1</t>
  </si>
  <si>
    <t>CAJA SELLADA X20GR DE PASTA ADHESIVA</t>
  </si>
  <si>
    <t xml:space="preserve">COREGA SIN SABOR *20GR </t>
  </si>
  <si>
    <t>23,500 X1</t>
  </si>
  <si>
    <t xml:space="preserve">BIPERIDENO 2MG </t>
  </si>
  <si>
    <t>14,500 X15</t>
  </si>
  <si>
    <t xml:space="preserve">CAJA *90 TABLETAS </t>
  </si>
  <si>
    <t xml:space="preserve">VACOL *20GR </t>
  </si>
  <si>
    <t>8,500 X1</t>
  </si>
  <si>
    <t xml:space="preserve">FRASCO *20GR DE POMADA </t>
  </si>
  <si>
    <t>ACETAMINOFEN 500MG - DELTA CAJA X100</t>
  </si>
  <si>
    <t>9,000 X100</t>
  </si>
  <si>
    <t xml:space="preserve">CAJA X100 TABLETAS ORALES </t>
  </si>
  <si>
    <t xml:space="preserve">GLUCERNA LIQUIDA VAINILLA </t>
  </si>
  <si>
    <t>FRASCO SELLADO *237ML ALIMENTO LIQUIDO</t>
  </si>
  <si>
    <t>TRAVAD ORAL  X133ML</t>
  </si>
  <si>
    <t xml:space="preserve">FRASCO SELLADO *133ML DE ENEMA ORAL </t>
  </si>
  <si>
    <t>ESOMEPRAZOL 20MG- CHINOIN TAKEDA X15</t>
  </si>
  <si>
    <t>9,000 X15</t>
  </si>
  <si>
    <t xml:space="preserve">CAJA *15 CAPSULAS </t>
  </si>
  <si>
    <t xml:space="preserve">ALCOHOL *120ML- MK </t>
  </si>
  <si>
    <t>4000 X1</t>
  </si>
  <si>
    <t xml:space="preserve">FRASCO SELLADO *120ML </t>
  </si>
  <si>
    <t xml:space="preserve">OTICAINA GOTAS </t>
  </si>
  <si>
    <t xml:space="preserve">PACK DE GOTAS SELLADO - SOLUCIÓN OTICAS </t>
  </si>
  <si>
    <t>FIXOMULL TRANSPARENT 10CM *2MTS (40C)</t>
  </si>
  <si>
    <t>CAJA *1 ROLLO DE 10CM- *2 MTS DE PELICULA TRANSPARENTE</t>
  </si>
  <si>
    <t>UNGÜENTO MENTOL No.2  X20GR</t>
  </si>
  <si>
    <t>13,500 X20GR</t>
  </si>
  <si>
    <t xml:space="preserve">CAJA SELLADA CON POTE DE 20GR DE UNGÜENTO TÓPICO </t>
  </si>
  <si>
    <t xml:space="preserve">COLIK FORTE  - NAPROXENO 220 MG - ACETAMINOFEN 250 MG - CAFEINA 65 MG / X40 TABLETAS </t>
  </si>
  <si>
    <t>CAJA *40 TABLETAS RECUBIERTAS</t>
  </si>
  <si>
    <t xml:space="preserve">DOLNIK GEL NF / CITRATO POTASIO + FLUOR </t>
  </si>
  <si>
    <t>44,000 X1</t>
  </si>
  <si>
    <t>CAJA CON TUBO SELLADO *60GR DE GEL CON FLUORURO</t>
  </si>
  <si>
    <t xml:space="preserve">ABRALIX - HEDERA HELIX + PROPOLEO </t>
  </si>
  <si>
    <t xml:space="preserve">CAJA CON FRASCO SELLADO X120ML DE SOLUCION ORAL </t>
  </si>
  <si>
    <t xml:space="preserve">TUKOL-D / BROMHEXINA + GUAYACOLATO </t>
  </si>
  <si>
    <t>36,000 X1</t>
  </si>
  <si>
    <t xml:space="preserve">CAJA SELLADA *150ML DE SUSPENSIÓN ORAL </t>
  </si>
  <si>
    <t>VENCEDOR  - MATA CALLOS</t>
  </si>
  <si>
    <t>PACK SELLADO *1 UNGUENTO OPICO *4GRAMOS</t>
  </si>
  <si>
    <t xml:space="preserve">CARVEDILOL 25MG  X30 / MK </t>
  </si>
  <si>
    <t>32,000 X30</t>
  </si>
  <si>
    <t xml:space="preserve">ADOREM PLUS X130 - ACETAMINOGEN + CAFEINA 500MG/50MG </t>
  </si>
  <si>
    <t>10,000 X10</t>
  </si>
  <si>
    <t xml:space="preserve">CAJA X130 TABLETAS EN BLISTER DE 10 C/U </t>
  </si>
  <si>
    <t>JERINGA 5ML - MEDISPO/ PROTEX CAJA X100</t>
  </si>
  <si>
    <t>500 X1</t>
  </si>
  <si>
    <t xml:space="preserve">CAJA *100 JERINGAS DE 5CM CADA UNA </t>
  </si>
  <si>
    <t>PREDNISOLONA- LAPROFF</t>
  </si>
  <si>
    <t>CAJA *100 TABLETAS</t>
  </si>
  <si>
    <t>CREMA DENTAL SENSODYNE  REPARA Y PROTEGE</t>
  </si>
  <si>
    <t>37,000 X100GR</t>
  </si>
  <si>
    <t>CAJA SELLADA *100GR DE CEMA DENTAL</t>
  </si>
  <si>
    <t>ACETATO ALUMINIO X120ML - WILDLIFE</t>
  </si>
  <si>
    <t>5,000 X1</t>
  </si>
  <si>
    <t>FRASCO SELLADO X120ML DE LOCION TOPICA</t>
  </si>
  <si>
    <t>BENZOATO DE BENCILO COASPHARMA</t>
  </si>
  <si>
    <t xml:space="preserve">FRASCO SELLADO *120ML LOCION TOPICA </t>
  </si>
  <si>
    <t>PEDIALYTE UVA 60 mEq ZINC  MAX</t>
  </si>
  <si>
    <t>HIDRAPLUS 75 CEREZA *400ML</t>
  </si>
  <si>
    <t xml:space="preserve">CLOTRIMAZOL GOTAS  1% - MEMPHIS X30ML </t>
  </si>
  <si>
    <t xml:space="preserve">CAJA CON FRASCO SELLADO X30ML DE SOLUCIÓN TÓPICA </t>
  </si>
  <si>
    <t xml:space="preserve">FORMOL 20 CC - YOMA </t>
  </si>
  <si>
    <t>2,500 X20CC</t>
  </si>
  <si>
    <t xml:space="preserve">FRASCO SELLADO X20CC DE SOLUCION EXTERNA </t>
  </si>
  <si>
    <t xml:space="preserve">CETIRIZINA GOTAS - MEMPHIS </t>
  </si>
  <si>
    <t>9,500 X1</t>
  </si>
  <si>
    <t xml:space="preserve">CAJA CON GOTERO SELLADO </t>
  </si>
  <si>
    <t>NEUROBION DC *3AMP</t>
  </si>
  <si>
    <t>40,000 X1</t>
  </si>
  <si>
    <t>CAJA *3 AMPOLLAS PRELLENADAS CON DOBLE CAMARA</t>
  </si>
  <si>
    <t xml:space="preserve">PARCHE OCULAR - APOSITO OCULAR NIÑO </t>
  </si>
  <si>
    <t>1,000 X1</t>
  </si>
  <si>
    <t xml:space="preserve">CAJA X20 APOSITOS OCULARES </t>
  </si>
  <si>
    <t>8,000 x1</t>
  </si>
  <si>
    <t>TOALLAS NOSOTRAS BUENAS NOCHES X10</t>
  </si>
  <si>
    <t>17,000 X14</t>
  </si>
  <si>
    <t>PACK *10 TOALLAS + 4</t>
  </si>
  <si>
    <t xml:space="preserve">BILSYL - SILIMARINA X20 CAPSULAS </t>
  </si>
  <si>
    <t xml:space="preserve">CAJA X20 CAPSULAS ORALES </t>
  </si>
  <si>
    <t xml:space="preserve">NORFLOXACINO X14 - AG </t>
  </si>
  <si>
    <t>8,000 X7</t>
  </si>
  <si>
    <t xml:space="preserve">CAJA X14 TABLETAS EN BLISTER DE 7 C/U </t>
  </si>
  <si>
    <t xml:space="preserve">LEVOTIROXINA 50MCG X50 - SIEGFRIED </t>
  </si>
  <si>
    <t xml:space="preserve">CAJA X50 TABLETAS </t>
  </si>
  <si>
    <t xml:space="preserve">MIELTERTOS JARABE NIÑO </t>
  </si>
  <si>
    <t xml:space="preserve">CAJA SELLADA CON FRASCO SELLADO *180ML DE JARABE </t>
  </si>
  <si>
    <t>FUNGISTEROL  SHAMPOO *100ML</t>
  </si>
  <si>
    <t>CAJA CON FRASCO SELLADO *100 ML DE SHAMPOO</t>
  </si>
  <si>
    <t>FUNGISTEROL  SHAMPOO *200ML</t>
  </si>
  <si>
    <t>29,500 X1</t>
  </si>
  <si>
    <t>CAJA CON FRASCO SELLADO *200 ML DE SHAMPOO</t>
  </si>
  <si>
    <t xml:space="preserve">TOALLAS NOSOTRAS RAPIGEL INVISIBLES RAPIGEL *30 +15 PROTECTORES </t>
  </si>
  <si>
    <t>18,000 x30</t>
  </si>
  <si>
    <t>PACK DISPENSADOR *30 TOALLAS RAPIGEL</t>
  </si>
  <si>
    <t xml:space="preserve">ESOMEPRAZOL 20MG  X100 - LAPROFF (X10) </t>
  </si>
  <si>
    <t>9,000 X10</t>
  </si>
  <si>
    <t xml:space="preserve">CAJA X100 TABLETAS RECUBIERTAS </t>
  </si>
  <si>
    <t>NORAVER FAST TOTAL X60 TABS  / 
IBUPROFENO- FENILEFRINA CLORH- LEVOCETIRIZINA DICLRH - DEXTROMETORFANO BROMH</t>
  </si>
  <si>
    <t>6,000 X2</t>
  </si>
  <si>
    <t xml:space="preserve">CAJA SELLADA *60 CÁPSULAS LÍQUIDAS </t>
  </si>
  <si>
    <t xml:space="preserve">VALSARTAN 160MG - GENFAR </t>
  </si>
  <si>
    <t>26,00 X14</t>
  </si>
  <si>
    <t xml:space="preserve">CAJA *14 TABLETAS RECUBIERTAS </t>
  </si>
  <si>
    <t xml:space="preserve">CITROMEL JGB </t>
  </si>
  <si>
    <t>FRASCO SELLADO *310ML DE SUSPENSION ORAL</t>
  </si>
  <si>
    <t>HIDROXIDO ALUMINIO HIDROXIDO MAGNESIO Y SIMETICONA X360 ML - COASPH</t>
  </si>
  <si>
    <t>FRASCO SELLADO *360ML DE SUSPENSIÓN ORAL</t>
  </si>
  <si>
    <t>LEVOTIROXINA 100MG - COLMED</t>
  </si>
  <si>
    <t>7,500 X15</t>
  </si>
  <si>
    <t xml:space="preserve">CAJA *100 TABLETAS </t>
  </si>
  <si>
    <t xml:space="preserve">HIDROCLOROTIAZIDA  25MG -*400 TABLETAS </t>
  </si>
  <si>
    <t>1,200 x10</t>
  </si>
  <si>
    <t xml:space="preserve">CAJA SELLADA *400 TABLETAS </t>
  </si>
  <si>
    <t xml:space="preserve">LOVASTATINA 20MG </t>
  </si>
  <si>
    <t>2,500 X10</t>
  </si>
  <si>
    <t xml:space="preserve">CAJA *300 TABLETAS </t>
  </si>
  <si>
    <t>ALBENDAZOL 200MG TAB- LAPROFF X50</t>
  </si>
  <si>
    <t>3,000 X2</t>
  </si>
  <si>
    <t xml:space="preserve">CAJA *50 TABLETAS </t>
  </si>
  <si>
    <t>º</t>
  </si>
  <si>
    <t>NIVEA LIP CARE FRESA</t>
  </si>
  <si>
    <t>PACK SELLADO *1 PROTECTOR LABIAL</t>
  </si>
  <si>
    <t>59,500 X1</t>
  </si>
  <si>
    <t>ABRILAR JARABE EA 575 x100ml</t>
  </si>
  <si>
    <t>46,000 X1</t>
  </si>
  <si>
    <t xml:space="preserve">CAJA CON FRASCO SELLADO *100ML JARABE </t>
  </si>
  <si>
    <t>CLORFERINAMINA SUSP  LICOL</t>
  </si>
  <si>
    <t>ESPIRINOLACTONA 100MG - HUMAX</t>
  </si>
  <si>
    <t>23,000 X20</t>
  </si>
  <si>
    <t>20,000 X10</t>
  </si>
  <si>
    <t xml:space="preserve">TRAMADOL 50MG X100 CAPS - ECAR </t>
  </si>
  <si>
    <t xml:space="preserve">CAJA X100 CAPSULAS ORALES EN BLISTER DE 10 C/U </t>
  </si>
  <si>
    <t xml:space="preserve">VENDA ELÁSTICA 3" *5  YDS MEDICAL SUPPLIES </t>
  </si>
  <si>
    <t>PAQUETE SELLADO POR VENDA DE 3*5</t>
  </si>
  <si>
    <t xml:space="preserve">VENDA ELÁSTICA 4" *5  YDS MEDICAL SUPPLIES </t>
  </si>
  <si>
    <t>PAQUETE SELLADO POR VENDA DE 4*5</t>
  </si>
  <si>
    <t xml:space="preserve">PYRALVEX/ EXTRACTO RUIBARBO + ACIDO SALICILICO </t>
  </si>
  <si>
    <t>28,500 X1</t>
  </si>
  <si>
    <t xml:space="preserve">CAJA CON FRASCO SELLADO *10ML DE SOLUCIÓN </t>
  </si>
  <si>
    <t xml:space="preserve">SHOT B CAPSULA </t>
  </si>
  <si>
    <t>42,000 X30</t>
  </si>
  <si>
    <t xml:space="preserve">CAJA *30 CÁPSULAS BLANDAS </t>
  </si>
  <si>
    <t>HIDROXIDO DE  MAGNESIO COASPHARMA X120ML</t>
  </si>
  <si>
    <t xml:space="preserve">FRASCO SELLADO *120ML DE SUSPENSIÓN ORAL ANTIACID </t>
  </si>
  <si>
    <t>METATITANE</t>
  </si>
  <si>
    <t>35,000 X1</t>
  </si>
  <si>
    <t xml:space="preserve">CAJA CON TUBO SELLADO *40GR DE POMADA </t>
  </si>
  <si>
    <t>OROCAL D - CARBONATO DE CALCIO + VIT D 600 + 200  (1500/300)</t>
  </si>
  <si>
    <t xml:space="preserve">LEVOMPEROMAZINA GOTAS ACTIFARMA </t>
  </si>
  <si>
    <t xml:space="preserve">CAJA CON FRASCO SELLADO X20ML DE SOLUCION ORAL </t>
  </si>
  <si>
    <t>BETADUO 2ML- AMP X1</t>
  </si>
  <si>
    <t>45,000 X1</t>
  </si>
  <si>
    <t xml:space="preserve">FRASCO X2ML DE SOLUCIÓN INYECTABLE </t>
  </si>
  <si>
    <t>COMPLEJO B - 10ML AMPOLLA X12 UNDS</t>
  </si>
  <si>
    <t xml:space="preserve">CAJA *12 AMPOLLAS SOLUCIÓN INYECTABLE </t>
  </si>
  <si>
    <t xml:space="preserve">ALGODON  *20GR  HIGIETEX </t>
  </si>
  <si>
    <t xml:space="preserve">BOLSA SELLADA *20GR DE ALGODÓN </t>
  </si>
  <si>
    <t xml:space="preserve">CLINDAMIZOL OVULOS / CLINDAMICINA 100MG + KETOCONAZOL 400MG </t>
  </si>
  <si>
    <t>9,000 x1</t>
  </si>
  <si>
    <t xml:space="preserve">CAJA X7 OVULOS VAGINALES </t>
  </si>
  <si>
    <t>TRAZODONA *250 TAB- RECIPE / BUSSIÉ</t>
  </si>
  <si>
    <t>CAJA *250 TABLETAS VÍA ORAL</t>
  </si>
  <si>
    <t>CLORFERINAMINA TAB COASPHARMA *20</t>
  </si>
  <si>
    <t>2,000 X10</t>
  </si>
  <si>
    <t xml:space="preserve">CAJA *20 TABLETAS </t>
  </si>
  <si>
    <t xml:space="preserve">PRUEBA EMBARAZO ESFERO CHEMI </t>
  </si>
  <si>
    <t xml:space="preserve">CAJA SELLADA CON ESFERO CHEMI </t>
  </si>
  <si>
    <t>FLUIMUCIL JARABE 4%</t>
  </si>
  <si>
    <t>39,500 X1</t>
  </si>
  <si>
    <t xml:space="preserve">ALGODN X125GR - JGB </t>
  </si>
  <si>
    <t xml:space="preserve">BOLSA SELLADA X125GR DE ALGODÓN </t>
  </si>
  <si>
    <t xml:space="preserve">ALGODON  *100GR  HIGIETEX </t>
  </si>
  <si>
    <t>6,000 x1</t>
  </si>
  <si>
    <t xml:space="preserve">BOLSA SELLADA *100GR DE ALGODÓN </t>
  </si>
  <si>
    <t xml:space="preserve">ALGODON  *50GR  HIGIETEX </t>
  </si>
  <si>
    <t>3,000 x1</t>
  </si>
  <si>
    <t xml:space="preserve">BOLSA SELLADA *50GR DE ALGODÓN </t>
  </si>
  <si>
    <t>CALADRYL - ROSADO</t>
  </si>
  <si>
    <t>24,000 X1</t>
  </si>
  <si>
    <t xml:space="preserve">POTE SELLADO DE 100ML DE CALAMINA LOCION </t>
  </si>
  <si>
    <t>QLAIRA *28</t>
  </si>
  <si>
    <t>43,000 X28</t>
  </si>
  <si>
    <t>CAJA SELLADA *28 COMPRIMIDOS RECUBIERTOS</t>
  </si>
  <si>
    <t>ROXICAINA 2% - JALEA</t>
  </si>
  <si>
    <t>29,000 X1</t>
  </si>
  <si>
    <t xml:space="preserve">FRASCO SELLADO *50 ML DE SOLUCIÓN INYECTABLE </t>
  </si>
  <si>
    <t>DIENIELLE</t>
  </si>
  <si>
    <t>20,000 X21</t>
  </si>
  <si>
    <t xml:space="preserve">CAJA SELLADA *21 COMPRIMIDOS RECUBIERTOS </t>
  </si>
  <si>
    <t xml:space="preserve">MUCOSINA JAB </t>
  </si>
  <si>
    <t>42,000 X1</t>
  </si>
  <si>
    <t xml:space="preserve">CAJA SELLADA CON FRASCO SELLADO *120ML DE SUSPENSION ORAL </t>
  </si>
  <si>
    <t>STREPSILS MIEL LIMON / X16 CAJAS  DE 4 TABS C/U</t>
  </si>
  <si>
    <t>8,500 X4</t>
  </si>
  <si>
    <t xml:space="preserve">CAJA SELLADA X64 TABELTAS EN CAJAS X4 UNIDADES CADA UNA </t>
  </si>
  <si>
    <t xml:space="preserve">ZOPICLONA X30 RECIPE </t>
  </si>
  <si>
    <t>12,000 X10</t>
  </si>
  <si>
    <t xml:space="preserve">ALBENDAZOL SUSPENSIÓN </t>
  </si>
  <si>
    <t xml:space="preserve">CAJA SELLADA X12 UNIDADES EN SUSPENSIÓN ORAL </t>
  </si>
  <si>
    <t xml:space="preserve">BENLIC CREMA X40GR / BETAMETASONA + CLOTRIMAZOL + GENTAMICINA </t>
  </si>
  <si>
    <t xml:space="preserve">CAJA CON TUBO SELLADO X40GR DE CREMA TOPICA </t>
  </si>
  <si>
    <t>BUSCAPINA FEM *90</t>
  </si>
  <si>
    <t>3,500 X2</t>
  </si>
  <si>
    <t xml:space="preserve">CAJA X90 COMPRIMIDOS RECUBIERTOS </t>
  </si>
  <si>
    <t xml:space="preserve">FLUNARIZINA 10MG- COASPHARMA X20 </t>
  </si>
  <si>
    <t xml:space="preserve">NIKZON CAPSULAS X28 - </t>
  </si>
  <si>
    <t>4,500 X1</t>
  </si>
  <si>
    <t xml:space="preserve">CAJA X28 CAPSULAS EN BLISTER DE 7 C/U </t>
  </si>
  <si>
    <t xml:space="preserve">STEVIA BIOLADIET *650 TABS </t>
  </si>
  <si>
    <t>27,000 X650</t>
  </si>
  <si>
    <t xml:space="preserve">EMPAQUE SELLADO  *650 TABLETAS </t>
  </si>
  <si>
    <t xml:space="preserve">GASA ESTERIL 10*10  ZIBOJECT  X25 PACKS </t>
  </si>
  <si>
    <t xml:space="preserve">BOLSA SELLADA *25 PACKS </t>
  </si>
  <si>
    <t>CELECOXIB 200MG- RECIPE</t>
  </si>
  <si>
    <t>11,000 X10</t>
  </si>
  <si>
    <t>CAJA SELLADA *10 CAPSULAS</t>
  </si>
  <si>
    <t xml:space="preserve">CLOTRIMAZOL 1% - TÓPICA X40GR </t>
  </si>
  <si>
    <t>6,000X1</t>
  </si>
  <si>
    <t xml:space="preserve">TOR CREMA PROCTOLOGICA </t>
  </si>
  <si>
    <t>CAJA CON TUBO SELLADO *10GR DE CREMA PROCTOLÓGICA</t>
  </si>
  <si>
    <t>TADALAFILO 20MG - LAPROFF</t>
  </si>
  <si>
    <t>12,000 X4</t>
  </si>
  <si>
    <t xml:space="preserve">CAJA X4 TABLETAS RECUBIERTAS </t>
  </si>
  <si>
    <t>CLOTRIMAZOL OVULOS X10-  COLMED</t>
  </si>
  <si>
    <t xml:space="preserve">CAJA *10 ÒVULOS </t>
  </si>
  <si>
    <t>MEBLAINEX- MELOXICAM 15MG AMP X5</t>
  </si>
  <si>
    <t>CAJA *5 AMPOLLAS</t>
  </si>
  <si>
    <t xml:space="preserve">ACIDO ACETILSALICILICO 100MG / VIOL-DOL </t>
  </si>
  <si>
    <t xml:space="preserve">TERRAMICINA UNGÜENTO OFTALMICO / OXITETRACICLINA / POLIMIXINA B </t>
  </si>
  <si>
    <t xml:space="preserve">CAJA CON TUBO SELLADO X10GR DE UNGUENTO OFTALMICO </t>
  </si>
  <si>
    <t xml:space="preserve">MINOXITEN / MINOXIDIL 10MG TABS </t>
  </si>
  <si>
    <t>60,000 X30</t>
  </si>
  <si>
    <t xml:space="preserve">COLGATE TOTAL 12 - CLEAN MINT X150ML </t>
  </si>
  <si>
    <t>31,000 X1</t>
  </si>
  <si>
    <t xml:space="preserve">CAJA CON CREMA DENTAL X150ML </t>
  </si>
  <si>
    <t>COLGATE TOTAL PREVENCION ACTIVA ANTISARRO</t>
  </si>
  <si>
    <t xml:space="preserve">CAJA CON CREMA DENTAL X75ML </t>
  </si>
  <si>
    <t>JABON DE AZUFRE PILI</t>
  </si>
  <si>
    <t>CAJA CON BARRA DE JABÓN *100GR</t>
  </si>
  <si>
    <t>OMEGA 3 + VITAMINA E / BOTANITAS X100</t>
  </si>
  <si>
    <t>47,500 X100</t>
  </si>
  <si>
    <t xml:space="preserve">FRASCO SELLADO *100 CAPSULAS BLANDAS </t>
  </si>
  <si>
    <t xml:space="preserve">BEDOYECTA 3 JERINGA </t>
  </si>
  <si>
    <t xml:space="preserve">CAJA SELLADA *3 AMPOLLAS SOLUCIÇON INYECTABLE </t>
  </si>
  <si>
    <t xml:space="preserve">ADVIL CHILDREN *100ML </t>
  </si>
  <si>
    <t>CAJA SELLADA *60ML JARABE</t>
  </si>
  <si>
    <t>DUO-DECADRON 1ML / 8+2</t>
  </si>
  <si>
    <t xml:space="preserve">CAJA X1 AMPOLLA SOLUCIÓN INYECTABLE </t>
  </si>
  <si>
    <t xml:space="preserve">ENSURE ADVANCE LIQUIDO - VAINILLA </t>
  </si>
  <si>
    <t xml:space="preserve">POTE SELLADO *220ML DE ALIMENTO LIQUIDO </t>
  </si>
  <si>
    <t xml:space="preserve">ENSURE TRADICIONAL LIQUIDO - VAINILLA </t>
  </si>
  <si>
    <t>14,500 X1</t>
  </si>
  <si>
    <t xml:space="preserve">ENSURE CLINICAL LIQUIDO - VAINILLA </t>
  </si>
  <si>
    <t>GABAPENTIN 400MG - MK X30</t>
  </si>
  <si>
    <t>18,000 X30</t>
  </si>
  <si>
    <t>MELATONINA HEALTY AMERICA 3MG- X120 SOFTGELS</t>
  </si>
  <si>
    <t>48,000 X120</t>
  </si>
  <si>
    <t xml:space="preserve">FRASCO SELLADO X120 SOFTGELS DE MELATONINA 3MG </t>
  </si>
  <si>
    <t xml:space="preserve">NORFLOXACINO / NORFLOXACINA 400MG X14 </t>
  </si>
  <si>
    <t>10,000 X14</t>
  </si>
  <si>
    <t xml:space="preserve">CAJA X14 TABLETAS RECUBIERTAS </t>
  </si>
  <si>
    <t xml:space="preserve">PROCTO-GLYVENOL UNGUENTO PROCTOLOGICO </t>
  </si>
  <si>
    <t>71,800 X1</t>
  </si>
  <si>
    <t>CAJA SELLADA X10 CÁNULAS DE APLICACIÓN + TUBO SELLADO X30GR DE UNGUENTO RECTAL</t>
  </si>
  <si>
    <t>RISPERIDONA 1MG - MK  X20</t>
  </si>
  <si>
    <t>12,000 x20</t>
  </si>
  <si>
    <t>CAJA *20 TABLETAS CUBIERTAS</t>
  </si>
  <si>
    <t>ASEPXIA JABON - AZUFRE</t>
  </si>
  <si>
    <t xml:space="preserve">CAJA CON BARRA DE JABÓN SELLADA *100GR </t>
  </si>
  <si>
    <t xml:space="preserve">ASEPXIA CARBON *100GR </t>
  </si>
  <si>
    <t xml:space="preserve">CAJA CON BARA DE JABON *100gr </t>
  </si>
  <si>
    <t xml:space="preserve">PIROXICAM 20MG- COASPHARMA </t>
  </si>
  <si>
    <t>6,000 X10</t>
  </si>
  <si>
    <t>CAJA X10 CAPSULAS</t>
  </si>
  <si>
    <t>31,000 X21</t>
  </si>
  <si>
    <t>BUSCAPINA COMPUESTA GOTAS</t>
  </si>
  <si>
    <t>42,500 X1</t>
  </si>
  <si>
    <t xml:space="preserve">CAJA CON FRASCO SELLADO *30ML GOTAS </t>
  </si>
  <si>
    <t xml:space="preserve">CALCITRIOL 0,25MG *30-  COLMED </t>
  </si>
  <si>
    <t>28,500 X10</t>
  </si>
  <si>
    <t xml:space="preserve">OXIMETAZOLINA 0,05% ADULTO - BUSINESS S.A.S </t>
  </si>
  <si>
    <t xml:space="preserve">FRASCO SELLADO X15ML DE SOLUCION NASAL </t>
  </si>
  <si>
    <t xml:space="preserve">KENACORT-A </t>
  </si>
  <si>
    <t>53,000 1</t>
  </si>
  <si>
    <t xml:space="preserve">CAJA *1 VÍAL DE 5ML </t>
  </si>
  <si>
    <t>CONDON SANAMED DUO X50 UNIDADES</t>
  </si>
  <si>
    <t>20 LUBRICADO
10 G- SENSATION 
10 RETARDANTE
10 ULTRASENSIBLE</t>
  </si>
  <si>
    <t xml:space="preserve">3000 X1 </t>
  </si>
  <si>
    <t xml:space="preserve">CAJA X50 UNIDADES SURTIDO- </t>
  </si>
  <si>
    <t xml:space="preserve">REDOXON EFERVECENTE  *20 COMPRIMIDOS </t>
  </si>
  <si>
    <t>17,000 X10</t>
  </si>
  <si>
    <t xml:space="preserve">CAJA *20COMPRIMIDOS EFERVESCENTES SABOR A NARANJA </t>
  </si>
  <si>
    <t xml:space="preserve">LAB SOREL LOCIÓN </t>
  </si>
  <si>
    <t xml:space="preserve">FRASCO SELLADO *120ML DE LOCIÓN </t>
  </si>
  <si>
    <t>DOMEBORO  X25</t>
  </si>
  <si>
    <t xml:space="preserve">1,500 X1 </t>
  </si>
  <si>
    <t xml:space="preserve">CAJA *25 SOBRES </t>
  </si>
  <si>
    <t>BECLORT- BECLOMETASONA 250MCG BUCAL</t>
  </si>
  <si>
    <t xml:space="preserve">CAJA SELLADA *1 INHALADOR BUCAL </t>
  </si>
  <si>
    <t>OFTALMOTRISOL GOTAS</t>
  </si>
  <si>
    <t xml:space="preserve">CAJA SELLADA CON FRASCO *15ML DE GOTAS OFTÁLMICAS </t>
  </si>
  <si>
    <t>DIOSMINA + HESPERIDINA 450MG/50MG - MK X30</t>
  </si>
  <si>
    <t xml:space="preserve">CAJA X30 TABLETAS CUBIERTAS </t>
  </si>
  <si>
    <t>BELLAFACE SUAVE *28</t>
  </si>
  <si>
    <t>30,000 X28</t>
  </si>
  <si>
    <t xml:space="preserve">CAJA SELLADA *28 TABLETAS RECUBIERTAS </t>
  </si>
  <si>
    <t>CREMA DE CALENDULA *60GR - BOTANITAS</t>
  </si>
  <si>
    <t>CAJA CON POTE SELLADO *60GR DE CREMA TOPICA</t>
  </si>
  <si>
    <t>LACTOVIT LECHE CORPORAL X1 LT</t>
  </si>
  <si>
    <t xml:space="preserve">51,500 X100ML </t>
  </si>
  <si>
    <t xml:space="preserve">FRASCO CON VALVULA  X1000ML DE LECHE CORPORAL </t>
  </si>
  <si>
    <t xml:space="preserve">LACTOVIT LECHE CORPORAL X250ML </t>
  </si>
  <si>
    <t>25,000 X1</t>
  </si>
  <si>
    <t xml:space="preserve">FRASCO CON VALVULA  X250ML DE LECHE CORPORAL </t>
  </si>
  <si>
    <t xml:space="preserve">LACTOVIT LECHE CORPORAL X400ML </t>
  </si>
  <si>
    <t xml:space="preserve">FRASCO CON VALVULA  X400ML DE LECHE CORPORAL </t>
  </si>
  <si>
    <t xml:space="preserve">ALCOHOL 70% MK X700ML </t>
  </si>
  <si>
    <t xml:space="preserve">BOTELLA SELLADA X700ML DE ANTISEPTICO LIQUIDO </t>
  </si>
  <si>
    <t xml:space="preserve">IOFI X30 / FUMARATO FERROSO + ACID. FOLICO + VITAMI C. </t>
  </si>
  <si>
    <t>PACK SELLADO *30 TABLETAS RECUBIERTAS</t>
  </si>
  <si>
    <t>GAVISCON DOBLE ACCION *12 SACHETS</t>
  </si>
  <si>
    <t xml:space="preserve">CAJA SELLADA *12 SAHCETS DE SUSPENSIÓN ORAL </t>
  </si>
  <si>
    <t xml:space="preserve">SULFATO FERROSO GOTAS </t>
  </si>
  <si>
    <t xml:space="preserve">FRASCO SELLADO 20ML DE SOLUCIÓN ORAL </t>
  </si>
  <si>
    <t>ALMIPRO UNGÜENTO *500GR</t>
  </si>
  <si>
    <t>65,000 X1</t>
  </si>
  <si>
    <t xml:space="preserve">POTE SELLADO *30GR DE UNGÜENTO </t>
  </si>
  <si>
    <t>ALCOHOL *120ML JGB</t>
  </si>
  <si>
    <t xml:space="preserve">BOTELLA SELLADA *120ML DE ANTISEPTICO USO EXTERNO </t>
  </si>
  <si>
    <t xml:space="preserve">VENDA ELÁSTICA 6"*5 YDS MEDICAL SUPPLIES </t>
  </si>
  <si>
    <t>PAQUETE SELLADO POR VENDA DE 6*5</t>
  </si>
  <si>
    <t xml:space="preserve">MEDICASP SHAMPOO *100ML X2 FRASCOS </t>
  </si>
  <si>
    <t>60,000 x2</t>
  </si>
  <si>
    <t xml:space="preserve">PACK SELLADO X2 SHAMPOO </t>
  </si>
  <si>
    <t xml:space="preserve">ALCOHOL *700ML JGB </t>
  </si>
  <si>
    <t xml:space="preserve">BOTELLA SELLADA *700ML DE ANTISEPTICO USO EXTERNO </t>
  </si>
  <si>
    <t xml:space="preserve">MIELTERTOS GRIPA NOCHE - BOMBONERA  X25 SOBRES </t>
  </si>
  <si>
    <t xml:space="preserve">BOMBONERA *25 UNIDADES </t>
  </si>
  <si>
    <t>AMPICILINA 1000MG LA SANTÉ X100</t>
  </si>
  <si>
    <t>14,000 X10</t>
  </si>
  <si>
    <t xml:space="preserve">CAJA X100 TABLETAS ORALES EN BLISTER DE 10 C/U </t>
  </si>
  <si>
    <t>TENA PANTS CLASICO L *8</t>
  </si>
  <si>
    <t>34,000 X8</t>
  </si>
  <si>
    <t xml:space="preserve">PACA SELLADA *8 PAÑALES </t>
  </si>
  <si>
    <t xml:space="preserve">VALERIANA GOTAS X60ML - KEMI </t>
  </si>
  <si>
    <t xml:space="preserve">CAJA CON FRASCO SELLADO X60ML </t>
  </si>
  <si>
    <t xml:space="preserve">SULFADIAZINA DE PLATA POTE *30GR </t>
  </si>
  <si>
    <t>POTE SELLADO *30GR DE CREMA TÓPICA</t>
  </si>
  <si>
    <t xml:space="preserve">ACETATO ALUMINO BODY MANTLE X500ML </t>
  </si>
  <si>
    <t xml:space="preserve">FRASCO X500ML DE LOCION TOPICA </t>
  </si>
  <si>
    <t>CEFRADINA 500MG - 24 TABLETAS COASPHARMA</t>
  </si>
  <si>
    <t>13,000 X8</t>
  </si>
  <si>
    <t xml:space="preserve">CAJA X24 TABLETAS ORALES </t>
  </si>
  <si>
    <t>GYNOFLOR OVULOS - CLOTRIMAZOL + METRONIDAZOL X10</t>
  </si>
  <si>
    <t xml:space="preserve">CAJA X10 TABLETAS VAGINALES, EN EMPAQUE INDIVIDUAL CADA UNO + 10 GUANTES DESECHABLES </t>
  </si>
  <si>
    <t>ELECTROLIT COCO</t>
  </si>
  <si>
    <t>EVINET  X2</t>
  </si>
  <si>
    <t xml:space="preserve">CAJA *2 TABLETAS RECUBIERTAS </t>
  </si>
  <si>
    <t xml:space="preserve">FITOBREMG - TRITICUM VULGARE VILL </t>
  </si>
  <si>
    <t xml:space="preserve">CAJA CON TUBO SELLADO X32GR DE CREMA TOPICA </t>
  </si>
  <si>
    <t xml:space="preserve">PIRACETAM 800MG TABLETAS X30 </t>
  </si>
  <si>
    <t>38,000 X30</t>
  </si>
  <si>
    <t>CHAMPÚ SORIDERM  *250ML</t>
  </si>
  <si>
    <t>21,000 X1</t>
  </si>
  <si>
    <t xml:space="preserve">FRASCO SELLADO *250ML DE CHAMPÚ </t>
  </si>
  <si>
    <t xml:space="preserve">ALCOHOL OSA 70% - X700ML </t>
  </si>
  <si>
    <t xml:space="preserve">FRASCO SELLADO X700ML </t>
  </si>
  <si>
    <t>MEDICASP SHAMPOO *100ML</t>
  </si>
  <si>
    <t>30000 X1</t>
  </si>
  <si>
    <t xml:space="preserve">CAJA SELLADA *100ML SHAMPOO </t>
  </si>
  <si>
    <t>FLUCONAZOL 200MG LAPORFF *100CAPS</t>
  </si>
  <si>
    <t>7,000 X4</t>
  </si>
  <si>
    <t xml:space="preserve">CAJA SELLADA *100 CÁPSULAS </t>
  </si>
  <si>
    <t xml:space="preserve">CLORFERINAMINA SUS. ECAR </t>
  </si>
  <si>
    <t xml:space="preserve">FRASCO SELLADO X120ML DE SUSPENSIÓN ORAL </t>
  </si>
  <si>
    <t>DIHIDROCODEINA HUMAX</t>
  </si>
  <si>
    <t>FRASCO SELLADO *120ML SOLUCIÓN ORAL</t>
  </si>
  <si>
    <t xml:space="preserve">SALBUTAMOL INHALADOR- SACRUSYT </t>
  </si>
  <si>
    <t>18,000 x1</t>
  </si>
  <si>
    <t>CAJA SELLADA *1 INHALADOR DE 100 MCG</t>
  </si>
  <si>
    <t xml:space="preserve">ACTIVA 21 GRAGEAS </t>
  </si>
  <si>
    <t>8000 X21</t>
  </si>
  <si>
    <t>CAJA  X 21 GRAGEAS</t>
  </si>
  <si>
    <t xml:space="preserve">ADVIL GRIPA MAX / IBUPROFENO + DEXTROMETORFANO + FENILEFRINA + CLORFERINAMINA </t>
  </si>
  <si>
    <t>2,500 X1</t>
  </si>
  <si>
    <t xml:space="preserve">CAJA X40 CAPSULAS LIQUIDAS EN BLISTER DE 4 C/U </t>
  </si>
  <si>
    <t xml:space="preserve">DOXICICLINA COASPHARMA X250 TABS </t>
  </si>
  <si>
    <t>CAJA *200 CAPSULAS</t>
  </si>
  <si>
    <t xml:space="preserve">LAGRIKOV - CARBOXIMETILCELULOSA </t>
  </si>
  <si>
    <t>15,000 x1</t>
  </si>
  <si>
    <t xml:space="preserve">FORT-9 VICK CAPSULAS X36 / ACETA + FENILEFR+ CLORFERI </t>
  </si>
  <si>
    <t xml:space="preserve">4,500 X2 </t>
  </si>
  <si>
    <t xml:space="preserve">CAJA X36 CPASULAS EN BLISTER DE 4 CADA UNO </t>
  </si>
  <si>
    <t>METROXAZIDE TABLETAS</t>
  </si>
  <si>
    <t>25,000 X18</t>
  </si>
  <si>
    <t xml:space="preserve">CAJA *18 TABLETAS </t>
  </si>
  <si>
    <t xml:space="preserve">SALBUMED - SALBUTAMOL INHALADOR </t>
  </si>
  <si>
    <t xml:space="preserve">NISTATINA SUSP LABINCO </t>
  </si>
  <si>
    <t>POTE SELLADO *60SUSPENSIÓN ORAL</t>
  </si>
  <si>
    <t xml:space="preserve">VACOL *60GR </t>
  </si>
  <si>
    <t xml:space="preserve">FRASCO *60GR DE POMADA </t>
  </si>
  <si>
    <t>X RAY DOL *80 TAB</t>
  </si>
  <si>
    <t>1,700 X1</t>
  </si>
  <si>
    <t>CAJA *80 TABLETAS CAPSULARES</t>
  </si>
  <si>
    <t>CARVEDILOL 6,25MG - MEMPHIS</t>
  </si>
  <si>
    <t>8,000 X30</t>
  </si>
  <si>
    <t xml:space="preserve">LOSARTAN + HIDROCLOTROTIZA 50MG/12,5MG EXPOFARMA </t>
  </si>
  <si>
    <t>30,000 X30</t>
  </si>
  <si>
    <t xml:space="preserve">CAJA X30 TABLETAS ORALES </t>
  </si>
  <si>
    <t xml:space="preserve">SYSTANE ULTRA </t>
  </si>
  <si>
    <t>67,500 X1</t>
  </si>
  <si>
    <t xml:space="preserve">CAJA CON FRASCO SELLADO *10ML GOTAS OFTÁLMICAS </t>
  </si>
  <si>
    <t>BETAHISTINA 16MG COLMED X21</t>
  </si>
  <si>
    <t xml:space="preserve">CAJA X21 TABLETAS RECUBIERTAS EN BLISTER DE 7 CADA UNO </t>
  </si>
  <si>
    <t xml:space="preserve">NOXPIRIN F JUNIOR *120ML / ACETAMINOFEN + FENILEFRINA + CETIRIZINA </t>
  </si>
  <si>
    <t xml:space="preserve">PREDNIOFTAL F </t>
  </si>
  <si>
    <t>46,000 x1</t>
  </si>
  <si>
    <t xml:space="preserve">CAJA CON FRASCO CERRADO *5ML </t>
  </si>
  <si>
    <t xml:space="preserve">PAX NOCHE  X24  - PANELA LIMON </t>
  </si>
  <si>
    <t xml:space="preserve">TAPABOCAS AZUL X50 ZIBOJECT </t>
  </si>
  <si>
    <t>15,000 X50</t>
  </si>
  <si>
    <t xml:space="preserve">CAJA X50 TAPABOCAS DESECHABLES EN EMPAQUE INDIVIDUAL C/U </t>
  </si>
  <si>
    <t>SUERO FISIOLÓGICO/ CLORURO SODIO PiSA 500ML/CC</t>
  </si>
  <si>
    <t xml:space="preserve">FUORATO DE FLUTICASONA SPRAY NASAL- NOVAMED </t>
  </si>
  <si>
    <t xml:space="preserve">CAJA CON FRASCO SELLADO X120 APLICACIONES </t>
  </si>
  <si>
    <t>DEXTROMETORFANO 0,2% + GUAYACOLATO 2% - NOTUSIN NIÑO SUSP</t>
  </si>
  <si>
    <t xml:space="preserve">OROCAL SIMPLME 600MG - CARBONATO DE CALCIO </t>
  </si>
  <si>
    <t>20,000 X30</t>
  </si>
  <si>
    <t xml:space="preserve">CAJA *30 TABLETAS MASTICABLES </t>
  </si>
  <si>
    <t>OXIMETAZOLINA LA SANTE 0,05% ADULTO</t>
  </si>
  <si>
    <t>CAJA SELLADA *1 SPRAY NASAL</t>
  </si>
  <si>
    <t xml:space="preserve">SULFATO MAGNESIO / SAL EPSON - SAL INGLATERRA </t>
  </si>
  <si>
    <t xml:space="preserve">BOLSA SELLADA X400GR DE PRODUCTO EN SUSTANCIA PULVUROLIENTA </t>
  </si>
  <si>
    <t xml:space="preserve">IVERBLAS - IVERMECTINA GOTAS </t>
  </si>
  <si>
    <t>14,000 X1</t>
  </si>
  <si>
    <t xml:space="preserve">CAJA CON FRASCO SELLADO X5ML DE SOLUCION ORAL </t>
  </si>
  <si>
    <t xml:space="preserve">FUROATO DE MOMETASONA - RHINOSPRAY </t>
  </si>
  <si>
    <t>34,000 X1</t>
  </si>
  <si>
    <t xml:space="preserve">CAJA CON NEBULIZADOR *18ML  </t>
  </si>
  <si>
    <t>ACIDO ACETILSALISCILICO 100MG / VIOL-DOL</t>
  </si>
  <si>
    <t xml:space="preserve">NEUBALIN 25MG- PREGABALINA </t>
  </si>
  <si>
    <t xml:space="preserve">CAJA X30 CAPSULAS VIA ORAL DE 3 BLISTER X10 C/U </t>
  </si>
  <si>
    <t xml:space="preserve">CALMIDOL MAX X48  / IBUPROFENO +CAFEINA </t>
  </si>
  <si>
    <t>5,000 X2</t>
  </si>
  <si>
    <t>CAJA *48 TABLETAS RECUBIERTAS</t>
  </si>
  <si>
    <t xml:space="preserve">CICADERM NF CREMA TOPICA </t>
  </si>
  <si>
    <t>43,000 X1</t>
  </si>
  <si>
    <t xml:space="preserve">CAJA CON TUBO SELLADO *60GR DE CREMA TOPICA </t>
  </si>
  <si>
    <t xml:space="preserve">ELECTROLIT LIMA-LIMON </t>
  </si>
  <si>
    <t xml:space="preserve">ELECTROLIT MARACUYA </t>
  </si>
  <si>
    <t>ELECTROLIT MANZANA</t>
  </si>
  <si>
    <t>ELECTROLIT MORA AZUL</t>
  </si>
  <si>
    <t>ELECTROLIT NARANJA- MANDARINA</t>
  </si>
  <si>
    <t>ELECTROLIT PONCHE FRUTAS</t>
  </si>
  <si>
    <t>VITACEREBRINA CEREZA JARABE</t>
  </si>
  <si>
    <t>51,000 X1</t>
  </si>
  <si>
    <t>CAJA CON FRASCO SELLADO X180ML DE SUPLEMENTO DIETARIO JARABE</t>
  </si>
  <si>
    <t xml:space="preserve">PEDIALYTE MANZANA 60 mEq MAX </t>
  </si>
  <si>
    <t>PEDIALYTE FRESA 45mEq</t>
  </si>
  <si>
    <t>LIDOPROCTO 5% X10GR UNG- ROPSOHN</t>
  </si>
  <si>
    <t>41,000 X1</t>
  </si>
  <si>
    <t xml:space="preserve">CAJA CON TUBO SELLADO *10GR DE UNGUENTO RECTAL </t>
  </si>
  <si>
    <t xml:space="preserve">AMOXICILINA CAPSULAS X300 LAPROFF </t>
  </si>
  <si>
    <t xml:space="preserve">CAJA X300 CAPSULAS </t>
  </si>
  <si>
    <t>ASEPXIA BICARBONATO</t>
  </si>
  <si>
    <t>AZITROMICINA LAPROFF *60 TABLETAS</t>
  </si>
  <si>
    <t>CAJA *60 TABLETAS RECUBIERTAS</t>
  </si>
  <si>
    <t>LEVOTIROXINA 75MG - MK</t>
  </si>
  <si>
    <t>24,000 X30</t>
  </si>
  <si>
    <t xml:space="preserve">CATETER 18G - BEGUT VERDE </t>
  </si>
  <si>
    <t xml:space="preserve">CATETER 18G - SELLADO . </t>
  </si>
  <si>
    <t xml:space="preserve">CATETER INTRAVENOSO No.16G - BEGUT </t>
  </si>
  <si>
    <t xml:space="preserve">CATETER No. 16G EN EMPAQUE INDIVIDUAL </t>
  </si>
  <si>
    <t>TENA SLIP COMFORT TALLA L X9</t>
  </si>
  <si>
    <t>33,000 X9</t>
  </si>
  <si>
    <t>SUERO FISIOLÓGICO/ CLORURO SODIO CORPAUL *250ML</t>
  </si>
  <si>
    <t>FRASCO SELLADO *250ML DE CLORURO DE SODIO</t>
  </si>
  <si>
    <t xml:space="preserve">SERTRALINA 100MG X10 TABS - SERTRANQUIL </t>
  </si>
  <si>
    <t xml:space="preserve">CAJA X10 TABLETAS ORALES RECUBIERTAS </t>
  </si>
  <si>
    <t xml:space="preserve">TRAZODONA TABLETAS X50 TABS </t>
  </si>
  <si>
    <t xml:space="preserve">BISACODILO 5MG- X100 TABLETAS </t>
  </si>
  <si>
    <t xml:space="preserve">CELECOXIB 100MG - MK - X20 </t>
  </si>
  <si>
    <t xml:space="preserve">CAJA X20 CAPSULAS </t>
  </si>
  <si>
    <t xml:space="preserve">CLINBAC 300MG- *24  - CLINDAMICINA </t>
  </si>
  <si>
    <t xml:space="preserve">CAJA SELLADA *24 CAPSULAS </t>
  </si>
  <si>
    <t xml:space="preserve">CLORURO MAGNESIO - NATURAL FRESHLY </t>
  </si>
  <si>
    <t>26,000 X50</t>
  </si>
  <si>
    <t xml:space="preserve">FRASCO SELLADO X50 CAPSULAS ORALES </t>
  </si>
  <si>
    <t>CLORURO MAGNESIO *60 TAB - FUNAT</t>
  </si>
  <si>
    <t>35,000 X60</t>
  </si>
  <si>
    <t xml:space="preserve">FRASCO SELLADO *60 TABLETAS </t>
  </si>
  <si>
    <t xml:space="preserve">DESONIDA EMULSION X120ML - SIEGFRIED </t>
  </si>
  <si>
    <t>62,500 X1</t>
  </si>
  <si>
    <t xml:space="preserve">CAJA CON FRASCO SELLADO *120ML DE EMULSION TOPICA </t>
  </si>
  <si>
    <t>TAMSULOSINA CLORHIDRATO 0,4 MG / OD-TAM 0,4</t>
  </si>
  <si>
    <t>13,000 X10</t>
  </si>
  <si>
    <t xml:space="preserve">CAJA X30 CAPSULAS DE LIBERACION PROLONGADA </t>
  </si>
  <si>
    <t>PASTA LASSAR POT *60GR</t>
  </si>
  <si>
    <t xml:space="preserve">POTE SELLADO *60GR DE PROTECTOR CUTÁNEO </t>
  </si>
  <si>
    <t>METRONIDAZOL + CLOTRIMAZOL OVULOS - TROPXIM-F</t>
  </si>
  <si>
    <t xml:space="preserve">CAJA X10 OVULOS </t>
  </si>
  <si>
    <t xml:space="preserve">PROPOTUSSIN ADULTOS / HEDERA HELIX + PROPOLEO + MIEL </t>
  </si>
  <si>
    <t>BILAXTEN 20MG *20 TAB</t>
  </si>
  <si>
    <t>CAJA *20 COMPRIMIDOS</t>
  </si>
  <si>
    <t>ACETAMINOFEN 500MG - LAPROFF X300</t>
  </si>
  <si>
    <t>800 X10</t>
  </si>
  <si>
    <t xml:space="preserve">CATETER INTRAVENOSO 16G - ZIBOJECT </t>
  </si>
  <si>
    <t xml:space="preserve">CATETER SELLADO EN EMPAQUE INDIVIDUAL </t>
  </si>
  <si>
    <t>SUERO FISIOLÓGICO/ CLORURO SODIO PiSA 100ML/CC</t>
  </si>
  <si>
    <t xml:space="preserve">FRASCO SELLADO *100ML DE SOLUCIÓN INYECTABLE </t>
  </si>
  <si>
    <t>JERINGA 10ML - ZIBOJECT X100</t>
  </si>
  <si>
    <t xml:space="preserve">CAJA CON 100 JERINGAS DE 10ML EN EMPAQUE INDIVIDUAL CADA UNA </t>
  </si>
  <si>
    <t xml:space="preserve">NIFEDIPINO 30MG- NOVAEMD X30 CAPS </t>
  </si>
  <si>
    <t>15,000 X15</t>
  </si>
  <si>
    <t xml:space="preserve">CAJA X30 CAPSULAS </t>
  </si>
  <si>
    <t xml:space="preserve">LINDAZOL *3 OVULOS </t>
  </si>
  <si>
    <t>23,000 X3</t>
  </si>
  <si>
    <t xml:space="preserve">CAJA *3 OVULOS VAGINALES </t>
  </si>
  <si>
    <t>YODORA *25GR</t>
  </si>
  <si>
    <t xml:space="preserve">CAJA CON TUBO SELLADO DE 25GR DE CREMA CLÁSICA </t>
  </si>
  <si>
    <t xml:space="preserve">DIZMOPRAZ - LANSOPRAZOL 30MG X28 </t>
  </si>
  <si>
    <t>11,000 X14</t>
  </si>
  <si>
    <t xml:space="preserve">CAJA X28 CAPSULAS </t>
  </si>
  <si>
    <t xml:space="preserve">CRESANOL / VETERINA X500ML - YOMA </t>
  </si>
  <si>
    <t xml:space="preserve">FRASCO SELLADO X500ML- SUSPENSION PARA USO EXTERNO </t>
  </si>
  <si>
    <t>NOFERTYL AMP</t>
  </si>
  <si>
    <t xml:space="preserve">CAJA SELLADA X1 AMPOLLA DE SOLUCIÓN INYECTABLE </t>
  </si>
  <si>
    <t>ACETAMINOFEN + HIOSCINA N- BOLTIBROMURO / MEMPHIS</t>
  </si>
  <si>
    <t xml:space="preserve">PRAZOSINA 1MG </t>
  </si>
  <si>
    <t>ACIDO BORICO *15GR- PROMARQUIN</t>
  </si>
  <si>
    <t xml:space="preserve">1 BOLSA SELLADA X15GR </t>
  </si>
  <si>
    <t xml:space="preserve">SILIGAS GOTAS </t>
  </si>
  <si>
    <t xml:space="preserve">CAJA CON FRASCO SELLADO *30ML DE GOTAS ORALES </t>
  </si>
  <si>
    <t>POST DAY *8 TAB</t>
  </si>
  <si>
    <t>16,000 X2</t>
  </si>
  <si>
    <t xml:space="preserve">CAJA *8 TABLETAS 0,75MG </t>
  </si>
  <si>
    <t xml:space="preserve">ASPIRINA EFERVESCENTE *50  TABLETAS </t>
  </si>
  <si>
    <t>2000 X2</t>
  </si>
  <si>
    <t xml:space="preserve">CAJA *50 TABLETAS EFERVESCENTES </t>
  </si>
  <si>
    <t>VITAMINA E 400 U.I COLMED *100 CAPSULAS</t>
  </si>
  <si>
    <t>5000 X10</t>
  </si>
  <si>
    <t xml:space="preserve">CAJA *100 CÁPSULAS BLANDAS </t>
  </si>
  <si>
    <t xml:space="preserve">GLUCOSAMINA + CONDROITINA x60 tabletas HEALTHY AMERICA </t>
  </si>
  <si>
    <t>84,000 X60</t>
  </si>
  <si>
    <t xml:space="preserve">CAJA SELLADA CON FRASCO X60 TABLETAS ORALES </t>
  </si>
  <si>
    <t>TENA PANTS CLASICO L X16</t>
  </si>
  <si>
    <t>64,500 X16</t>
  </si>
  <si>
    <t xml:space="preserve">PACA SELLADA X16 PAÑALES </t>
  </si>
  <si>
    <t xml:space="preserve">VITAMINA C CAPS GEL.- PROCAPS - X60 CAPS </t>
  </si>
  <si>
    <t>7,000 x10</t>
  </si>
  <si>
    <t>CAJA *60 CÁPSULAS BLANDAS</t>
  </si>
  <si>
    <t xml:space="preserve">MANTECA CACAO CUBO X10GR PROMARQUIM </t>
  </si>
  <si>
    <t xml:space="preserve">CUBO SELLADO EN EMPAQUE INDIVIDUAL </t>
  </si>
  <si>
    <t xml:space="preserve">TOTTYS CREMA / NISTATINA + OXIDO DE ZINC </t>
  </si>
  <si>
    <t xml:space="preserve">TRAMADOL CLORHIDRATO50MG - AMPOLLA X10 FARMIONI </t>
  </si>
  <si>
    <t xml:space="preserve">CAJA *10 AMPOLLAS </t>
  </si>
  <si>
    <t xml:space="preserve">SYSTANE GOTAS / POLIETILENGLICOL 400 + PROPILENGLICOL 0,3% </t>
  </si>
  <si>
    <t>CENTRUM SILVER +50 *30</t>
  </si>
  <si>
    <t>49,000 X30</t>
  </si>
  <si>
    <t xml:space="preserve">CAJA SELLADA *30 TABLETAS </t>
  </si>
  <si>
    <t>CENTRUM WOMEN*30</t>
  </si>
  <si>
    <t>51,500 X30</t>
  </si>
  <si>
    <t>CENTRUM SILVER WOMEN +50 *30</t>
  </si>
  <si>
    <t>58,000 X30</t>
  </si>
  <si>
    <t>CIRUELAX JALEA FORTE X300GR</t>
  </si>
  <si>
    <t>71,000 X300GR</t>
  </si>
  <si>
    <t xml:space="preserve">POTE SELLADO X300GR DE JALEA </t>
  </si>
  <si>
    <t xml:space="preserve">CIRUELAX JALEA *600GR </t>
  </si>
  <si>
    <t>82,000 X1</t>
  </si>
  <si>
    <t xml:space="preserve">POTE CON SELLO INTERNO *600 DE JALEA </t>
  </si>
  <si>
    <t xml:space="preserve">FACETIX MINI </t>
  </si>
  <si>
    <t xml:space="preserve">CAJA *28 TABLETAS RECUBIERTAS </t>
  </si>
  <si>
    <t>MILPAX NF SUSPENSIÓN ORAL*12 SOBRES</t>
  </si>
  <si>
    <t xml:space="preserve">CAJA CON *12 SOBRES SELLADOS CADA UNO </t>
  </si>
  <si>
    <t>HIALTEARS-10ML</t>
  </si>
  <si>
    <t>37,000 X1</t>
  </si>
  <si>
    <t xml:space="preserve">VAJA CON FRASCO SELLADO * 10ML Y 15 ML </t>
  </si>
  <si>
    <t xml:space="preserve">DOLOFEN GRIPA X60 / ACETAMINOFEN 500+ FENILEFRINA 5MG+ CLORFENIRAMINA MALEATO 2MG </t>
  </si>
  <si>
    <t>4,500 X4</t>
  </si>
  <si>
    <t xml:space="preserve">CAJA *60 CAPSULAS LIQUIDAS </t>
  </si>
  <si>
    <t>SUPERFLUX FORTE SACHET X12</t>
  </si>
  <si>
    <t xml:space="preserve">CAJA X12 SACHET DE SOLUCION ORAL </t>
  </si>
  <si>
    <t xml:space="preserve">LANSOPRAZOL 30MG  X14 - LANGENIX HETERO </t>
  </si>
  <si>
    <t xml:space="preserve">CAJA X14 CAPSULAS ORALES </t>
  </si>
  <si>
    <t xml:space="preserve">FLUCONAZOL 200MG X4 - NOVAMED </t>
  </si>
  <si>
    <t>10,000 X4</t>
  </si>
  <si>
    <t xml:space="preserve">CAJA X4 UNIDADES </t>
  </si>
  <si>
    <t>ALIZAPRIDA GOTAS - SISPRAD 12MG /ML</t>
  </si>
  <si>
    <t xml:space="preserve">CAJA CON FRASCO SELLADO X15ML DE SOLUCION ORAL </t>
  </si>
  <si>
    <t>8,000 X100</t>
  </si>
  <si>
    <t>ACETAMINOFEN TAB - GENFAR X100</t>
  </si>
  <si>
    <t xml:space="preserve">CAJA *100 TABLETAS ORALES </t>
  </si>
  <si>
    <t xml:space="preserve">CLOBETASOL PROPIONATO - AG X40GR </t>
  </si>
  <si>
    <t xml:space="preserve">CAJA CON TUBO SELLADO *40GR DE CREMA </t>
  </si>
  <si>
    <t>ACETAMINOFEN 500MG AG- TAB X100</t>
  </si>
  <si>
    <t>11,000 X100</t>
  </si>
  <si>
    <t xml:space="preserve">CAJA *100  TABLETAS </t>
  </si>
  <si>
    <t>JERINGA INSULINA- TAPA GRIS  BEGUT</t>
  </si>
  <si>
    <t>700 X1</t>
  </si>
  <si>
    <t xml:space="preserve">CAJA X100 UNIDADES </t>
  </si>
  <si>
    <t>LANSOPRAZOL GENFAR X14</t>
  </si>
  <si>
    <t>14,0000 X14</t>
  </si>
  <si>
    <t xml:space="preserve">CAJA *14 CAPSULAS </t>
  </si>
  <si>
    <t xml:space="preserve">GALVUS MET 50/850MG X56 TABS </t>
  </si>
  <si>
    <t>60,000 X28</t>
  </si>
  <si>
    <t xml:space="preserve">CAJA X56 TABS EN BLISTER DE 7 TABS C/U </t>
  </si>
  <si>
    <t xml:space="preserve">RESPIRIN GRIPA  X100 CAPS / ACETAMINOFEN + CAFEINA + FENILEFRINA + CETIRIZINA </t>
  </si>
  <si>
    <t>1000 X1</t>
  </si>
  <si>
    <t xml:space="preserve">CAJA X100 CAPSULAS </t>
  </si>
  <si>
    <t xml:space="preserve">CARVEDILOL 6,25 MG GENFAR X30 COMPRIMIDOS </t>
  </si>
  <si>
    <t xml:space="preserve">CAJA X30 COMPRIMIDOS ORALES </t>
  </si>
  <si>
    <t xml:space="preserve">ACEITE JOHNSON X100ML </t>
  </si>
  <si>
    <t xml:space="preserve">FRASCO SELLADO X100ML DE ACEITE CORPORAL </t>
  </si>
  <si>
    <t>TENA PANTS CLASICO TALLA L *1</t>
  </si>
  <si>
    <t>6000 X1</t>
  </si>
  <si>
    <t>PAÑAL INDIVIDUAL SELLADO</t>
  </si>
  <si>
    <t xml:space="preserve">PURPUCINA GENTAMICINA UNGUENTO OFT X 5G </t>
  </si>
  <si>
    <t>CAJA CON TUBO SELLADO * 5 GR</t>
  </si>
  <si>
    <t xml:space="preserve">PRIVATOS JARABE </t>
  </si>
  <si>
    <t>CAJA SELLADA CON FRASCO DE 120ML DE JARABE</t>
  </si>
  <si>
    <t>TERBIFIN SPRAY - TERBINAFINA</t>
  </si>
  <si>
    <t xml:space="preserve">CAJA CON FRASCO X30 ML DE SOLUCION TOPICA EN SPRAY </t>
  </si>
  <si>
    <t xml:space="preserve">TIMOLOL GOTAS- PRESTIBLOCK BLASKOV </t>
  </si>
  <si>
    <t xml:space="preserve">CAJA CON FRASCO SELLADO *5ML DE SOLUCIÓN OFTÁLMICA ESTÉRIL </t>
  </si>
  <si>
    <t xml:space="preserve">AGUA OXIGENADA JGB X120ML </t>
  </si>
  <si>
    <t xml:space="preserve">FRASCO SELLADO *120ML DE ANTISÉPTICO </t>
  </si>
  <si>
    <t xml:space="preserve">NODOL PLUS X10 / ACETAMINOFEN 325MG- + HIDROCODONA 5MG </t>
  </si>
  <si>
    <t>40,000 X10</t>
  </si>
  <si>
    <t>CRONOFEN GOTAS - ACETAMINOFEN 100MG/ML</t>
  </si>
  <si>
    <t xml:space="preserve">CAJA CON FRASCO SELLADO X30ML DE SOLUCIÓN ORAL </t>
  </si>
  <si>
    <t>CLOTRIMAZOL TÓPICA - FARMIONNI</t>
  </si>
  <si>
    <t xml:space="preserve">DURAFLEX MUSCULAR ADVANCE </t>
  </si>
  <si>
    <t>6,000 x2</t>
  </si>
  <si>
    <t xml:space="preserve">CAJA *18 CAPSULAS LIQUIDA </t>
  </si>
  <si>
    <t xml:space="preserve">COMPLEJO B AMPOLLA X3 / 2ML C/U </t>
  </si>
  <si>
    <t>6,500 X1</t>
  </si>
  <si>
    <t xml:space="preserve">CAJA X3 AMPOLLAS INDIVIDUALES  DE 2ML C/U </t>
  </si>
  <si>
    <t xml:space="preserve">BIOCALCIUM D *30 SOBRES </t>
  </si>
  <si>
    <t xml:space="preserve">CAJA SELLADA X30 SOBRES DE POLVO EFERVESCENTE </t>
  </si>
  <si>
    <t xml:space="preserve">CITRAGEL X90 / CITRATO DE CALCIO 1500 MG + VITAMINA D3 200 U.I </t>
  </si>
  <si>
    <t>8,500 X5</t>
  </si>
  <si>
    <t xml:space="preserve">CAJA *90 TABLETAS RECUBIERTAS </t>
  </si>
  <si>
    <t xml:space="preserve">FEXOFENADINA SUSP ECAR 30MG/5ML </t>
  </si>
  <si>
    <t>CAJA CON FRASCO SELLADO *150ML DE JARABE</t>
  </si>
  <si>
    <t xml:space="preserve">MANTECA CACAO GLOFARMA LABIAL X12 SURTIDA </t>
  </si>
  <si>
    <t>BARRA LABIAL DE MANTECA DE CACACO X5GR</t>
  </si>
  <si>
    <t xml:space="preserve">MANETCA CACAO GLOFARMA CHICLE </t>
  </si>
  <si>
    <t>MANETCA CACAO GLOFARMA UVA</t>
  </si>
  <si>
    <t>MANETCA CACAO GLOFARMA MENTA</t>
  </si>
  <si>
    <t>MANETCA CACAO GLOFARMA VAINILLA</t>
  </si>
  <si>
    <t>MANETCA CACAO GLOFARMA FRESA</t>
  </si>
  <si>
    <t>MANETCA CACAO GLOFARMA CAFÉ</t>
  </si>
  <si>
    <t>SILDENAFIL 100MG - ERASSIN</t>
  </si>
  <si>
    <t xml:space="preserve">CAJA *2 TABLETAS CUBIERTAS </t>
  </si>
  <si>
    <t xml:space="preserve">ARNIKA TRADICIONAL / ARNICA + CALENDULA X12 SOBRES </t>
  </si>
  <si>
    <t xml:space="preserve">CAJA X12 SOBRES CON CREMA TOPICA C/U </t>
  </si>
  <si>
    <t xml:space="preserve">CALYMAG SUSP PIÑA / HIDROXIDO ALUMINO + HIDROXIDO MAGNESIO + SIMETICONA </t>
  </si>
  <si>
    <t xml:space="preserve">FRASCO SELLADO X360ML DE ANTIACIDO EN SUSPENSION ORAL </t>
  </si>
  <si>
    <t xml:space="preserve">CALYMAG SUSP MANGO/ HIDROXIDO ALUMINO + HIDROXIDO MAGNESIO + SIMETICONA </t>
  </si>
  <si>
    <t xml:space="preserve">CALYMAG SUSP GUAYABA / HIDROXIDO ALUMINO + HIDROXIDO MAGNESIO + SIMETICONA </t>
  </si>
  <si>
    <t>LACTATO RINGER HARTAM - PiSA</t>
  </si>
  <si>
    <t xml:space="preserve"> 6,000 X1</t>
  </si>
  <si>
    <t xml:space="preserve">FRASCO SELLADO *500ML </t>
  </si>
  <si>
    <t>METOCLOPRAMIDA - GOTAS - COASPHARMA</t>
  </si>
  <si>
    <t xml:space="preserve">CAJA CON FRASCO SELLADO *30ML SOLUCIÓN ORAL </t>
  </si>
  <si>
    <t xml:space="preserve">CROMOGLICATO 4% OFTALMICO - TIKOJ </t>
  </si>
  <si>
    <t xml:space="preserve">CAJA CON FRASCO SELLADO X5ML DE SOLUCIÓN OFTÁLICA ESTÉRIL </t>
  </si>
  <si>
    <t>KETOPROFENO 100MG  TAB- GENFAR X30 TBAS</t>
  </si>
  <si>
    <t>12,000 x10</t>
  </si>
  <si>
    <t>CAJA *30 TABLETAS CON CUBIERTA ENTERICA</t>
  </si>
  <si>
    <t xml:space="preserve">FEXOFENADINA 120MG X10 TABLETAS </t>
  </si>
  <si>
    <t>24,500 X10</t>
  </si>
  <si>
    <t xml:space="preserve">CAJA X10 TABLETAS RECUBIERTAS </t>
  </si>
  <si>
    <t xml:space="preserve">LUMBAL X24 TABS / NAPROXENO + CAFEINA </t>
  </si>
  <si>
    <t xml:space="preserve">NAPROXENO250MG - X330 TABS COASPHARMA </t>
  </si>
  <si>
    <t xml:space="preserve">2,500 X10 </t>
  </si>
  <si>
    <t xml:space="preserve">CAJA X330 TABLETAS VIA ORAL - POR BLISTER DE 10 TABS </t>
  </si>
  <si>
    <t xml:space="preserve">ADVIL CHILDREN *60ML </t>
  </si>
  <si>
    <t>26,000 x1</t>
  </si>
  <si>
    <t xml:space="preserve">APRIX - ACETAMINOFEN 325 / CODEINA FOSFATO 8MG  TABLETAS X20 </t>
  </si>
  <si>
    <t>MOTRIN 800MG</t>
  </si>
  <si>
    <t>4,400 X1</t>
  </si>
  <si>
    <t xml:space="preserve">FACETIX X21 / CIPROTERON 2,0MG + ETINILESTRADIOL 0,035MG </t>
  </si>
  <si>
    <t>13,000 X21</t>
  </si>
  <si>
    <t xml:space="preserve">CAJA X21 TABLETAS ORALES </t>
  </si>
  <si>
    <t xml:space="preserve">JABON PILI DE CARBON </t>
  </si>
  <si>
    <t xml:space="preserve">CAJA CON BARA DE JABON TOPICA DE CARBON </t>
  </si>
  <si>
    <t xml:space="preserve">ILEINE - ACETATO DE MEDROXIPROGESTERONA </t>
  </si>
  <si>
    <t xml:space="preserve">CAJA *1 VIAL </t>
  </si>
  <si>
    <t xml:space="preserve">LATANOPROST 0,005% - GAAP GOTAS </t>
  </si>
  <si>
    <t xml:space="preserve">CAJA CON GOTERO SELLADO X3ML DE SOLUCION OFTALMICA </t>
  </si>
  <si>
    <t>METRONIDAZOL OVULOS CAJA X200- COLMED (X10)</t>
  </si>
  <si>
    <t xml:space="preserve">CAJA *200 ÓVULOS </t>
  </si>
  <si>
    <t>PAÑAL WINNY E0 *30</t>
  </si>
  <si>
    <t>23,000 X30</t>
  </si>
  <si>
    <t xml:space="preserve">PACK SELLADO *30 PAÑALES DESECHABLES Y PAÑITOS HUMEDOS </t>
  </si>
  <si>
    <t>AGUA OXIGENADA OSA</t>
  </si>
  <si>
    <t xml:space="preserve">FRASCO SELLADO *120ML DE SOLUCION TOPICA </t>
  </si>
  <si>
    <t>ATORVASTATINA 40MG- LAPROFF</t>
  </si>
  <si>
    <t>CAJA *30 TABLETAS RECUBIERTAS</t>
  </si>
  <si>
    <t>DOSFLEM ADULTOS / BROMHEXINA + GUAYACOLATO</t>
  </si>
  <si>
    <t xml:space="preserve">DOLICOX FORTE MAX- ACETAMINOFEN + NAPROXENO + CAFEINA </t>
  </si>
  <si>
    <t xml:space="preserve">CAJA X48 TABLETAS  ORALES, EN SOBRE X6 C/U </t>
  </si>
  <si>
    <t xml:space="preserve">SEVEDOL EXTRAFUERTE x60 </t>
  </si>
  <si>
    <t xml:space="preserve">TRIANOREXIL TABELTAS  BUCLIZINA 25MG  </t>
  </si>
  <si>
    <t>13,000 x10</t>
  </si>
  <si>
    <t xml:space="preserve">PRUEBA EMBARAZO - TESTEMB ESFERO </t>
  </si>
  <si>
    <t xml:space="preserve">CAJA CON ESFERO TEST EMBARAZO </t>
  </si>
  <si>
    <t xml:space="preserve">PASTA GRANUGENA X60GR / OXIDO DE XINC LEGRAND </t>
  </si>
  <si>
    <t>21,500 X1</t>
  </si>
  <si>
    <t xml:space="preserve">CAJA CON TUBO SELLADO X60GR DE PROTECTOR Y CICATRIZANTE TOPICO </t>
  </si>
  <si>
    <t xml:space="preserve">INOXICAM 15MG - MELOXICAM 15MG </t>
  </si>
  <si>
    <t>VITALFER FRASCO</t>
  </si>
  <si>
    <t>CAJA X15 SACHET EN EMPAQUE INDIVIDUAL CADA UNO, COMO SUSPENSION ORAL</t>
  </si>
  <si>
    <t>HIDROCORTISONA CREMA - AG</t>
  </si>
  <si>
    <t>CAJA CON TUBO SELLADO DE 15GR DE CREMA</t>
  </si>
  <si>
    <t xml:space="preserve">OLVISION - OLOPATADINA 2% </t>
  </si>
  <si>
    <t xml:space="preserve">CAJA CON FRASCO SELLADO *2,5ML DE GOTAS OFTALMICAS </t>
  </si>
  <si>
    <t xml:space="preserve">NOVALGINA 500MG X50TAB </t>
  </si>
  <si>
    <t>2,200 X1</t>
  </si>
  <si>
    <t xml:space="preserve">CAJA SELLADA *50 TABLETAS </t>
  </si>
  <si>
    <t xml:space="preserve">TERMOMETRO DIGITAL ZIBOJECT </t>
  </si>
  <si>
    <t>11000 X1</t>
  </si>
  <si>
    <t xml:space="preserve">CAJA CON TERMOMETRO </t>
  </si>
  <si>
    <t>BETAHISTINA 24MG - COLMED X20</t>
  </si>
  <si>
    <t xml:space="preserve">CAJA X20 TABLETAS ORALES EN BLISTER DE 10 C/U </t>
  </si>
  <si>
    <t xml:space="preserve">QUETIAPINA 25MG COLMED X30 TABS </t>
  </si>
  <si>
    <t>13,000 X30</t>
  </si>
  <si>
    <t xml:space="preserve">TAMPON OB MEDIO *8 UNIDADES </t>
  </si>
  <si>
    <t>9,000 X8</t>
  </si>
  <si>
    <t xml:space="preserve">CAJA SELLADA *8 UNIDADES </t>
  </si>
  <si>
    <t xml:space="preserve">TAMPON OB SUPER *8 UNIDADES </t>
  </si>
  <si>
    <t>9,500 X8</t>
  </si>
  <si>
    <t xml:space="preserve">CAJA SELLADA *24 UNIDADES </t>
  </si>
  <si>
    <t xml:space="preserve">YODORA PROMO 60GR + 32GR  PACK </t>
  </si>
  <si>
    <t>POTE  *60GR + *32 GR DE YODORA</t>
  </si>
  <si>
    <t>METOPROLOL 50MG- LAPORFF</t>
  </si>
  <si>
    <t>CAJA *300 TABLETS RECUBIERTAS</t>
  </si>
  <si>
    <t xml:space="preserve">GESTAVIT DHA </t>
  </si>
  <si>
    <t>105,000 X30</t>
  </si>
  <si>
    <t xml:space="preserve">CAJA *30 CÁPSULAS BLANDAS DE GELATINA </t>
  </si>
  <si>
    <t xml:space="preserve">FIB 10 - PROBIOTICOS BIFIDOBACTERIUM INFANTIS - FOS 2,000 MILLONES </t>
  </si>
  <si>
    <t xml:space="preserve">CAJA X12 PORCIONES </t>
  </si>
  <si>
    <t>CELECOXIB 200MG - CELICOB  X30</t>
  </si>
  <si>
    <t xml:space="preserve">CAJA X30 TABLETAS VIA ORAL EN BLISTER DE 10 TABS C/U </t>
  </si>
  <si>
    <t>ACTIVIT-B  / COMPLEJO B + ZINC+ ACIDO FOLICO + VITAMINA D3</t>
  </si>
  <si>
    <t>22,000 X30</t>
  </si>
  <si>
    <t>CAJA *30 CÁPSULAS BLANDAS</t>
  </si>
  <si>
    <t xml:space="preserve">BISACODILO *100 TAB - RECIPE (X20) </t>
  </si>
  <si>
    <t>6,000 X20</t>
  </si>
  <si>
    <t xml:space="preserve">CAJA SELLADA *100 TABLETAS CON CUBIERTA ENTÉRICA </t>
  </si>
  <si>
    <t xml:space="preserve">METRONIST OVULOS / METRONIDAZOL + NISTATINA </t>
  </si>
  <si>
    <t>CAJA *10 ÓVULOS VAGINALES</t>
  </si>
  <si>
    <t xml:space="preserve">BUCOSEPTOL TABLETAS X50 </t>
  </si>
  <si>
    <t xml:space="preserve">CAJA SELLADA X50 TABLETAS ORALES EN EMPAQUE INDIVIDUAL CADA UNA </t>
  </si>
  <si>
    <t xml:space="preserve">SALBUTAMOL JARABE ECAR </t>
  </si>
  <si>
    <t xml:space="preserve">FRASCO SELLADO X120ML DE SUSPENSION ORAL </t>
  </si>
  <si>
    <t>MERTHIOLATE ROJO - TIOMERSAL 1:1000</t>
  </si>
  <si>
    <t>FRASCO SELLADO X90ML -</t>
  </si>
  <si>
    <t>FEXODINA - FEXOFENADINA SUSPENSION HUMAX</t>
  </si>
  <si>
    <t xml:space="preserve">CAJA CON FRASCO SELLADO X150ML DE SUSPENSION ORAL </t>
  </si>
  <si>
    <t>TALCO MEXANA 150GR + 85GR</t>
  </si>
  <si>
    <t>22,000 X2</t>
  </si>
  <si>
    <t>POTE SELLADO *150GR + 85GR DE TALCO</t>
  </si>
  <si>
    <t xml:space="preserve">MENTICOL AMARILLO ORIGINAL X60ML </t>
  </si>
  <si>
    <t xml:space="preserve">FRASCO SELLADO X60ML DE LOCION TOPICA </t>
  </si>
  <si>
    <t xml:space="preserve">MENTICOL AMARILLO ORIGINAL X130ML </t>
  </si>
  <si>
    <t>13,500 X1</t>
  </si>
  <si>
    <t xml:space="preserve">FRASCO SELLADO X130ML DE LOCION TOPICA </t>
  </si>
  <si>
    <t>MENTICOL AMARILLO ORIGINAL X250ML</t>
  </si>
  <si>
    <t xml:space="preserve">FRASCO SELLADO X250ML DE LOCION TOPICA </t>
  </si>
  <si>
    <t xml:space="preserve">NEURO 15 TABLETAS - X30 </t>
  </si>
  <si>
    <t xml:space="preserve">CAJA X30 CAPSULAS ORALES EN BLISTER DE 10 C/U </t>
  </si>
  <si>
    <t xml:space="preserve">TOALLAS NOSOTRAS MATERNAS X10 + 3 BUENAS NOCHES </t>
  </si>
  <si>
    <t>PACK SELLADO *10 TOALLAS MATERNAS + 3 TOALLAS OFERTAS</t>
  </si>
  <si>
    <t xml:space="preserve">ACEITE RICINO X60 CC- YOMA </t>
  </si>
  <si>
    <t xml:space="preserve">FRASCO SELLADO X60 CC DE ACEITE DE RICINO </t>
  </si>
  <si>
    <t>HIDROXICINA JARABE  ANGLOFARMA</t>
  </si>
  <si>
    <t>VITAMINA C 500MG- LA SANTÉ NARANJA</t>
  </si>
  <si>
    <t xml:space="preserve">CAJA X 10 TIRAS DE 10 TABLETAS MASTICABLES CADA UNA </t>
  </si>
  <si>
    <t xml:space="preserve">PROCILUD 2D - LACTOBACILLUS X10 </t>
  </si>
  <si>
    <t xml:space="preserve">CAJA X12 SOBRES EN POLVO ORAL </t>
  </si>
  <si>
    <t>NULYTELY  X4 SOBRES</t>
  </si>
  <si>
    <t xml:space="preserve">CAJA SELLADA *4 SOBRES </t>
  </si>
  <si>
    <t xml:space="preserve">CAJA X15 SACHET </t>
  </si>
  <si>
    <t xml:space="preserve">GASA NO TEJIDA ESTERIL 3X3 CM </t>
  </si>
  <si>
    <t xml:space="preserve">CAJA X50 SOBRES DE GASA EN PAQUETE INDIVIDUAL CADA UNO </t>
  </si>
  <si>
    <t xml:space="preserve">AGUA ESTERIL X500ML - CORPAUL </t>
  </si>
  <si>
    <t xml:space="preserve">FRASCO SELLADO X500ML DE AGUA ESTERIL </t>
  </si>
  <si>
    <t xml:space="preserve">CREMA No.4 *20GR </t>
  </si>
  <si>
    <t>10000 X1</t>
  </si>
  <si>
    <t xml:space="preserve">CAJA CON POTE SELLADO *20GR DE CREMA </t>
  </si>
  <si>
    <t xml:space="preserve">ESOMEPRAZOL 40MG - DIEXSOPRAZOL X30 CAPSULAS </t>
  </si>
  <si>
    <t>15,000 x15</t>
  </si>
  <si>
    <t xml:space="preserve">CAJA X10 CAPSULAS EN BLISTER DE 10 </t>
  </si>
  <si>
    <t xml:space="preserve">VENOCLISES MACROGOTERO ZIBOJECT </t>
  </si>
  <si>
    <t xml:space="preserve">BOLSA SELLADA *1 EQUIPO DE VENOCLOSES </t>
  </si>
  <si>
    <t xml:space="preserve">ATORVASTATINA 20MG - LAPROFF X50 TABS </t>
  </si>
  <si>
    <t>3000 x10</t>
  </si>
  <si>
    <t xml:space="preserve">CAJA X50 TABLETAS RECUBIERTAS </t>
  </si>
  <si>
    <t xml:space="preserve">CEFALEXINA SUSPENSIÓN AG </t>
  </si>
  <si>
    <t>10,000 x1</t>
  </si>
  <si>
    <t xml:space="preserve">FRASCO SELLADO *60ML DE POLVO PARA RECONSTRUIR </t>
  </si>
  <si>
    <t>23,000 X1</t>
  </si>
  <si>
    <t xml:space="preserve">CAJA X2 SOBRE DE GRANULADO </t>
  </si>
  <si>
    <t xml:space="preserve">VICK VAPORUB 50GR </t>
  </si>
  <si>
    <t xml:space="preserve">CAJA SELLADA CON POE DE 50GR UNGÜENTO TÓPICO </t>
  </si>
  <si>
    <t>VICK VAPORUB 12GR CAJA X12 UNDS</t>
  </si>
  <si>
    <t xml:space="preserve">CAJA *12 LATAS DE 12GR CADA UNA </t>
  </si>
  <si>
    <t>NEUROBION TABLETAS  CAJA X30</t>
  </si>
  <si>
    <t>ARRURRU AZUL X60ML</t>
  </si>
  <si>
    <t xml:space="preserve">1 CAJA CON COLONIA SELLADA X60ML </t>
  </si>
  <si>
    <t xml:space="preserve">TAFLAX FORTE / DEXIBUPROFENO + ACETAMINOFEN + CAFEINA </t>
  </si>
  <si>
    <t>25,000 X10</t>
  </si>
  <si>
    <t xml:space="preserve">ACICLOVIR 800MG TABLETAS - ALVIRET 800MG </t>
  </si>
  <si>
    <t xml:space="preserve">ETORICOXIB 120MG- TORROX X10 </t>
  </si>
  <si>
    <t xml:space="preserve">CAJA CX30 TABLETAS ORALES EN LBISTER DE 10 C/U </t>
  </si>
  <si>
    <t xml:space="preserve">ACTIFREN ADULTO / MULTIVITAMINICO SUSP </t>
  </si>
  <si>
    <t>CAJA CON FRASCO SELLADO *360ML SUSPENSIÓN ORAL</t>
  </si>
  <si>
    <t xml:space="preserve">METOCLOPRAMIDA GOTAS- RECIPHE </t>
  </si>
  <si>
    <t>FRASCO SELLADO *30ML GOTAS</t>
  </si>
  <si>
    <t>DEXAMETASONA 8MG /2ML AMP - X10 COLMED</t>
  </si>
  <si>
    <t xml:space="preserve">CAJA X10 AMPOLLA I.M O I.V </t>
  </si>
  <si>
    <t>36,000 X30</t>
  </si>
  <si>
    <t xml:space="preserve">IMIPRAMINA 10MG X20 - HUMAX </t>
  </si>
  <si>
    <t>18,500 X10</t>
  </si>
  <si>
    <t xml:space="preserve">CAJA X20 TABLETAS EN BLISTER DE 10 C/U </t>
  </si>
  <si>
    <t>NAPROXENO 250MG- LAPROFF</t>
  </si>
  <si>
    <t xml:space="preserve">ACICLOVIR SUSPENSIÓN </t>
  </si>
  <si>
    <t xml:space="preserve">CAJA CON FRASCO SELLADO X90ML DE POLVO PARA SUSPENSIÓN ORAL </t>
  </si>
  <si>
    <t xml:space="preserve">GOTAS RESCATE / NATURAL FRESHLY </t>
  </si>
  <si>
    <t xml:space="preserve">CAJA SELLADA CON FRASCO SELLADO X25ML DE GOTAS ORALES </t>
  </si>
  <si>
    <t>FITOESTIMOLINE GEL X15GR</t>
  </si>
  <si>
    <t xml:space="preserve">CAJA CON TUBO SELLADO DE 15GR GEL TÓPICO </t>
  </si>
  <si>
    <t xml:space="preserve">TRICLIMBAC GOTAS OTICAS / LIDOCAINA + CIPROFLOXACINO + BETAMETASONA </t>
  </si>
  <si>
    <t>13000 X1</t>
  </si>
  <si>
    <t xml:space="preserve">CAJA CON FRASCO SELLADO *10 ML SOLUCIÓN OTICA </t>
  </si>
  <si>
    <t xml:space="preserve">BAYCUTEN N *20GR </t>
  </si>
  <si>
    <t>CAJA SELLADA *20GR DE CREMA TOPICA</t>
  </si>
  <si>
    <t xml:space="preserve">NEOSALDINA 300MG X25 BLISTER X4 CADA UNA </t>
  </si>
  <si>
    <t>CAJA CON 25 VBLISTER X4 GRAGEAS</t>
  </si>
  <si>
    <t xml:space="preserve">NEUBALIN 75MG- PREGABALINA 75MG  X30 </t>
  </si>
  <si>
    <t xml:space="preserve">SUPER MAGNESIUM 400MG  X100 - HEALTHY AMERICA </t>
  </si>
  <si>
    <t>69,500 X100</t>
  </si>
  <si>
    <t xml:space="preserve">CAJA SELLADA CON FRASC X100 SOFTGELS </t>
  </si>
  <si>
    <t xml:space="preserve">VITACEREBRINA *30 TABS </t>
  </si>
  <si>
    <t>54,000 X30</t>
  </si>
  <si>
    <t xml:space="preserve">FRASCO SELLADO *30 TABLETAS </t>
  </si>
  <si>
    <t xml:space="preserve">TIO NACHO ACLARANTE / JALEA REAL + MANZANILLA X415ML </t>
  </si>
  <si>
    <t xml:space="preserve">CAJA CON FRASCO SELLADO X415ML DE SHAMPOO </t>
  </si>
  <si>
    <t>HIALTEARS- 15ML</t>
  </si>
  <si>
    <t>51,000 X15ML</t>
  </si>
  <si>
    <t>KETOCONAZOL SHAMPOO FARMANAL *250ML</t>
  </si>
  <si>
    <t>FRASCO SELLADO CON SHAMPOO X120CC</t>
  </si>
  <si>
    <t>CARVEDILOL 25MG- GENFAR</t>
  </si>
  <si>
    <t>CAJA *30 TABLETAS - USO ORAL</t>
  </si>
  <si>
    <t xml:space="preserve">NEOGYNON / LEVONORGESTREL + ETINILESTRADIOL 0,25/0,05MG X21 TABS </t>
  </si>
  <si>
    <t>8,500 X21</t>
  </si>
  <si>
    <t xml:space="preserve">CAJA SELLADA *21 GRAGEAS ORAL </t>
  </si>
  <si>
    <t>AMITRIPTILINA 25MG *300 TAB - RECIPE</t>
  </si>
  <si>
    <t xml:space="preserve">BIOCICAR CREMA </t>
  </si>
  <si>
    <t>37,000 x60gr</t>
  </si>
  <si>
    <t xml:space="preserve">CAJA CON TUBO SELLADDO X60GR DE CREMA TOPICA </t>
  </si>
  <si>
    <t>VITAMINA B12 *10ML AMPOLLA / X12 AMPOLLAS</t>
  </si>
  <si>
    <t xml:space="preserve">CAJA *12 UNIDADES DE SOLUCIÓN INYECABLE *10ML  C/U </t>
  </si>
  <si>
    <t>PACK *10 TOALLAS + 24 PROTECTORES DIARIOS V CONFIDENT</t>
  </si>
  <si>
    <t xml:space="preserve">MELOXICAM 15MG / MEXICAM X10 TABS </t>
  </si>
  <si>
    <t>6,500 X10</t>
  </si>
  <si>
    <t xml:space="preserve">CAJA X10 TABLETAS ORALES EN BLISTER DE 10C/U </t>
  </si>
  <si>
    <t>KETOCONAZOL SHAMPOO FARMANAL *120ML</t>
  </si>
  <si>
    <t>18,000 X120CC</t>
  </si>
  <si>
    <t xml:space="preserve">ZARZAPARRILLA - ZAZAMAS </t>
  </si>
  <si>
    <t>FRASCO SELLADO X360ML DE SUSPENSION ORAL</t>
  </si>
  <si>
    <t xml:space="preserve">HIOSCINA + DIPIRONA AMPOLLA / ESPASMOKOV COMPUESTO </t>
  </si>
  <si>
    <t xml:space="preserve">CAJA X5 AMPOLLAS SOLUCION IJYECTABLE I.V O I.M </t>
  </si>
  <si>
    <t xml:space="preserve">SMECTA  VAINILLA NARNAJA - DIOSMECTITA 3GR  X10 SOBRES / </t>
  </si>
  <si>
    <t xml:space="preserve">CAJA *10 SOBRES </t>
  </si>
  <si>
    <t xml:space="preserve">SEDATIF PC *40 TAB (X40) </t>
  </si>
  <si>
    <t>56,000 X40</t>
  </si>
  <si>
    <t>CAJA SELLADA *40 TABLETAS DE MEDICAMENTO HOMEOPÁTICO</t>
  </si>
  <si>
    <t xml:space="preserve">BENZIRIN VERDE SPRAY </t>
  </si>
  <si>
    <t>58,000 X1</t>
  </si>
  <si>
    <t xml:space="preserve">FRASCO SELLADO *120ML SOLUCIÓN BUCAL </t>
  </si>
  <si>
    <t xml:space="preserve">FEMDUO OVULOS X10 / METRONIDAZOL + CLOTRIMAZOL 500/100MG </t>
  </si>
  <si>
    <t xml:space="preserve">CAJA X10 OVULOS EN BLISTER DE 5 C/U </t>
  </si>
  <si>
    <t>BACTRODERM ESPUMA X60ML</t>
  </si>
  <si>
    <t>FRASCO SELLADO X60ML DE ANTISEPTICO- SOLUCIÓN TÓPICA</t>
  </si>
  <si>
    <t xml:space="preserve">BACTRODERM BUCOFARINGEO - YODO POVIDONA BUCAL </t>
  </si>
  <si>
    <t xml:space="preserve">FRASCO SELLADO X120ML DE SUSPENSIÓN BUCAL </t>
  </si>
  <si>
    <t xml:space="preserve">AZITROMICINA SUSP / BAKZIA </t>
  </si>
  <si>
    <t xml:space="preserve">CAJA CON FRASCO SELLADO X15ML DE POLVO PARA RECONSTRUIR SUSPENSION ORAL </t>
  </si>
  <si>
    <t xml:space="preserve">ROSUVASTATINA 20MG - DISMIGRAS X30 </t>
  </si>
  <si>
    <t xml:space="preserve">DICLOFENACO 50MG CAJA X30- GENFAR TAB (X1) </t>
  </si>
  <si>
    <t xml:space="preserve">CAJA  *20 TABLETAS </t>
  </si>
  <si>
    <t xml:space="preserve">NATRILIX SR - INDAPAMINA 1,5MG  X30 </t>
  </si>
  <si>
    <t xml:space="preserve">CAJA SELLADA X30 TABLETAS DE LIBERACION PROLONGADA </t>
  </si>
  <si>
    <t xml:space="preserve">PRIMOSISTON X30 TABLETAS </t>
  </si>
  <si>
    <t>1,700 X1 
15,000 X10</t>
  </si>
  <si>
    <t xml:space="preserve">SENSODYNE 8 EN 1 - PROTECCIÓN COMPLETA  X2  180GR </t>
  </si>
  <si>
    <t>36,000 X2</t>
  </si>
  <si>
    <t xml:space="preserve">PACK SELLADO X2 CREMA DENTAL DE 90GR C/U </t>
  </si>
  <si>
    <t xml:space="preserve">ESOMEPRAZOL 40MG LAPROFF X100 TABLETAS ORALES </t>
  </si>
  <si>
    <t xml:space="preserve">ISODINE OVULOS - YODOPOVIDONA X24 </t>
  </si>
  <si>
    <t xml:space="preserve">CAJA *24 ÓVULOS </t>
  </si>
  <si>
    <t xml:space="preserve">METAMUCIL POLVO SOBRES X10 </t>
  </si>
  <si>
    <t xml:space="preserve">CAJA X10 SOBRES DE 5,8 GR CADA UNO EN EMPAQUE INDIVIDUAL CON FIBRA EN POLVO </t>
  </si>
  <si>
    <t xml:space="preserve">RIFAXIMINA 200MG X14 TABLETAS </t>
  </si>
  <si>
    <t xml:space="preserve">ISODINE SOLUCIÓN  X60ML </t>
  </si>
  <si>
    <t>FRASCO SELLADO *60ML DE SOLUCIÒN TÒPICA ESPUMA</t>
  </si>
  <si>
    <t>WASSERTROL *5ML GOTAS</t>
  </si>
  <si>
    <t xml:space="preserve">CAJA CON FRASCO SELLADO *5ML SUSPENSIÓN OFTÁLMICA ESTÉRIL </t>
  </si>
  <si>
    <t xml:space="preserve">GYNOPLUS / CLOTRIMAZOL + METRONIDAZOL 100/500MG X10 OVULOS </t>
  </si>
  <si>
    <t>CAJA X10 OVULOS EN BLISTER DE 5 C/U</t>
  </si>
  <si>
    <t>DOLORSIN FEM *36</t>
  </si>
  <si>
    <t xml:space="preserve">CAJA *36 CÁPSULAS DURAS CON CONTENIDO LIQUIDO </t>
  </si>
  <si>
    <t>METOFRMINA 500MG- GENFAR</t>
  </si>
  <si>
    <t>16,500 X10</t>
  </si>
  <si>
    <t xml:space="preserve">MIELTERTOS JARABE ADULTO </t>
  </si>
  <si>
    <t xml:space="preserve">CAJA SELLADA CON FRASCO SELLADO *240ML DE JARABE </t>
  </si>
  <si>
    <t>SENSODYNE 8 EN 1 - PROTECCIÓN COMPLETA  X90GR</t>
  </si>
  <si>
    <t>25,000 x1</t>
  </si>
  <si>
    <t xml:space="preserve">PACK SELLADO X1 CREMA DENTAL DE 90GR C/U </t>
  </si>
  <si>
    <t xml:space="preserve">PROTECTORES DAIRIOS LARGOS  MAYOR PROTECCIÓN  NOSOTRAS X80 UNIDADES </t>
  </si>
  <si>
    <t>20,000 X80</t>
  </si>
  <si>
    <t xml:space="preserve">PACK SELLADO X80 PROTECTORES INTIMOS </t>
  </si>
  <si>
    <t xml:space="preserve">TIO NACHO SHAMPOO ANTICANAS - HENA EGIPCIA </t>
  </si>
  <si>
    <t xml:space="preserve">NEOFUNGINA TALCO *100GR </t>
  </si>
  <si>
    <t>33,000 X1</t>
  </si>
  <si>
    <t xml:space="preserve">FRASCO SELLADO *100GR DE POLVO MEDICADO </t>
  </si>
  <si>
    <t>CALMIDOL COMPUESTO</t>
  </si>
  <si>
    <t>4,000 x1</t>
  </si>
  <si>
    <t xml:space="preserve">CAJA *48 CAPSULAS </t>
  </si>
  <si>
    <t xml:space="preserve">SINALGEN MAX TABLETAS </t>
  </si>
  <si>
    <t xml:space="preserve">AMPIDELT - AMPICILINA 500MG - CAPSULAS </t>
  </si>
  <si>
    <t>FUROSEMIDA 40MG - LA PROFF</t>
  </si>
  <si>
    <t>CAJA *300 TABLETAS</t>
  </si>
  <si>
    <t>ALMIPRO UNGÜENTO *30GR</t>
  </si>
  <si>
    <t xml:space="preserve">BERODUAL GOTAS NEBULIZAR </t>
  </si>
  <si>
    <t xml:space="preserve">CAJA CON FRASCO SELLAD X20ML DE SOLUCION PARA NEBULIZAR </t>
  </si>
  <si>
    <t>DOLEX BEBES</t>
  </si>
  <si>
    <t xml:space="preserve">CAJA CON FRASCO SELLADO *60ML DE JARABE </t>
  </si>
  <si>
    <t>DOLEX 2+ SUSP</t>
  </si>
  <si>
    <t xml:space="preserve">CAJA CON FRASCO SELLADO *90ML DE JARABE </t>
  </si>
  <si>
    <t xml:space="preserve">FREEGEN GOTAS *15ML </t>
  </si>
  <si>
    <t xml:space="preserve">46,000 X15ML </t>
  </si>
  <si>
    <t>CAJA CON FRASCO SELLADO *15ML DE SOLUCIÓN OFTÁLMICA</t>
  </si>
  <si>
    <t xml:space="preserve">FREEGEN GOTAS *10ML </t>
  </si>
  <si>
    <t>CAJA CON FRASCO SELLADO *10ML DE SOLUCIÓN OFTÁLMICA</t>
  </si>
  <si>
    <t>64,000 X14</t>
  </si>
  <si>
    <t xml:space="preserve">NORAVER GARGANTA MENTA *96 TABS </t>
  </si>
  <si>
    <t xml:space="preserve">CAJA *96 TABLETAS MASTICABLES </t>
  </si>
  <si>
    <t>CEPILLO CORONA 390 ADULTO- MASAJEADOR DE ENCIAS y tapita</t>
  </si>
  <si>
    <t xml:space="preserve">CEPILLO DENTAL SELLADO </t>
  </si>
  <si>
    <t xml:space="preserve">CERA PARA BRACKETS ZEN DENT X15 PACKS </t>
  </si>
  <si>
    <t>6,000 X5 BARRAS</t>
  </si>
  <si>
    <t xml:space="preserve">PACK SELLADO CON CERA PARA BRACKETS </t>
  </si>
  <si>
    <t>CEPILLO INTERDENTAL / INTERPROXIMAL + 2 REPUESTOS</t>
  </si>
  <si>
    <t>10,500 X1</t>
  </si>
  <si>
    <t xml:space="preserve">PACK SELLADO *1 CEPILLO INTERPROXIMAL +2 REPUESTOS </t>
  </si>
  <si>
    <t>7000 X10</t>
  </si>
  <si>
    <t xml:space="preserve">CORTIOFTAL GOTAS 1%- TQ / PREDNISOLONA ACETATO </t>
  </si>
  <si>
    <t>72,000 X1</t>
  </si>
  <si>
    <t>CAJA *5ML DE SUSPENSIÓN OFTÁLMICA</t>
  </si>
  <si>
    <t>ENTEROGERMINA X10 AMP</t>
  </si>
  <si>
    <t xml:space="preserve">CAJA *10 FRASCOS SELLADOS DE 5ML </t>
  </si>
  <si>
    <t xml:space="preserve">INTIBON JABON CALENDULA MUJER  X210GR </t>
  </si>
  <si>
    <t xml:space="preserve">18,500 X210GR </t>
  </si>
  <si>
    <t xml:space="preserve">FRASCO JABON X210GR </t>
  </si>
  <si>
    <t xml:space="preserve">INTIBON JABON CALENDULA MUJER  X120GR </t>
  </si>
  <si>
    <t>12,500 X1</t>
  </si>
  <si>
    <t xml:space="preserve">FRASCO JABON X120GR </t>
  </si>
  <si>
    <t>TRICONFUGADA GENFAR - BETAMETASONA/ CLOTRIMAZOL/ NEOMICINA-GR *40GR</t>
  </si>
  <si>
    <t>27000 X1</t>
  </si>
  <si>
    <t>CAJA CON TUBO SELLADO *40GR DE CREMA TOPICA</t>
  </si>
  <si>
    <t xml:space="preserve">CLOROFILA - CLOROMED SUSPENSIÓN </t>
  </si>
  <si>
    <t xml:space="preserve">CAJA CON FRASCO SELLADO 375ML </t>
  </si>
  <si>
    <t>NEUROLIFE- NEURQLIFE SUSP</t>
  </si>
  <si>
    <t>CAJA CON FRASCO X360ML DE SUSPENSION ORAL</t>
  </si>
  <si>
    <t xml:space="preserve">INTIBON JABON CALENDULA MUJER 210GR +  X120GR </t>
  </si>
  <si>
    <t xml:space="preserve">27,000 </t>
  </si>
  <si>
    <t>63,000 X1</t>
  </si>
  <si>
    <t>29,000 x1</t>
  </si>
  <si>
    <t xml:space="preserve">CLARITROMICINA TABLETAS - X50 LAPROFF </t>
  </si>
  <si>
    <t>19,000 X10</t>
  </si>
  <si>
    <t xml:space="preserve">CAJA X50 TABELTAS RECUBIERTAS ORALES </t>
  </si>
  <si>
    <t>DORMEX/ DICLOFENACO 100MG</t>
  </si>
  <si>
    <t xml:space="preserve">CAJA *20 CÁPSULAS </t>
  </si>
  <si>
    <t>DICLOFENACO 75MG *100 AMP</t>
  </si>
  <si>
    <t>3,500 x1</t>
  </si>
  <si>
    <t>CAJA *100 AMPOLLAS SOLUCIÓN INYECTABLE</t>
  </si>
  <si>
    <t>FLORATIL SOBRES / saccharomyces boulardii cncm i-745</t>
  </si>
  <si>
    <t>7,500 X1</t>
  </si>
  <si>
    <t xml:space="preserve">CAJA SELLADA X20 SOBRES DE POLVO PARA RECONSTRUIR </t>
  </si>
  <si>
    <t xml:space="preserve">MULTIDOL 800MG - X30 CPAS </t>
  </si>
  <si>
    <t xml:space="preserve">CAJA X30 CAPSULAS GELATINA </t>
  </si>
  <si>
    <t xml:space="preserve">TRIMEBUTINA 200MG </t>
  </si>
  <si>
    <t>4,000 X10</t>
  </si>
  <si>
    <t xml:space="preserve">CAJA SELLADA *300 TABLETAS </t>
  </si>
  <si>
    <t xml:space="preserve">HEPANAT - SILIMARINA X30 TABLETAS </t>
  </si>
  <si>
    <t xml:space="preserve">WASSERTROL UNGÜENTO X5GR </t>
  </si>
  <si>
    <t xml:space="preserve">CAJA CON FRASCO SELLADO *5GR DE UNGÜENTO OFTÁLMICA ESTÉRIL </t>
  </si>
  <si>
    <t xml:space="preserve">VALERIANA + PASIGLORA X60ML - BOTANITAS </t>
  </si>
  <si>
    <t xml:space="preserve">FRASCO SELLADO X60ML DE GOTAS ORALES </t>
  </si>
  <si>
    <t>LADIET 150 TAB</t>
  </si>
  <si>
    <t>10,500 X150</t>
  </si>
  <si>
    <t>SERTAL GOTAS</t>
  </si>
  <si>
    <t xml:space="preserve">CAJA CON FRASCO SELLADO *20ML GOTAS ORALES </t>
  </si>
  <si>
    <t xml:space="preserve">UNESIA *20GR </t>
  </si>
  <si>
    <t>ADVIL MAX *72 CAPS</t>
  </si>
  <si>
    <t>4,400 X2</t>
  </si>
  <si>
    <t>CAJA *72 CAPSULAS LIQUIDAS</t>
  </si>
  <si>
    <t xml:space="preserve">ODONTRIX ENJUAGUE X180ML </t>
  </si>
  <si>
    <t>41,500 X1</t>
  </si>
  <si>
    <t xml:space="preserve">FRASCO SELLADO X180ML DE SOLUCION BUCAL ANTISEPTICA </t>
  </si>
  <si>
    <t xml:space="preserve">TOALLAS NOSOTRAS INVISIBLE CLASICA X10 - NATURAL V </t>
  </si>
  <si>
    <t>PACK SELLADO *10 TOALLAS INVISIBLES + 2 TOALLAS NOCHE</t>
  </si>
  <si>
    <t>TOALLAS NOSOTRAS RAPIGEL INVISIBLES RAPIGEL *30</t>
  </si>
  <si>
    <t xml:space="preserve">LIDOCAINA INYECTABLE X10ML / 2% </t>
  </si>
  <si>
    <t xml:space="preserve">11,000 X10ML </t>
  </si>
  <si>
    <t xml:space="preserve">CAJA CON FRASCO X10ML DE SOLUCION INYECTABLE </t>
  </si>
  <si>
    <t xml:space="preserve">DELTMOXI - AMOXICILINA 500MG X100 CAPS </t>
  </si>
  <si>
    <t>CAJA X100 CAPSULAS</t>
  </si>
  <si>
    <t>SLINDA</t>
  </si>
  <si>
    <t>52,000 X1</t>
  </si>
  <si>
    <t>CAJA SELLADA *28 TABLETAS RECUBIERTAS</t>
  </si>
  <si>
    <t xml:space="preserve">CRONOFEN GOTAS </t>
  </si>
  <si>
    <t>CYCLOFEM</t>
  </si>
  <si>
    <t>CAJA CON AMPOLLA SELLADA *1</t>
  </si>
  <si>
    <t>X RAY DOL *48 TAB</t>
  </si>
  <si>
    <t>CAJA *48 TABLETAS CAPSULARES</t>
  </si>
  <si>
    <t xml:space="preserve">GUANTES NITRILO TALLA L X50 PARES NEGROS - BEGUT </t>
  </si>
  <si>
    <t>1,500 X2</t>
  </si>
  <si>
    <t xml:space="preserve">CAJA X50 PARES DE GUANTES </t>
  </si>
  <si>
    <t xml:space="preserve">INHALOCAMRA PEDIATRICA - RV RESPIRANDO VIDA </t>
  </si>
  <si>
    <t xml:space="preserve">PACK SELLADO X1 INHALOCAMARA PEDIATRICA </t>
  </si>
  <si>
    <t xml:space="preserve">INHALOCAMARA ADULTO- RESPIRANDO VIDA </t>
  </si>
  <si>
    <t xml:space="preserve">TOALLAS NOSOTRAS INVISIBLE CLASICA - MULTIFORMA V X10 </t>
  </si>
  <si>
    <t xml:space="preserve">PACK SELLADO *10 TOALLAS INVISIBLES + 5 PROTECTORES MULTIESTILO </t>
  </si>
  <si>
    <t>PRUEBA 5 SUSTANCIAS 5 EN 1 - MARIHUANA/ COCAINA/ ANFETAMINAS/ OPIACEOS/ BENZODIAZEPINAS</t>
  </si>
  <si>
    <t xml:space="preserve">CAJA CON PRUEBA DE 5 SUSTANCIAS </t>
  </si>
  <si>
    <t>ACIDO ACETILSALICILICO GENFAR - ASA X100 TABS</t>
  </si>
  <si>
    <t>CAJA *100 COMPRIMIDOS</t>
  </si>
  <si>
    <t xml:space="preserve">COLIK FORTE  - NAPROXENO 220 MG - ACETAMINOFEN 250 MG - CAFEINA 65 MG / X15 TABLETAS </t>
  </si>
  <si>
    <t>1500 X1</t>
  </si>
  <si>
    <t>CAJA *15 TABLETAS RECUBIERTAS</t>
  </si>
  <si>
    <t xml:space="preserve">JABON NEKO EXTRAPROTECCIÓN - BARRA X110GR </t>
  </si>
  <si>
    <t xml:space="preserve">CAJA SELLADA *1 BARRA DE JABÓN </t>
  </si>
  <si>
    <t>JABON NEKO ALOE</t>
  </si>
  <si>
    <t xml:space="preserve">JABON NEKO AVENA </t>
  </si>
  <si>
    <t>LUMBAL MAX ESPALDA ALTA / NAPR + ACET+ CAFEI</t>
  </si>
  <si>
    <t xml:space="preserve">ADVIL ESPALDA Y CUELLO </t>
  </si>
  <si>
    <t xml:space="preserve">CAJA X20 CAPSULAS LIQUIDAS EN EMPAQUE INDIVIDUAL CADA UNA </t>
  </si>
  <si>
    <t>NELIND- NISTATINA + OXIDO DEZINC 40GR</t>
  </si>
  <si>
    <t>19,000 X1</t>
  </si>
  <si>
    <t xml:space="preserve">CAJA CON TUBO  SELLADO DE 40GR CREMA </t>
  </si>
  <si>
    <t xml:space="preserve">ANTIKASP SHAMPOO X24 SOBRES - PIRITIONATO DE ZINC / SULFURO DE SELENIO </t>
  </si>
  <si>
    <t>CAJA *24 SACHET DE 15ML C/U</t>
  </si>
  <si>
    <t xml:space="preserve">ANTIKASP SHAMPOO X200ML - PIRITIONATO DE ZINC / SULFURO DE SELENIO </t>
  </si>
  <si>
    <t>POTE SELLADO X200ML DE SHAMPOO</t>
  </si>
  <si>
    <t xml:space="preserve">ATORVASTATINA 40MG ECAR X100 </t>
  </si>
  <si>
    <t>3,900 X1</t>
  </si>
  <si>
    <t>FINIGAX MASTICABLE MENTA  *20</t>
  </si>
  <si>
    <t xml:space="preserve">CAJA *20 TABLETAS MASTICABLES </t>
  </si>
  <si>
    <t xml:space="preserve">MUCOSINA GOTAS PEDIATRICA </t>
  </si>
  <si>
    <t xml:space="preserve">CAJA SELLADA *30ML GOTAS PEDIÁTRICAS </t>
  </si>
  <si>
    <t>LADIET 500TAB +150 TAB</t>
  </si>
  <si>
    <t xml:space="preserve">ASPIRINA 100 MG X140 TABS- ACIDO ACETILSALICILICO 100MG </t>
  </si>
  <si>
    <t>8,000 X14</t>
  </si>
  <si>
    <t>CAJA SELLADA *140 TABLETAS</t>
  </si>
  <si>
    <t xml:space="preserve">AZITROMICINA 200MG/5ML - POLVO COASPHARMA </t>
  </si>
  <si>
    <t>ESCITALOPRAM 10MG- MEMPHIS  *30</t>
  </si>
  <si>
    <t>26,000 X30</t>
  </si>
  <si>
    <t xml:space="preserve">CAJA  *30 TABLETAS </t>
  </si>
  <si>
    <t xml:space="preserve">NEXT GL X48 - IBUPROFENO + FENILEFRINA + CETIRIZINA </t>
  </si>
  <si>
    <t xml:space="preserve">CAJA *48 CAPSULAS BLANDAS </t>
  </si>
  <si>
    <t xml:space="preserve">HIELO MINERAL GEL X200GR </t>
  </si>
  <si>
    <t xml:space="preserve">FRASCO SELLADO X200GR DE GEL TOPICO </t>
  </si>
  <si>
    <t>8,500 X15</t>
  </si>
  <si>
    <t xml:space="preserve">CAJA X30 TABLETAS ORALES EN BLISTER DE 15 C/U </t>
  </si>
  <si>
    <t>PROPANOLOL 40MG - COASPHARMA</t>
  </si>
  <si>
    <t>6,0000 X10</t>
  </si>
  <si>
    <t>CAJA *20 TABLETAS</t>
  </si>
  <si>
    <t>52,000 X90</t>
  </si>
  <si>
    <t xml:space="preserve">DICLOXACILINA CAPSULAS - OPHALAC </t>
  </si>
  <si>
    <t xml:space="preserve">CAJA X50 CAPSULAS ORALES, EN BLISTER DE 10 C/U </t>
  </si>
  <si>
    <t xml:space="preserve">SULTAMICILINA 375MG TABS X10 / BACMICINE </t>
  </si>
  <si>
    <t>50,000 X10</t>
  </si>
  <si>
    <t>ACIDO BORICO BOLSA *200GR *- YOMA</t>
  </si>
  <si>
    <t xml:space="preserve">BOLSA SELLADA *200 GR </t>
  </si>
  <si>
    <t xml:space="preserve">ESPASMO SILIGAS </t>
  </si>
  <si>
    <t xml:space="preserve">CAJA CON FRASCO SELLADO *30ML DE SUSPENSION ORAL </t>
  </si>
  <si>
    <t xml:space="preserve">VITAMINA B12 *1 ML AMPOLLA X25 </t>
  </si>
  <si>
    <t xml:space="preserve">CAJA X25 UNIDADES I.M S.C </t>
  </si>
  <si>
    <t>ACID MANTLE TATTOO  *30GR</t>
  </si>
  <si>
    <t>CAJA CON TUBO SELLADO *30GR DE CREMA PROTECTORA</t>
  </si>
  <si>
    <t>ASA - ACIDO ACETILSALICILICO - MK</t>
  </si>
  <si>
    <t>3,500 X10</t>
  </si>
  <si>
    <t xml:space="preserve">ALMIPRO EMOLIENTE CORPORAL X400GR </t>
  </si>
  <si>
    <t xml:space="preserve">FRASCO X400GR DE CREMA CORPORAL </t>
  </si>
  <si>
    <t xml:space="preserve">ALMIPRO BARRA  - SYNDET ALOE VERA Y AVENA </t>
  </si>
  <si>
    <t xml:space="preserve">FRASCO SELLADO X200ML DE LIMPIADOR LIQUIDO </t>
  </si>
  <si>
    <t>LOSARTAN 50MG- GENFAR</t>
  </si>
  <si>
    <t>15,000 X30</t>
  </si>
  <si>
    <t>CAJA *30 TABLETAS RECUVIERTAS VIA ORAL</t>
  </si>
  <si>
    <t>ORLISTAT 120MG - ECAR  X30</t>
  </si>
  <si>
    <t xml:space="preserve">CEREBRIT DOYPACK  X100GR </t>
  </si>
  <si>
    <t xml:space="preserve">9,500 X100GR </t>
  </si>
  <si>
    <t xml:space="preserve">PACK SELLADA CON CIERRE HERMETICO X100GR POLVO KOLA GRANULADA </t>
  </si>
  <si>
    <t xml:space="preserve">CEREBRIT DISPLAY X8 SOBRES 15GR C/U  </t>
  </si>
  <si>
    <t xml:space="preserve">CAJA DISPLAY X8 SOBRES DE 15GR C/U </t>
  </si>
  <si>
    <t xml:space="preserve">LEVOTIROXINA 100MCG - SIEGFRIED X50 TABS </t>
  </si>
  <si>
    <t xml:space="preserve">METRONIDAZOL + NISTATINA OVULOS X10 MK </t>
  </si>
  <si>
    <t xml:space="preserve">CAJA X10 OVULOS EN EMPAQUE INDIVIDUAL CADA UNO </t>
  </si>
  <si>
    <t>METROXAZIDE SUSP X120ML / METRONIDAZOL + NIFUROXAZIDE - BIOQUIFAR</t>
  </si>
  <si>
    <t>30,000 X9</t>
  </si>
  <si>
    <t>TENA SLIP COMFORT TALLA M X9</t>
  </si>
  <si>
    <t>28,000 X9</t>
  </si>
  <si>
    <t xml:space="preserve">LUBRIDERM REPARACIÓN INTENSIVA *120ML </t>
  </si>
  <si>
    <t>FRASCO *-120ML DE CREMA HUMECTANTE</t>
  </si>
  <si>
    <t>LUBRIDERM REPARACIÓN INTENSIVA *750ML</t>
  </si>
  <si>
    <t>68,000 X1</t>
  </si>
  <si>
    <t>FRASCO X750ML DE CREMA HUMECTANTE</t>
  </si>
  <si>
    <t xml:space="preserve">LUBRIDERM HUMECTACIÓN DELICADA  X200ML  -VERDE PIEL SENSIBLE </t>
  </si>
  <si>
    <t>FRASCO *400ML DE CREMA HUMECTANTE</t>
  </si>
  <si>
    <t xml:space="preserve">LUBRIDERM REPARACIÓN INTENSIVA *200ML - DORADA </t>
  </si>
  <si>
    <t>FRASCO *-200ML DE CREMA HUMECTANTE</t>
  </si>
  <si>
    <t xml:space="preserve">LIBELLE </t>
  </si>
  <si>
    <t>9,000 X2</t>
  </si>
  <si>
    <t xml:space="preserve">ACEITE JOHNSON X50ML </t>
  </si>
  <si>
    <t>7,800 X50ML</t>
  </si>
  <si>
    <t xml:space="preserve">FRASCO SELLADO X50ML DE ACEITE CORPORAL </t>
  </si>
  <si>
    <t xml:space="preserve">FITOESTIMOLINE CREMA *15GR </t>
  </si>
  <si>
    <t>45,500 X1</t>
  </si>
  <si>
    <t xml:space="preserve">CAJA CON TUBO SELLADO *15GR DE CREMA </t>
  </si>
  <si>
    <t xml:space="preserve">GENTAMICINA 160MG VITALIS X10 </t>
  </si>
  <si>
    <t xml:space="preserve">CAJA X10 AMPOLLA INDIVIDUALES DE 2ML C/U CON SOLUCIÓN INYECTABLE I.M O I.V </t>
  </si>
  <si>
    <t xml:space="preserve">LUBRIDERM HUMECTACIÓN DELICADA  X120ML  -VERDE PIEL SENSIBLE </t>
  </si>
  <si>
    <t>17,500 X1</t>
  </si>
  <si>
    <t>FRASCO *120ML DE CREMA HUMECTANTE</t>
  </si>
  <si>
    <t>LUBRIDERM HUMECTACIÓN DELICADA  *400ML  -VERDE PIEL SENSIBLE</t>
  </si>
  <si>
    <t xml:space="preserve">41,500 X400ML </t>
  </si>
  <si>
    <t xml:space="preserve">LUBRIDERM HUMECTACIÓN DIARIA -AZUL *120ML </t>
  </si>
  <si>
    <t xml:space="preserve">FRASCO *120ML DE CREMA HUMECTANTE </t>
  </si>
  <si>
    <t xml:space="preserve">LUBRIDERM HUMECTACIÓN DIARIA -AZUL X400ML </t>
  </si>
  <si>
    <t>41,000 X400ML</t>
  </si>
  <si>
    <t xml:space="preserve">FRASCO X400ML DE CREMA HUMECTANTE </t>
  </si>
  <si>
    <t xml:space="preserve">LUBRIDERM REPARACIÓN INTENSIVA X400ML - DORADA </t>
  </si>
  <si>
    <t xml:space="preserve">51,000 X400ML </t>
  </si>
  <si>
    <t>FRASCO *-400ML DE CREMA HUMECTANTE</t>
  </si>
  <si>
    <t>6,800 X4</t>
  </si>
  <si>
    <t xml:space="preserve">PROCTO-GLYVENOL *5 SUPOSITORIOS </t>
  </si>
  <si>
    <t>69,000 X5</t>
  </si>
  <si>
    <t xml:space="preserve">CAJA SELLADA *5 SUPOSITORIOS </t>
  </si>
  <si>
    <t>ALCOHOL *350ML JGB</t>
  </si>
  <si>
    <t xml:space="preserve">ARNIK FORTE X60GR  - POTE ARNIKA + CALENDULA </t>
  </si>
  <si>
    <t xml:space="preserve">32,000 X1 </t>
  </si>
  <si>
    <t xml:space="preserve">CAJA CON POTE X60GR DE CREMA TOPICA </t>
  </si>
  <si>
    <t xml:space="preserve">DOLEX 7+ - JARABE </t>
  </si>
  <si>
    <t xml:space="preserve">CAJA X1 FRASCO SELLADO DE 120ML DE SOLUCION ORAL </t>
  </si>
  <si>
    <t xml:space="preserve">IRBESARTAN 150MG - IRBIGEN  X30 TABLETAS </t>
  </si>
  <si>
    <t xml:space="preserve">CAJA X30 TABLETAS RECUBIERTAS </t>
  </si>
  <si>
    <t>DIOSMETITA 3GR - BIOFLUIDOS X10</t>
  </si>
  <si>
    <t xml:space="preserve">CAJA X10 SOBRES EN EMPAQUE INDIVIDUAL CADA UNO DE POLVO PARA SUSPENSION ORAL </t>
  </si>
  <si>
    <t>BISOPROLOL 2.5MG MK - X30</t>
  </si>
  <si>
    <t>12,000 X30</t>
  </si>
  <si>
    <t xml:space="preserve">CAJA CON FRASCO SELLADO X30 TABLETAS </t>
  </si>
  <si>
    <t xml:space="preserve">LORATADINA TAB- LAPROFF 10MG *400 TABLETAS </t>
  </si>
  <si>
    <r>
      <rPr>
        <b/>
        <sz val="12"/>
        <color rgb="FF0A0A0A"/>
        <rFont val="Google Sans"/>
      </rPr>
      <t>ACEITE Johnson Baby Antes de Dormir</t>
    </r>
    <r>
      <rPr>
        <sz val="12"/>
        <color rgb="FF0A0A0A"/>
        <rFont val="Google Sans"/>
      </rPr>
      <t> X100ML</t>
    </r>
  </si>
  <si>
    <t xml:space="preserve">15,800 X100ML </t>
  </si>
  <si>
    <t xml:space="preserve">ACEITE JOHNSON ORIGINAL  X50ML </t>
  </si>
  <si>
    <t xml:space="preserve">38,000 X300ML </t>
  </si>
  <si>
    <t xml:space="preserve">FRASCO SELLADO X300ML DE ACEITE CORPORAL </t>
  </si>
  <si>
    <t xml:space="preserve">LUBRIDERM HUMECTACIÓN DIARIA -AZUL X400ML + 120ML </t>
  </si>
  <si>
    <t>47,000 X400 +120ML%</t>
  </si>
  <si>
    <t xml:space="preserve">FRASCO X400ML + 120ML DE CREMA HUMECTANTE </t>
  </si>
  <si>
    <t xml:space="preserve">LUBRIDERM HUMECTACIÓN DIARIA -AZUL X200ML </t>
  </si>
  <si>
    <t xml:space="preserve">26,000 X200ML </t>
  </si>
  <si>
    <t xml:space="preserve">FRASCO X200ML DE CREMA HUMECTANTE </t>
  </si>
  <si>
    <t>ROXICAINA 5%- POMADA</t>
  </si>
  <si>
    <t xml:space="preserve">CAJA *10GR POMADA USO TÓPICO </t>
  </si>
  <si>
    <t>LAGRIFRESH</t>
  </si>
  <si>
    <t xml:space="preserve">CAJA CON FRASCO SELLADO *15ML DE SOLUCION OFTALMICA </t>
  </si>
  <si>
    <t xml:space="preserve">FLUCONAZOL 200MG X4 - COLMED </t>
  </si>
  <si>
    <t xml:space="preserve">CAJA X5 CAPSULAS ORALES </t>
  </si>
  <si>
    <t>DOSFLEM NIÑOS *120ML / GUAYACOLATO 1GR + BROMHEXINA CLORHIDRATO 0,040GR</t>
  </si>
  <si>
    <t xml:space="preserve">LEVOFLOXACINO 500MG X14 - FLURINEX  BIOQUIFAR </t>
  </si>
  <si>
    <t>29,000 X14</t>
  </si>
  <si>
    <t xml:space="preserve">CAJA X14 TABLETAS EN EMPAQUE INDIVIDUAL CADA UNA </t>
  </si>
  <si>
    <t xml:space="preserve">ACAR KLEAN SPRAY 200ML </t>
  </si>
  <si>
    <t xml:space="preserve">FRASCO X200ML DE AEROSOL </t>
  </si>
  <si>
    <t xml:space="preserve">FLUIMUCIL 600MG X30 SOBRES / N-ACETILCISTEINA </t>
  </si>
  <si>
    <t xml:space="preserve">CAJA *30 SOBRES GRANULADOS </t>
  </si>
  <si>
    <t xml:space="preserve">POSTINOR 1 TABLETA </t>
  </si>
  <si>
    <t>CAJA SELLADA X1 TABLETAS</t>
  </si>
  <si>
    <t>3,200 X2</t>
  </si>
  <si>
    <t xml:space="preserve">CETIRIZINA TABLETAS 10MG - X400 TABS </t>
  </si>
  <si>
    <t xml:space="preserve">CAJA X400 TABLETAS EN BLISTER DE 10 C/U </t>
  </si>
  <si>
    <t>FIXOMULL BLANCO 10CM *2MTS (39C)</t>
  </si>
  <si>
    <t>3,000X1</t>
  </si>
  <si>
    <t>CAJA *1 ROLLO DE 10CM- *2 MTS DE PELICULA BLANCA</t>
  </si>
  <si>
    <t xml:space="preserve">MAREOL *72 - DIMENHIDRINATO 50MG </t>
  </si>
  <si>
    <t>CAJA *72 TABLETAS VÍA ORAL</t>
  </si>
  <si>
    <t>CICLOBENZAPRINA CLORHIDRATO 10MG - GENFAR X30</t>
  </si>
  <si>
    <t>ACICLOVIR 5% - VIVIRSON</t>
  </si>
  <si>
    <t>DOR-2 - TRAMADOL + ACETAMINOFEN TAB  *10</t>
  </si>
  <si>
    <t>26,000 X10</t>
  </si>
  <si>
    <t xml:space="preserve">CAJA *10 TABLETAS </t>
  </si>
  <si>
    <t xml:space="preserve">ETORICOXIB 60MG- TORROX X10 </t>
  </si>
  <si>
    <t>30,000 X10</t>
  </si>
  <si>
    <t xml:space="preserve">ASPROMIO - BROMURO IPRATROPIO BUCAL 20MCG </t>
  </si>
  <si>
    <t xml:space="preserve">CAJA X1 INHALADOR BUCAL </t>
  </si>
  <si>
    <t xml:space="preserve">CHAPSTICK MEDICADO </t>
  </si>
  <si>
    <t xml:space="preserve">PACK SELLADO 1 PROTECTOR LABIAL- REPARADOR </t>
  </si>
  <si>
    <t>ENOXAPARINA SODICA 40 MG  DELTA/0,4 ML X10 AMPOLLAS</t>
  </si>
  <si>
    <t>CAJA SELLADA *JERINGAS PRELLENADAS</t>
  </si>
  <si>
    <t xml:space="preserve">ETORICOXIB 90MG - TORROX 90MG </t>
  </si>
  <si>
    <t xml:space="preserve">  </t>
  </si>
  <si>
    <t>CITOQUIMICO CEPILAB -  X100</t>
  </si>
  <si>
    <t xml:space="preserve">200 UNIDADES DE FRASCO CITOQUIMICO PARA MUESTRA DE ORINA </t>
  </si>
  <si>
    <t xml:space="preserve">TADALAFILO 20MG X4 TABS </t>
  </si>
  <si>
    <t>14,000 X4</t>
  </si>
  <si>
    <t xml:space="preserve">CAJA X4 TABLETAS ORALES </t>
  </si>
  <si>
    <t>ACID MANTLE JABON X3</t>
  </si>
  <si>
    <t>CAJA SELLADA X90GR DE JABÒN EN BARRA</t>
  </si>
  <si>
    <t>SAL DE MAR *400GR- YOMA</t>
  </si>
  <si>
    <t xml:space="preserve">BOLSA SELLADA * 400 GR DE SAL DE MAR </t>
  </si>
  <si>
    <t>IBUFLASH ULTRAFORTE X18 CAPS</t>
  </si>
  <si>
    <t xml:space="preserve">CAJA SELLADA *18 CÁPSULAS LÍQUIDAS </t>
  </si>
  <si>
    <t xml:space="preserve">PROCICAR NF *60GR </t>
  </si>
  <si>
    <t>CAJA CON POTE SELLADO *60GR DE CREMA</t>
  </si>
  <si>
    <t>ATORVASTATINA 20MG - ECAR X100</t>
  </si>
  <si>
    <t xml:space="preserve">CAJA *3 CONDONES </t>
  </si>
  <si>
    <t>POMADA PEÑA *25GR</t>
  </si>
  <si>
    <t>19%%</t>
  </si>
  <si>
    <t>FRASCO SELLADO *25GR DE POMADA TÓPICA</t>
  </si>
  <si>
    <t>25,500 X1</t>
  </si>
  <si>
    <t>OLMESARTAN 20MG - OLMEDOXTAN X30</t>
  </si>
  <si>
    <t>25,000 X30</t>
  </si>
  <si>
    <t xml:space="preserve">STOPEN 20MG - PIROXICAM X50 CAPSULAS </t>
  </si>
  <si>
    <t>5,400 X2</t>
  </si>
  <si>
    <t>CAJA *100 CÁPSULAS</t>
  </si>
  <si>
    <t>TINIDAZOL 500MG TABS X8 . GENFAR</t>
  </si>
  <si>
    <t>7,000 X8</t>
  </si>
  <si>
    <t xml:space="preserve">CAJA X8 TABLETAS ORALES RECUBIERTAS </t>
  </si>
  <si>
    <t>DICLOFENACO 1% GEL- VITALIS</t>
  </si>
  <si>
    <t xml:space="preserve">CAJA CON TUBO SELLADO *50GR DE GEL TOPICO </t>
  </si>
  <si>
    <t xml:space="preserve">PROCICAR  *60GR </t>
  </si>
  <si>
    <t>54,000 X1</t>
  </si>
  <si>
    <t xml:space="preserve">TADALAFILO 20MG / VERELIS X4 TABS </t>
  </si>
  <si>
    <t>24,000 X4</t>
  </si>
  <si>
    <t xml:space="preserve">CAJA X4 TABLETAS RECUBIERTAS  ORALES </t>
  </si>
  <si>
    <t xml:space="preserve">BECLOMETASONA - ECLOSYNT NASAL 50MCG </t>
  </si>
  <si>
    <t>48,000 X1</t>
  </si>
  <si>
    <t xml:space="preserve">CAJA SELLADA *1 INHALADOR 50MCG </t>
  </si>
  <si>
    <t>DUREX REAL FEEL- CONDON *3</t>
  </si>
  <si>
    <t>25,000 x3</t>
  </si>
  <si>
    <t xml:space="preserve">ALMIPRO CREMA EXTRA HUMECTANTE - X450GR </t>
  </si>
  <si>
    <t>56,000 x1</t>
  </si>
  <si>
    <t xml:space="preserve">POTE SELLADO X450GR DE CREMA CORPORAL </t>
  </si>
  <si>
    <t xml:space="preserve">TAMSULOSINA CLORHIDRATO - DEMULIN ER 0,4MG </t>
  </si>
  <si>
    <t xml:space="preserve">CAJA X30 CAPSULAS DE LIBERACIÓN PROLONGADA </t>
  </si>
  <si>
    <t xml:space="preserve">HIELO MINERAL GEL X460GR </t>
  </si>
  <si>
    <t xml:space="preserve">FRASCO SELLADO X460GR DE GEL TOPICO </t>
  </si>
  <si>
    <t xml:space="preserve">NEUROBION *3AMP </t>
  </si>
  <si>
    <t xml:space="preserve">CAJA SELLADA X3 AMPOLLAS SOLUCIÓN INYCTABLE </t>
  </si>
  <si>
    <t xml:space="preserve">PREGABALINA 150MG - EPIBALIN X30 </t>
  </si>
  <si>
    <t>15,500 X10</t>
  </si>
  <si>
    <t xml:space="preserve">NOVOXICAM - MELOXICAM 15MG </t>
  </si>
  <si>
    <t xml:space="preserve">OMEGA 3 - FISH OIL 1200MG - HELTHY AMERICA  X60 SOFT GELS </t>
  </si>
  <si>
    <t>65,000 X100</t>
  </si>
  <si>
    <t xml:space="preserve">CAJA SELLADA CON FRASCO SELLADO X100 SOFTGELS ORALES </t>
  </si>
  <si>
    <t>NOXPIRIN PLUS X120 CAPS - PAGUE 120 LLEVE 124</t>
  </si>
  <si>
    <t xml:space="preserve">CAJA *120 CAPSULAS </t>
  </si>
  <si>
    <t xml:space="preserve">IBUPROFENO 400MG - INUPRODELTA </t>
  </si>
  <si>
    <t xml:space="preserve">CAJA X 100 TABLETAS ORALES EN BLISTER DE 10 C/U </t>
  </si>
  <si>
    <t xml:space="preserve">VALSARTAN 80MG X14 TABLETAS - LA SANTE </t>
  </si>
  <si>
    <t>12,000 X14</t>
  </si>
  <si>
    <t xml:space="preserve">CAJA X14 TABLETAS RECUBIERTAS ORALES </t>
  </si>
  <si>
    <t>ACIDO BORICO BOLSA *400GR *- YOMA</t>
  </si>
  <si>
    <t xml:space="preserve">FEXOFENADINA TABLETAS X120MG TABS X10 </t>
  </si>
  <si>
    <t>22,000 X10</t>
  </si>
  <si>
    <t>LOMECAN V  OVULOS *3</t>
  </si>
  <si>
    <t>49,000 X3</t>
  </si>
  <si>
    <t xml:space="preserve">CAKA SEÑÑADA *3 OVULOS VAGINALES </t>
  </si>
  <si>
    <t>ANTAX *170ML</t>
  </si>
  <si>
    <t xml:space="preserve">20,000 X170ML </t>
  </si>
  <si>
    <t>FRASCO SELLADO *170ML SUSPENSIÓN DE CALÉNDULA</t>
  </si>
  <si>
    <t>ANTAX *360ML</t>
  </si>
  <si>
    <t>FRASCO SELLADO *360ML SUSPENSIÓN DE CALÉNDULA</t>
  </si>
  <si>
    <t>CYCLOFEMINA</t>
  </si>
  <si>
    <t xml:space="preserve">CAJA SELLADA *1 AMPOLLETA DE 0,5ML </t>
  </si>
  <si>
    <t xml:space="preserve">DORIXINA RELAX </t>
  </si>
  <si>
    <t>3500 X1</t>
  </si>
  <si>
    <t xml:space="preserve">CAJA *100 COMPRIMIDOS RECUBIERTOS </t>
  </si>
  <si>
    <t xml:space="preserve">PROCATEC - CIPROFLOXACINO TAB </t>
  </si>
  <si>
    <t>4400 X2</t>
  </si>
  <si>
    <t xml:space="preserve">CAJA CON BARRA DE JABON 100GR CORPORAL EN BOLSA SELLADA </t>
  </si>
  <si>
    <t>BETALOC ZOK 25MG</t>
  </si>
  <si>
    <t xml:space="preserve">CAJA SELLADA *30 TABLETAS DE LIBERACION PROLONGADA </t>
  </si>
  <si>
    <t>COLAGENO+ BIOTINA X100 - MEDICK</t>
  </si>
  <si>
    <t>53,000 X100</t>
  </si>
  <si>
    <t xml:space="preserve">FRASCO SELLADO X100 CASPULAS BLANDAS ORALES </t>
  </si>
  <si>
    <t>COLAGENO+ BIOTINA *60 - MEDICK</t>
  </si>
  <si>
    <t>39,000 X60</t>
  </si>
  <si>
    <t xml:space="preserve">FRASCO SELLADO X60 CASPULAS BLANDAS ORALES </t>
  </si>
  <si>
    <t>14,000 X20GR</t>
  </si>
  <si>
    <t>RISPERIDONA 2MG - MK  X20</t>
  </si>
  <si>
    <t>21,000 X20</t>
  </si>
  <si>
    <t>GLICERINA CARBONATADA *20ML- YOMA</t>
  </si>
  <si>
    <t xml:space="preserve">FRASCO SELLADO *20CC DE GLICERINA CARBONATADA </t>
  </si>
  <si>
    <t>LOPERAMIDA 2MG LA PROFF</t>
  </si>
  <si>
    <t>2,000 X6</t>
  </si>
  <si>
    <t xml:space="preserve">CAJA SELLADA *240 TABLETAS </t>
  </si>
  <si>
    <t xml:space="preserve">HIELO MINERAL SPRAY *250ML -CON CANNBIS </t>
  </si>
  <si>
    <t>18000 X1</t>
  </si>
  <si>
    <t>FRASCO *250ML LOCIÓN REFRESCANTE</t>
  </si>
  <si>
    <t xml:space="preserve">APRONAX 550MG  X60 TABLETAS / NAPROXENO 550MG </t>
  </si>
  <si>
    <t xml:space="preserve">CAJA *60 TABLETAS RECUBIERTAS </t>
  </si>
  <si>
    <t xml:space="preserve">LOSARTAN 100MG - X30 TABLETAS MEMPHIS </t>
  </si>
  <si>
    <t xml:space="preserve">NIVEA CREME X30ML - LATA AZUL </t>
  </si>
  <si>
    <t xml:space="preserve">LATA SELLADA X30ML DE CREMA </t>
  </si>
  <si>
    <t xml:space="preserve">PANTOPRAZOL 40MG COLMED X30 </t>
  </si>
  <si>
    <t>23,500 X10</t>
  </si>
  <si>
    <t xml:space="preserve">PREDNISOLONA  COASPHARMA- 5MG *300TAB </t>
  </si>
  <si>
    <t>2000 X15</t>
  </si>
  <si>
    <t xml:space="preserve">GUAYAPROFF- GUAYACOLATO </t>
  </si>
  <si>
    <t xml:space="preserve">FRASCO SELLADO *120ML DE JARABE </t>
  </si>
  <si>
    <t>18,800 X1</t>
  </si>
  <si>
    <t xml:space="preserve">VERAPAMILO 120MG - MK </t>
  </si>
  <si>
    <t>12,000  X30</t>
  </si>
  <si>
    <t xml:space="preserve">MICROPORE ROSA 1/2" X10YD 3M </t>
  </si>
  <si>
    <t xml:space="preserve">CAJA X24 UNIDADES EN EMPAQUE INDIVIDUAL C/U </t>
  </si>
  <si>
    <t xml:space="preserve">MICROPORE ROSA 2" X10YD 3M </t>
  </si>
  <si>
    <t xml:space="preserve">CAJA X9 UNIDADES EN EMPAQUE INDIVIDUAL C/U </t>
  </si>
  <si>
    <t xml:space="preserve">MICROORO 3M - MEDIANO ROSA- CAFE </t>
  </si>
  <si>
    <t xml:space="preserve">CAJA X12 ROLLOS EN EMPAQUE INDIVIDUAL CADA UNO </t>
  </si>
  <si>
    <t xml:space="preserve">MICROPORE BLANCO 2" X10YD 3M </t>
  </si>
  <si>
    <t xml:space="preserve">MICROPORE BLANCO 1" X10YD 3M </t>
  </si>
  <si>
    <t xml:space="preserve">CAJA X12 UNIDADES EN EMPAQUE INDIVIDUAL C/U </t>
  </si>
  <si>
    <t xml:space="preserve">ESPARADRAPO 1/2" X 5 YDS (1,25CM X 5MTS) - ZIBOJECT </t>
  </si>
  <si>
    <t xml:space="preserve">PACK SELLADO X1 ESPARADRAPO 1/2" X5 YDS </t>
  </si>
  <si>
    <t xml:space="preserve">ESPARADRAPO 1" X 5 YDS (5CM X 5MTS) - ZIBOJECT </t>
  </si>
  <si>
    <t xml:space="preserve">PACK SELLADO X1 ESPARADRAPO 1" X5 YDS </t>
  </si>
  <si>
    <t xml:space="preserve">ESPARADRAPO 2" X 5 YDS (5CM X 5MTS) - ZIBOJECT </t>
  </si>
  <si>
    <t xml:space="preserve">ESPARADRAPO 3" X 5 YDS (7,5CM X 5MTS) - ZIBOJECT </t>
  </si>
  <si>
    <t xml:space="preserve">PACK SELLADO X1 ESPARADRAPO
2" X5 YDS </t>
  </si>
  <si>
    <t xml:space="preserve">BISOLVON TOS SECA *-120ML </t>
  </si>
  <si>
    <t xml:space="preserve">BLANKISIMA 2% *60GR </t>
  </si>
  <si>
    <t>36,500 X1</t>
  </si>
  <si>
    <t xml:space="preserve">FRASCO SELLADO *60GR DE CREMA TÓPICA </t>
  </si>
  <si>
    <t xml:space="preserve">CLOBETASOL CREMA - LAPROFF </t>
  </si>
  <si>
    <t xml:space="preserve">ENEMA RECTAL - CORPAUL X133ML </t>
  </si>
  <si>
    <t xml:space="preserve">BOLSA SELLADA *133ML ENEMA </t>
  </si>
  <si>
    <t xml:space="preserve">FOSFOGEN X40 TABS / MULTIVITAMINICO </t>
  </si>
  <si>
    <t>CAJA * 40 TABLETAS</t>
  </si>
  <si>
    <t xml:space="preserve">YASMINI Q / DROSPIRENONA 3,00 MG + ETINILESTRADIOL 0,02MG </t>
  </si>
  <si>
    <t>38,000 X28</t>
  </si>
  <si>
    <t xml:space="preserve">YASMIN / DROSPIRENONA 3MG + ETINILESTRADIOL 0,03MG </t>
  </si>
  <si>
    <t xml:space="preserve">CAJA SELLADA *21 COMPRIMIDOS </t>
  </si>
  <si>
    <t xml:space="preserve">SULZINC *120ML </t>
  </si>
  <si>
    <t>21,000 X120ML</t>
  </si>
  <si>
    <t xml:space="preserve">CAJA CON FRASCO SELLADO *80ML DE SOLUCIÒN ORAL </t>
  </si>
  <si>
    <t xml:space="preserve">SULZINC *80ML </t>
  </si>
  <si>
    <t xml:space="preserve">17,000 X80ML </t>
  </si>
  <si>
    <t>CLOTRIMAZOL VAGINAL FARMIONI</t>
  </si>
  <si>
    <t xml:space="preserve">CAJA CON TUBO SELLADO *40GR DE CREMA VAGINAL </t>
  </si>
  <si>
    <t xml:space="preserve">GENTAMICINA GOTAS - COLMED </t>
  </si>
  <si>
    <t>CAJA CON FRASCO SELLADO *6ML DE SOLUCION OFTALMICA</t>
  </si>
  <si>
    <t xml:space="preserve">BISOLVON ADULTOS - FLEMA </t>
  </si>
  <si>
    <t xml:space="preserve">LOPERAMIDA 2MG LA PROFF X240 </t>
  </si>
  <si>
    <t xml:space="preserve">MULTI SOLUTION 1 X120ML </t>
  </si>
  <si>
    <t xml:space="preserve">33,500 x120ml </t>
  </si>
  <si>
    <t xml:space="preserve">CAJA CON FRASCO SELLADO X120ML DE SOLUCION ISOTONICA ESTERIL </t>
  </si>
  <si>
    <t xml:space="preserve">MULTISOLUTION 1 X60ML TQ </t>
  </si>
  <si>
    <t xml:space="preserve">19,000 X60ML </t>
  </si>
  <si>
    <t xml:space="preserve">CAJA CON FRASCO SELLADO X60ML DE SOLUCION ACUOSA PARA LENTES + ESTUCHE PORTA LENTES </t>
  </si>
  <si>
    <t>VITAMINA C GOTAS- COASPHARMA</t>
  </si>
  <si>
    <t>CAJA CON FRASCO SELLADO *30ML DE SOLUCIÓN EN GOTAS</t>
  </si>
  <si>
    <t xml:space="preserve">NORMIKOT CREMA - CLOTRIMAZOL - NEOMECINA - BETAMETASONA </t>
  </si>
  <si>
    <t>TRAVAD PIK *2 SOBRES</t>
  </si>
  <si>
    <t>110,000 X2</t>
  </si>
  <si>
    <t>CAJA *2 SOBRES POLVO PASRA RECONSTRUIR A SOLUCIÓN ORAL</t>
  </si>
  <si>
    <t xml:space="preserve">KALAMINA GEL - MEDICAL FARMA </t>
  </si>
  <si>
    <t xml:space="preserve">POTE SELLADO X120ML DE GEL TOPICO </t>
  </si>
  <si>
    <t xml:space="preserve">CURA LARGA - CHEMI </t>
  </si>
  <si>
    <t xml:space="preserve">CAJA X100 CURAS </t>
  </si>
  <si>
    <t xml:space="preserve">TAXEN SUSPENSIÓN - NITAZOXANIDA 2%  X30ML </t>
  </si>
  <si>
    <t xml:space="preserve">CAJA CON FRASCO SELLADO X30ML DE SUSPENSIÓN ORAL </t>
  </si>
  <si>
    <t xml:space="preserve">ENALAPRIL 20MG - X250 TABS - ANGLOPHARMA </t>
  </si>
  <si>
    <t xml:space="preserve">CAJA X250 TABLETAS, EN BLISTER X10 C/U </t>
  </si>
  <si>
    <t>CLOTRIMAZOL TOPICA 1% - GENFAR X40GR</t>
  </si>
  <si>
    <t xml:space="preserve">12,000 X40GR </t>
  </si>
  <si>
    <t xml:space="preserve">CAJA CON TUBO SELLADO X40GR </t>
  </si>
  <si>
    <t>HIDRAPLUS 75 UVA *400ML</t>
  </si>
  <si>
    <t xml:space="preserve">IRBESARTAN 150MG - ECAR X30 </t>
  </si>
  <si>
    <t>17,000 X30</t>
  </si>
  <si>
    <t>LOMOTIL CAJA *48</t>
  </si>
  <si>
    <t>CAJA *12 CAJAS *4 TABLETAS C/U</t>
  </si>
  <si>
    <t xml:space="preserve">GALVUS MET 50/850MG X286 TABS </t>
  </si>
  <si>
    <t>DESLORATADINA JBE- LAPORFF</t>
  </si>
  <si>
    <t xml:space="preserve">FRASCO SELLADO *60ML </t>
  </si>
  <si>
    <t>ACIDO FUSIDICO 2% X15GR - VITALIS</t>
  </si>
  <si>
    <t xml:space="preserve">CAJA X15GR DE CREMA TOPICA </t>
  </si>
  <si>
    <t>PAÑITOS ARRURRÚ NATURALS AVENA Y KARITE X70 / 140</t>
  </si>
  <si>
    <t>9,000 X70</t>
  </si>
  <si>
    <t xml:space="preserve">PACK SELLADO X70 UDS- HASTA 140UNIDADES </t>
  </si>
  <si>
    <t>64,000 X1</t>
  </si>
  <si>
    <t xml:space="preserve">SECNIDAZOL 1GR MEMPHIS  X10 </t>
  </si>
  <si>
    <t xml:space="preserve">CAJA *10 TABLETAS RECUBIERTAS </t>
  </si>
  <si>
    <t xml:space="preserve">PRUEBA EMBARAZO CASSETE- CHEMI S.A.S </t>
  </si>
  <si>
    <t xml:space="preserve">CAJA CON PRUEBA DE EMBARAZO TIPO CASSETTE </t>
  </si>
  <si>
    <t xml:space="preserve">PRUEBA DE EMBARAZO  SEVEN PHARMA / BEGUT TIPO CASSETTE </t>
  </si>
  <si>
    <t xml:space="preserve">CAJA X1 CASSSETTE TES DE EMBARAZO </t>
  </si>
  <si>
    <t xml:space="preserve">ACTIVOX ICE  / POLEN + VITAMINA C + MIEL + PROPOLEO </t>
  </si>
  <si>
    <t xml:space="preserve">CAJA X12 SOBRES , X4 PASTILLAS MASTICABLES C/U </t>
  </si>
  <si>
    <t xml:space="preserve">BRONQUISOL FLEM NIÑOS / BARBOCISTEINA </t>
  </si>
  <si>
    <t>PROQUIDENT SIN SABOR *40GR</t>
  </si>
  <si>
    <t xml:space="preserve">CAJA CON TUBO SELLADO *40GR DE PASTA ADHESIVA </t>
  </si>
  <si>
    <t xml:space="preserve">VALERIANA GOTAS - KEMI X30ML </t>
  </si>
  <si>
    <t xml:space="preserve">CAJA CON FRASCO SELLADO X30ML DE GOTAS ORALES </t>
  </si>
  <si>
    <t>SUERO CEREZA -SOLHIDREX X30  UNDS</t>
  </si>
  <si>
    <t xml:space="preserve">CAJA SELLADA *30 SOBRES DE POLVO PARA RECONSTRUIR </t>
  </si>
  <si>
    <t>CLORHEXIDINA 4%  X120ML - JABON QUIRURGICO ASEPTIDINA -</t>
  </si>
  <si>
    <t xml:space="preserve">FRASCO SELLADO X120ML DE JABON QUIRURGICO </t>
  </si>
  <si>
    <t>AGUA OXIGENADA JGB - PREPACK X7</t>
  </si>
  <si>
    <t xml:space="preserve">PACK X7 FRASCOS PARA VENTA INDIVIDUAL  *120ML DE ANTISÉPTICO, SEGÚN PRESENTACIÓN DE VENTA AL PÚBLICO POR PARTE DE LABORATORIO </t>
  </si>
  <si>
    <t xml:space="preserve">EXTRACTOR LECHE MATERNA MANUAL - CORCHITO </t>
  </si>
  <si>
    <t>CAJA CON EXTRACTOR INDIVIDUAL DE LECHE MATERNA MANUAL</t>
  </si>
  <si>
    <t xml:space="preserve">MIELTERTOS PROPOLEO JALEA </t>
  </si>
  <si>
    <t xml:space="preserve">FRASCO SELLADO CON 350GR DE JALEA USO ORAL </t>
  </si>
  <si>
    <t xml:space="preserve">VERUM 24MG X20 TABS </t>
  </si>
  <si>
    <t>10,200 X1</t>
  </si>
  <si>
    <t xml:space="preserve">CIPROFLOXACINO 500MG - FLODELT </t>
  </si>
  <si>
    <t xml:space="preserve">CAJA X100 TALETAS ORALES EN BLISTER DE 10 C/U </t>
  </si>
  <si>
    <t xml:space="preserve">VALSARTAN 80MG - MK X30 </t>
  </si>
  <si>
    <t xml:space="preserve">CAJA X30 CAPSULAS VÍA ORAL </t>
  </si>
  <si>
    <t xml:space="preserve">VALSARTAN 80MG X14 TABLETAS - GENFAR </t>
  </si>
  <si>
    <t>13,0000 X14</t>
  </si>
  <si>
    <t xml:space="preserve">GASTROFAST ADVANCE FRASCO </t>
  </si>
  <si>
    <t xml:space="preserve">CAJA SELLADA CON FRASCO SELLADO *240ML  DE SUSPENSIÓN ORAL </t>
  </si>
  <si>
    <t xml:space="preserve">LACTATO RINGER X500ML - SOLUFLEX </t>
  </si>
  <si>
    <t xml:space="preserve">BOLSA SELLADA X500ML DE SOLUCION INTRAVENOSA </t>
  </si>
  <si>
    <t xml:space="preserve">PF CARE / ACIDO HIALURONICO GEL </t>
  </si>
  <si>
    <t xml:space="preserve">CAJA  CON TUBO SELLADO X15GR DE GEL BUCAL </t>
  </si>
  <si>
    <t xml:space="preserve">ACEITE ALMENDRAS ATHOS *250ML </t>
  </si>
  <si>
    <t xml:space="preserve">FRASCO SELLADO *250ML DE ACEITE CORPORAL </t>
  </si>
  <si>
    <t xml:space="preserve">ACEITE ALMENDRAS ATHOS *120ML </t>
  </si>
  <si>
    <t xml:space="preserve">FRASCO SELLADO *120ML DE ACEITE CORPORAL </t>
  </si>
  <si>
    <t>MINOXIDIL FORTE 5% GENFAR</t>
  </si>
  <si>
    <t xml:space="preserve">CAJA SELLADA *60ML SOLUCIÓN TÓPICA </t>
  </si>
  <si>
    <t xml:space="preserve">PEQUEÑIN PAÑITOS HUMEDOS X100  - ALMENDRAS </t>
  </si>
  <si>
    <t>13,000 X100</t>
  </si>
  <si>
    <t xml:space="preserve">PACK X100 PAÑITOS HUMEDOS  </t>
  </si>
  <si>
    <t xml:space="preserve">STEVIA BIOLADIET *150 TABS </t>
  </si>
  <si>
    <t>10,500 x150</t>
  </si>
  <si>
    <t xml:space="preserve">EMPAQUE SELLADO  *150 TABLETAS </t>
  </si>
  <si>
    <t>28,000 x650</t>
  </si>
  <si>
    <t>CIPROFLOXACINA 500MG - LAPROFF</t>
  </si>
  <si>
    <t xml:space="preserve">CEFRADINA CAPS RECIPE X24 / BUSSIÉ </t>
  </si>
  <si>
    <t>14,000 X8</t>
  </si>
  <si>
    <t xml:space="preserve">CAJA X24 CAPSULAS </t>
  </si>
  <si>
    <t xml:space="preserve">5,000 X10 </t>
  </si>
  <si>
    <t xml:space="preserve">SILDENAFILO 50MG  X2 - COASPHARMA </t>
  </si>
  <si>
    <t xml:space="preserve">NIMODIPINO 30MG - X30 TABLETAS  EXPOFARMA </t>
  </si>
  <si>
    <t>21,000 X30</t>
  </si>
  <si>
    <t>RELAXKOV 4MG - TIZANIDINA 4MG X20</t>
  </si>
  <si>
    <t>21,000 X10</t>
  </si>
  <si>
    <t xml:space="preserve">TIZANIDINA 2MG / ALERTADINA X20TABS </t>
  </si>
  <si>
    <t xml:space="preserve">SENSODYNE RÁPIDO ALIVIO X100GR </t>
  </si>
  <si>
    <t xml:space="preserve">BISBACTER SUSP X120ML / SUBSALICILATO DE BISMUTO 1,7% </t>
  </si>
  <si>
    <t xml:space="preserve">44,000 X120ML </t>
  </si>
  <si>
    <t>FRASCO SELLADO X120ML DE SUSPENSION ORAL</t>
  </si>
  <si>
    <t xml:space="preserve">CREMA DENTAL BABY SIN FLUOR + CEPILLO SILICONA </t>
  </si>
  <si>
    <t>10,000 PACK</t>
  </si>
  <si>
    <t>PACK SELLADO X1 CREMA DENTAL SIN FLUOR + CEPILLO SILICONA</t>
  </si>
  <si>
    <t xml:space="preserve">ROXICAINA LIDOCAINA  SPRAY 83ML - ATOMIZDOR </t>
  </si>
  <si>
    <t>81,000 X1</t>
  </si>
  <si>
    <t xml:space="preserve">CAJA X1 SPRAY DE 83ML - SOLUCION TOPICA </t>
  </si>
  <si>
    <t>VASELINA *25GR - YOMA</t>
  </si>
  <si>
    <t xml:space="preserve">POTE SELLADO *60GR DE VASELINA PURA </t>
  </si>
  <si>
    <t>BLANKISIMA 2% *32GR</t>
  </si>
  <si>
    <t xml:space="preserve">POTE SELLADO CON 32GR DE CREMA </t>
  </si>
  <si>
    <t xml:space="preserve">CLONIDINA ANGLOPHARMA X50 </t>
  </si>
  <si>
    <t>2,200 x10</t>
  </si>
  <si>
    <t>EMULSION SCOTT *180ML TRADICIONAL</t>
  </si>
  <si>
    <t xml:space="preserve">17,000 </t>
  </si>
  <si>
    <t xml:space="preserve">FRASCO SELLADO *180ML DE EMULSION </t>
  </si>
  <si>
    <t xml:space="preserve">EMULSION SCOTT *180ML CEREZA </t>
  </si>
  <si>
    <t>17,000</t>
  </si>
  <si>
    <t>EMULSION SCOTT *180ML TROPICAL</t>
  </si>
  <si>
    <t xml:space="preserve">EMULSION SCOTT *360ML CEREZA </t>
  </si>
  <si>
    <t>EMULSION SCOTT *360ML TROPICAL</t>
  </si>
  <si>
    <t xml:space="preserve">FRASCO SELLADO *360ML DE EMULSION </t>
  </si>
  <si>
    <t>EMULSION SCOTT *360ML TRADICIONAL</t>
  </si>
  <si>
    <t>NIVEA LIP CARE CEREZA</t>
  </si>
  <si>
    <t xml:space="preserve">PAMOATO PIRANTEL SUSP GENFAR </t>
  </si>
  <si>
    <t>CAJA CON POTE SELLADO X15ML DE SUSPENSION ORAL</t>
  </si>
  <si>
    <t>BISLAKSO 1.75% SUSP</t>
  </si>
  <si>
    <t xml:space="preserve">CAJA CON FRASCO SELLADO *120ML DE SUSPENSION ORAL </t>
  </si>
  <si>
    <t>CETIRIZINA JARABE - ECAR</t>
  </si>
  <si>
    <t xml:space="preserve">FRASCO SELLADO X60ML DE JARABE </t>
  </si>
  <si>
    <t xml:space="preserve">GUANTE NITRILO TALLA S - AZUL MEDICAL SUPPLIES </t>
  </si>
  <si>
    <t xml:space="preserve">CAJA SELLADA X100 GUANTES NITRILO </t>
  </si>
  <si>
    <t xml:space="preserve">GUANTE NITRILO TALLA M - AZUL MEDICAL SUPPLIES </t>
  </si>
  <si>
    <t xml:space="preserve">KETOCONAZOL CREMA 2% / ANGLOPHARMA </t>
  </si>
  <si>
    <t xml:space="preserve">CAJA CON TUBO SELLADO X30GR  DE CREMA TOPICA </t>
  </si>
  <si>
    <t>KETOTIFENO JARABE- LAPROFF</t>
  </si>
  <si>
    <t xml:space="preserve">FRASCO SELLADO *100ML JARABE </t>
  </si>
  <si>
    <t xml:space="preserve">CEPILLO SILICONA BEBÉ / MY BABY </t>
  </si>
  <si>
    <t xml:space="preserve">PACK SELLADO X1 CEPILLO SILICONA PARA BEBÉ </t>
  </si>
  <si>
    <t>CORONA 3680 - CEPILLO ADULTO</t>
  </si>
  <si>
    <t xml:space="preserve">PACK SELLAD *1 CEPILLO DENTAL </t>
  </si>
  <si>
    <t>SEDA DENTAL 400MTS ZEN DENT</t>
  </si>
  <si>
    <t xml:space="preserve">SEDA DENTAL SELLADA *400MTS </t>
  </si>
  <si>
    <t xml:space="preserve">GOTAS REVELADORAS </t>
  </si>
  <si>
    <t xml:space="preserve">PACK SELLADO X1 FRASCO DE GOTAS REVELADORAS X50ML </t>
  </si>
  <si>
    <t xml:space="preserve">KIT ESTELAR DE ORTODONCIA </t>
  </si>
  <si>
    <t xml:space="preserve">KIT DE LIMPIEZA ORTODONCIA PARA HIGIENE BUCAL </t>
  </si>
  <si>
    <t>AMPIDELT- AMPICILINA SULBACTAM 1,5GR / X10 AMPOLLAS</t>
  </si>
  <si>
    <t>CAJA *10 VIALES POLVO PARA INYECCIÓN IV/IM</t>
  </si>
  <si>
    <t>PAÑITOS DAMPY *102</t>
  </si>
  <si>
    <t>9,000 X102</t>
  </si>
  <si>
    <t xml:space="preserve">PACK SELLADO *102 PAÑITOS HUMEDOS </t>
  </si>
  <si>
    <t xml:space="preserve">CARBAMAZEPINA 200MG *300 TAB </t>
  </si>
  <si>
    <t xml:space="preserve">BRONQUISAN JALEA </t>
  </si>
  <si>
    <t xml:space="preserve">FRASCO SELLADO X240ML DE JALEA </t>
  </si>
  <si>
    <t xml:space="preserve">METOTREXATO *100 </t>
  </si>
  <si>
    <t>2,500 x1</t>
  </si>
  <si>
    <t xml:space="preserve">CAJA SELLADA *100 COMPRIMIDOS VIA ORAL </t>
  </si>
  <si>
    <t xml:space="preserve">CANESTEN TOPICA 1% - CLOTRIMAZOL CREMA X20GR </t>
  </si>
  <si>
    <t xml:space="preserve">ESCITALOPRAM 10MG - X30 HETERO </t>
  </si>
  <si>
    <t xml:space="preserve">ORLISTAT *60 CAPS- COLMED </t>
  </si>
  <si>
    <t xml:space="preserve">CAJA *60 CÁPSULAS </t>
  </si>
  <si>
    <t xml:space="preserve">FLUOFTAL 0,1% / FLUOROMETALONA GOTAS </t>
  </si>
  <si>
    <t xml:space="preserve">CAJA CON FRASCO SELLADO DE SUSPENSIÓN OFTÁLMICA 5ML </t>
  </si>
  <si>
    <t>RECOLECTOR ORINA 24 HORAS NARANJA- P&amp;S</t>
  </si>
  <si>
    <t xml:space="preserve">RECIPIENTE INDIVIDUAL PARA RECOLECCIÓN ORINA 24 HORAS </t>
  </si>
  <si>
    <t xml:space="preserve">ACIDO FUSIDICO- LAPROFF CREMA </t>
  </si>
  <si>
    <t xml:space="preserve">CAJA CON TUBO SELLADO *15GR DE CREMA TOPICA </t>
  </si>
  <si>
    <t xml:space="preserve">BAXTER 0,9% / SOLUCION SALINA - CLORURO DE SODIO X250ML AL 0,9% </t>
  </si>
  <si>
    <t xml:space="preserve">BOLSA DE 500ML SOLUCIÓN INYECTABLE </t>
  </si>
  <si>
    <t xml:space="preserve">BONFIEST PLUS SOBRES X32 </t>
  </si>
  <si>
    <t>CAJA X32 SOBRES DE POLVO EFERVESCENTE</t>
  </si>
  <si>
    <t>13,000 X2</t>
  </si>
  <si>
    <t xml:space="preserve">GLUCERNA *400GR </t>
  </si>
  <si>
    <t>84,000 X10</t>
  </si>
  <si>
    <t>LATA SELLADA *400GR DE ALIMENTO EN POLVO</t>
  </si>
  <si>
    <t>ENSURE ADVANCE *400GR VAINILLA</t>
  </si>
  <si>
    <t>77,000 X1</t>
  </si>
  <si>
    <t xml:space="preserve">GLUCERNA *850GR </t>
  </si>
  <si>
    <t>140,000 X1</t>
  </si>
  <si>
    <t>LATA SELLADA *850GR DE ALIMENTO EN POLVO</t>
  </si>
  <si>
    <t>ENSURE ADVANCE *850GR VAINILLA</t>
  </si>
  <si>
    <t>140,000 X1%</t>
  </si>
  <si>
    <t xml:space="preserve">LEVOTIROXINA 25MG - MK </t>
  </si>
  <si>
    <t>CAJA *50 TABLETAS</t>
  </si>
  <si>
    <t xml:space="preserve">VITADEL ADUTLO - MULTIVITAMINICO FRESA </t>
  </si>
  <si>
    <t xml:space="preserve">CAJA CON FRASCO SELLADO X360ML DE SUSPENSION ORAL </t>
  </si>
  <si>
    <t>55,500 x40</t>
  </si>
  <si>
    <t xml:space="preserve">HEMOCYTON ELIXIR </t>
  </si>
  <si>
    <t xml:space="preserve">FRASCO SELLADO *340ML ELIXIR </t>
  </si>
  <si>
    <t xml:space="preserve">ACETAMINOFEN JARABE LAPROFF *90ML </t>
  </si>
  <si>
    <t xml:space="preserve">PLENIV  X60 CAPS / DOXILAMINA SUCCINATO + PIRIDOXINA CLORHIDRATO 10/10MG </t>
  </si>
  <si>
    <t xml:space="preserve">CAJA *30 CAPSULAS BLANDAS </t>
  </si>
  <si>
    <t xml:space="preserve">DIGESTA GOTAS X20ML / DIMETILPOLISILOXANO 66,6MG </t>
  </si>
  <si>
    <t xml:space="preserve">CAJA CON FRASCO SELLADO X30ML DE SUSPENSION ORAL BEBÉ </t>
  </si>
  <si>
    <t xml:space="preserve">TODAY CAJA X 3 - LONG ACTION </t>
  </si>
  <si>
    <t>18,500 X3</t>
  </si>
  <si>
    <t xml:space="preserve">PACK X3 CONDONES LONG ACTION </t>
  </si>
  <si>
    <t>SUERO FISIOLÓGICO/ CLORURO SODIO CORPAUL *100ML</t>
  </si>
  <si>
    <t>FRASCO SELLADO *100ML DE CLORURO DE SODIO</t>
  </si>
  <si>
    <t xml:space="preserve">TRAMADOL 100MG AMPOLLA X10 </t>
  </si>
  <si>
    <t xml:space="preserve">CAJA X10 AMPOLLAS I.M / I.V </t>
  </si>
  <si>
    <t>20,000 X20</t>
  </si>
  <si>
    <t xml:space="preserve">PARCHE TERMICO LEON - HANSAPLAST </t>
  </si>
  <si>
    <t>18,500 X1</t>
  </si>
  <si>
    <t xml:space="preserve">BOLSA SELLADA *1 PARCHE TÉRMICO LEÓN </t>
  </si>
  <si>
    <t xml:space="preserve">BENZIRIN VERDE TABLETAS X100 / BENCIDAMINA HCI 3MG </t>
  </si>
  <si>
    <t>4,500 X2</t>
  </si>
  <si>
    <t xml:space="preserve">CAJA X100 TABLETAS EN EMPAQUE INDIVIDUAL CADA UNA </t>
  </si>
  <si>
    <t xml:space="preserve">PIEDRA ALUMBRE PROMARQUIN SOBRE X15GR - BOLSA X25 </t>
  </si>
  <si>
    <t>BOLSA SELLADA *400GR</t>
  </si>
  <si>
    <t xml:space="preserve">PIEDRA ALUMBRE X200GR - PROMARQUIM </t>
  </si>
  <si>
    <t>BOLSA SELLADA X200GR DE PIEDRA ALUMBRE</t>
  </si>
  <si>
    <t>25,000 X3</t>
  </si>
  <si>
    <t>DOLEX GRIPA X100</t>
  </si>
  <si>
    <t xml:space="preserve">NORAVER GRIPA NOCHE X24 SOBRES </t>
  </si>
  <si>
    <t>3000 X1</t>
  </si>
  <si>
    <t xml:space="preserve">CAJA SELLADA *24 SOBRES POLVO PARA RECONSTRUIR </t>
  </si>
  <si>
    <t xml:space="preserve">NORAVER GARGANTA CEREZA *96 TABS </t>
  </si>
  <si>
    <t xml:space="preserve">KOMILON APPETIT / MULTIVITAMINICO </t>
  </si>
  <si>
    <t xml:space="preserve">CAJA CON FRASCO SELLADO X360ML </t>
  </si>
  <si>
    <t xml:space="preserve">NORAVER GRIPA DIA  X12 </t>
  </si>
  <si>
    <t xml:space="preserve">CAJA SELLADA *12 SOBRES POLVO PARA RECONSTRUIR </t>
  </si>
  <si>
    <t>BETAHISTINA 8MG- VAIO</t>
  </si>
  <si>
    <t>INHALOCAMARA PEDIATRICA / BIOXIGENO</t>
  </si>
  <si>
    <t xml:space="preserve">PACK SELLADO X1 INHALOCAMARA </t>
  </si>
  <si>
    <t xml:space="preserve">VEDIPAL 1,000 MG / DISOMINA + HISPERIDINA </t>
  </si>
  <si>
    <t>67,000 X30</t>
  </si>
  <si>
    <t>SUERO UVA -SOLHIDREX X30  UNDS</t>
  </si>
  <si>
    <t xml:space="preserve">SEAMIB 500MG - SECNIDAZOL X4 </t>
  </si>
  <si>
    <t>6,000 X4</t>
  </si>
  <si>
    <t xml:space="preserve">CAJA X40 TABLETAS RECUBIERTAS VIA ORAL </t>
  </si>
  <si>
    <t xml:space="preserve">JERINGA 5ML- DISPACOL </t>
  </si>
  <si>
    <t xml:space="preserve">CAJA *100 UNIDADES </t>
  </si>
  <si>
    <t xml:space="preserve">ESOMEPRAZOL 40MG - NOVAMED X10 TABS RECUBIERTA </t>
  </si>
  <si>
    <t>AMLODIPINO 10MG- ECAR</t>
  </si>
  <si>
    <t xml:space="preserve">ALOPURINOL 300MG- MEMPHIS </t>
  </si>
  <si>
    <t>CASTAÑO DE INDIAS *100 CAP FUNAT</t>
  </si>
  <si>
    <t>LUZ-ZUL GOTAS</t>
  </si>
  <si>
    <t>CAJA CON FRASCO SELLADO *7ML DE SOLUCIÓN OFTÁLMICA</t>
  </si>
  <si>
    <t xml:space="preserve">PROVERA 10MG TABS X28 / ACETATO MEDROXIPROGESTERONA </t>
  </si>
  <si>
    <t>25,000 X28</t>
  </si>
  <si>
    <t xml:space="preserve">CAJA X28 TABLETAS </t>
  </si>
  <si>
    <t xml:space="preserve">ROXICAINA 2% SIMPLE  ROPSOHN INYECTABLE X50ML </t>
  </si>
  <si>
    <t xml:space="preserve">40,000 X50ML </t>
  </si>
  <si>
    <t xml:space="preserve">CAJA CON FRASCO SELLADO X50ML DE SOLUCIÓN INYECTABLE / SUBCUTANEA, INTRADERMICA, PERINEURAL </t>
  </si>
  <si>
    <t xml:space="preserve">QUETIAPINA 25MG / TIQUEPIN 25MG X30 </t>
  </si>
  <si>
    <t>PRUEBA EMBARAZO CASSETE DISTRIAGUIRRE</t>
  </si>
  <si>
    <t>ATORVASTATINA 40MG ECAR X30</t>
  </si>
  <si>
    <t xml:space="preserve">CONSTILAX- LACTULOSA </t>
  </si>
  <si>
    <t xml:space="preserve">CAJA *12 SACHETS/ 15ML </t>
  </si>
  <si>
    <t>METRONIDAZOL TAB- ECAR</t>
  </si>
  <si>
    <t>27,000 X150</t>
  </si>
  <si>
    <t>ADVIL ULTRA X72</t>
  </si>
  <si>
    <t xml:space="preserve">DAFLON 1000 </t>
  </si>
  <si>
    <t xml:space="preserve">CAJA X30 TABLETASB RECUBIERTAS CON PELICULA </t>
  </si>
  <si>
    <t xml:space="preserve">FLUNARIZINA 10MG TABS - X20 MEMPHIS </t>
  </si>
  <si>
    <t xml:space="preserve">CAJA X20 TABLETAS VÍA ORAL </t>
  </si>
  <si>
    <t xml:space="preserve">DIFENHIDRAMINA CLORHIDRATO 50MG - OPHALAC X250 CAPS </t>
  </si>
  <si>
    <t>CAJA X 250 CÁPSULAS</t>
  </si>
  <si>
    <t xml:space="preserve">CLOBETASOL LOCION / DERPROSOL X60ML </t>
  </si>
  <si>
    <t xml:space="preserve">CAJA CON FRASCO SELLAD X60ML DE LOCION TOPICA </t>
  </si>
  <si>
    <t>FARMALAX  *15 SOBRES/ POLIETILENGLICOL 3350</t>
  </si>
  <si>
    <t>CAJA *15 SOBRES DE POLVO PARA RECONSTRUIR</t>
  </si>
  <si>
    <t>15,000 X28</t>
  </si>
  <si>
    <t>METOCARBAMOL 750MG - LAPROFF</t>
  </si>
  <si>
    <t>KETOTIFENO 1MG TAB - RECIPE</t>
  </si>
  <si>
    <t>7,000 X30</t>
  </si>
  <si>
    <t xml:space="preserve">CAJA SELLADA*30 TABLETAS </t>
  </si>
  <si>
    <t>VITATRIOL *5ML</t>
  </si>
  <si>
    <t>BIOCROS X30</t>
  </si>
  <si>
    <t>3,600 X1</t>
  </si>
  <si>
    <t xml:space="preserve">CAJA X30 SOBRES DE MULTIVITAMINICO EN POLVO ,  EN EMPAQUE INDIVIDUAL CADA PORCION </t>
  </si>
  <si>
    <t xml:space="preserve">FENCAFEN X50 TABLETAS </t>
  </si>
  <si>
    <t xml:space="preserve">CAJA*50 TABLETAS </t>
  </si>
  <si>
    <t>TRIMICORT LOCIÓN *60ML</t>
  </si>
  <si>
    <t xml:space="preserve">CAJA CON FRASCO SELLADO *60ML SOLUCIÓN TÓPICA </t>
  </si>
  <si>
    <t xml:space="preserve">DOLEX 500MG- AVANZADO  RAPIDA ACCIÓN X100  TABS </t>
  </si>
  <si>
    <t>9.500 X10</t>
  </si>
  <si>
    <t xml:space="preserve">CAJA *100 TABLETAS RECUBIERTAS EN BLISTER DE 10 C/U </t>
  </si>
  <si>
    <t>NEOFUNGINA TALCO *40GR</t>
  </si>
  <si>
    <t xml:space="preserve">FRASCO SELLADO *40 GR DE POLVO MEDICADO </t>
  </si>
  <si>
    <t xml:space="preserve">NEOFUNGINA TALCO *200GR </t>
  </si>
  <si>
    <t xml:space="preserve">FRASCO SELLADO *200GR DE POLVO MEDICADO </t>
  </si>
  <si>
    <t>CREMA DENTAL ORAL-PLUS CHICLE  CON FLUOR X30 GR + CEPILLO</t>
  </si>
  <si>
    <t xml:space="preserve">CAJA CON TUBO DE CREMA DENTAL X30GR + CEPILLO DE DIENTE NIÑOS </t>
  </si>
  <si>
    <t xml:space="preserve">CREMA DENTAL ORAL-PLUS CHICLE SIN FLUOR X70GR + CEPILLO </t>
  </si>
  <si>
    <t xml:space="preserve">PACK SELLADO X70GR DE CREMA DENTAL + CEPILLO CON TAPA NIÑOS </t>
  </si>
  <si>
    <t xml:space="preserve">NELIND CREMA NATURAL / CALÉNDULA X40GR </t>
  </si>
  <si>
    <t>29,000 X9</t>
  </si>
  <si>
    <t>DULOXETINA 60MG- DUXETERO X30</t>
  </si>
  <si>
    <t xml:space="preserve">CAJA X30 TABLTAS EN BLISTER DE 10 C/U </t>
  </si>
  <si>
    <t xml:space="preserve">CHAPSTICK ULTRA HUMECTANTE </t>
  </si>
  <si>
    <t>KY LUBRICANTE X100GR</t>
  </si>
  <si>
    <t>58,500 X100GR</t>
  </si>
  <si>
    <t xml:space="preserve">CAJA CON TUBO SELLADO DE 100GR  LUBRICANTE INTIMO </t>
  </si>
  <si>
    <t>TINIDAZOL 1GR- GENFAR *4 TABS</t>
  </si>
  <si>
    <t>CAJA *4 TABLETAS RECUBIERTAS</t>
  </si>
  <si>
    <t>ACETAMINOFEN COASPHARMA *300</t>
  </si>
  <si>
    <t xml:space="preserve">ACETAMINOFEN TAB - GENFAR </t>
  </si>
  <si>
    <t>1,000 X10</t>
  </si>
  <si>
    <t>33,000 X10</t>
  </si>
  <si>
    <t xml:space="preserve">TRIMICORT CREMA - CLOBETASOL CREMA </t>
  </si>
  <si>
    <t xml:space="preserve">CAJA CON TUBO DE CREMA SELLADO *40GR </t>
  </si>
  <si>
    <t>KY LUBRICANTE *50GR</t>
  </si>
  <si>
    <t xml:space="preserve">MELOXICAM 15MG- IMPOMEL-X </t>
  </si>
  <si>
    <t xml:space="preserve">LIMPIADERM CREMA X20GR </t>
  </si>
  <si>
    <t xml:space="preserve">BENLIC CREMA *20GR / BETAMETASONA + CLOTRIMAZOL + GENTAMICINA </t>
  </si>
  <si>
    <t xml:space="preserve">CAJA CON TUBO SELLADO *20GR DE CREMA </t>
  </si>
  <si>
    <t>PIRIDOXINA 50MG- ECAR</t>
  </si>
  <si>
    <t>MIELTERTOS GRIPA NOCHE</t>
  </si>
  <si>
    <t>BILAXTEN 20MG *30 TAB</t>
  </si>
  <si>
    <t>CAJA *30 COMPRIMIDOS</t>
  </si>
  <si>
    <t xml:space="preserve">AGUA OXIGENADA JGB X500ML </t>
  </si>
  <si>
    <t xml:space="preserve">FRASCO SELLADO X500ML DE ANTISÉPTICO </t>
  </si>
  <si>
    <t xml:space="preserve">FORMOL 500ML - YOMA </t>
  </si>
  <si>
    <t xml:space="preserve">FRASCO SELLADO X500ML DE SOLUCION EXTERNA </t>
  </si>
  <si>
    <t>VITALFER SACHET X15</t>
  </si>
  <si>
    <t xml:space="preserve">BAXTER 0,9% / SOLUCION SALINA - CLORURO DE SODIO X100ML AL 0,9% </t>
  </si>
  <si>
    <t>5,500 X10</t>
  </si>
  <si>
    <t xml:space="preserve">NAPROXENO 500MG - GENFAR </t>
  </si>
  <si>
    <t>CAJA *10 TABLETAS ORALES</t>
  </si>
  <si>
    <t xml:space="preserve">PREGABALINA 75MG - EPIBALIN X30 </t>
  </si>
  <si>
    <t>9,000 x10</t>
  </si>
  <si>
    <t xml:space="preserve">CAJA X30 CAPSULAS- VÍA ORAL </t>
  </si>
  <si>
    <t xml:space="preserve">INTIBON JABON HIPOALERGENICO X120 GR 0% </t>
  </si>
  <si>
    <t xml:space="preserve">INTIBON JABON SALVIA Y CALÉNDULA X210 GR </t>
  </si>
  <si>
    <t xml:space="preserve">PROTECTORES X15 PROTECTORES MULTIESTILO </t>
  </si>
  <si>
    <t xml:space="preserve">CAJA X150 PROTECTORES MULTIESTILO </t>
  </si>
  <si>
    <t xml:space="preserve">PROTECTORES DAIRIOS LARGOS  MAYOR PROTECCIÓN  NOSOTRAS X15 UNIDADES </t>
  </si>
  <si>
    <t>4,500 x15</t>
  </si>
  <si>
    <t xml:space="preserve">PACK SELLADO X15 PROTECTORES INTIMOS </t>
  </si>
  <si>
    <t xml:space="preserve">PROTECTORES NOSOTRAS DIARIOS X60 UNIDADES </t>
  </si>
  <si>
    <t>8,500 X60</t>
  </si>
  <si>
    <t>PAÑITOS HUMEDOS PEQUEÑIN CON ALOE VERA X100</t>
  </si>
  <si>
    <t>15,000 X100</t>
  </si>
  <si>
    <t xml:space="preserve">PACK SELLADO X100 PAÑITOS HUMEDOS </t>
  </si>
  <si>
    <t xml:space="preserve">NITAXOZANIDA  TABS X6 / QUIRUPOS S.A.S </t>
  </si>
  <si>
    <t>16,000 X6</t>
  </si>
  <si>
    <t xml:space="preserve">CAJA X6 TABLETAS VIA ORAL </t>
  </si>
  <si>
    <t>LEVETIRACETAM 1000MG -GENFAR X30</t>
  </si>
  <si>
    <t>76,000 X30</t>
  </si>
  <si>
    <t xml:space="preserve">CAJA *30 COMPRIMIDOS </t>
  </si>
  <si>
    <t>YAX X21</t>
  </si>
  <si>
    <t>17,000 x10</t>
  </si>
  <si>
    <t xml:space="preserve">LEVETIRACETAM 500MG </t>
  </si>
  <si>
    <t xml:space="preserve">ELECTROLIT JAMAICA </t>
  </si>
  <si>
    <t>10,600 X10</t>
  </si>
  <si>
    <t>GABAPENTIN 300 MG - MK</t>
  </si>
  <si>
    <t xml:space="preserve">CAJA X 30 CAPSULAS </t>
  </si>
  <si>
    <t>ESOMEPRAZOL 40MG - AG X14</t>
  </si>
  <si>
    <t>CAJA *14 TABLETAS RECUBIERTAS</t>
  </si>
  <si>
    <t xml:space="preserve">MINOXIDIL KARICIA SHAMPOO MEN - X400ML </t>
  </si>
  <si>
    <t xml:space="preserve">POTE SELLADO *400ML DE SHAMPOO </t>
  </si>
  <si>
    <t xml:space="preserve">VALACICLOVIR 1GR X21 TABS - GENFAR </t>
  </si>
  <si>
    <t>190,000 X21</t>
  </si>
  <si>
    <t xml:space="preserve">CAJA X21 TABLETAS RECUBIERTA </t>
  </si>
  <si>
    <t>VASELINA *500GR PROMARQUIN</t>
  </si>
  <si>
    <t>5,500 x1</t>
  </si>
  <si>
    <t xml:space="preserve">POTE *60GRAMOS DE VASELIJA </t>
  </si>
  <si>
    <t xml:space="preserve">X RAY GEL </t>
  </si>
  <si>
    <t>34,500 X1</t>
  </si>
  <si>
    <t xml:space="preserve">PACK SELLADO X1 TUBO DE GEL TOPICO X30GR </t>
  </si>
  <si>
    <t xml:space="preserve">FLAVOXATO CLORHIDRATO 200MG *10TAB-LA SANTÉ </t>
  </si>
  <si>
    <t>77,000 X10</t>
  </si>
  <si>
    <t xml:space="preserve">TERBIFEET 1% GEL / TERBINAFINA </t>
  </si>
  <si>
    <t xml:space="preserve">CAJA CON TUO SELLADO *20GR DE GEL TÓPICO </t>
  </si>
  <si>
    <t xml:space="preserve">TREX  CREMA *15GR / BIFONAZOL + GENTAMICINA + BUDESONIDA </t>
  </si>
  <si>
    <t xml:space="preserve">LORATADINA SUSP - MEMPHIS </t>
  </si>
  <si>
    <t xml:space="preserve">PROPANOLOL 40MG - MK  X30TABS </t>
  </si>
  <si>
    <t>8,500 X10</t>
  </si>
  <si>
    <t xml:space="preserve">CANULA NASAL ADULTO - OXIGENO 7MTS / BIOLIFE </t>
  </si>
  <si>
    <t xml:space="preserve">ÀCK SELLADO X1 CANULA NASAL DE OXIGENO 7MTS </t>
  </si>
  <si>
    <t xml:space="preserve">BETAMETASONA 0,05% X40GR - LAPROFF </t>
  </si>
  <si>
    <t>PIROXICAM 20MG- GENFAR</t>
  </si>
  <si>
    <t>OSMOTEARS OPHARM</t>
  </si>
  <si>
    <t>CAJA CON FRASCO SELLADO DE SOLUCIÓN OFTÁLMICA  X15ML</t>
  </si>
  <si>
    <t xml:space="preserve">DEXTROSA AL 5% *500ML </t>
  </si>
  <si>
    <t xml:space="preserve">500ML SOLUCIÓN INYECTABLE </t>
  </si>
  <si>
    <t xml:space="preserve">POPI ELIMINADOR DE OLORE EUCALIPTO X15ML </t>
  </si>
  <si>
    <t>13,000 x1</t>
  </si>
  <si>
    <t>PACK SELLADO CON FRASCO X15ML DE SOLUCIÒN EXTERNA PARA BAÑO</t>
  </si>
  <si>
    <t xml:space="preserve">POPI ELIMINADOR DE OLORE LAVANDA X15ML </t>
  </si>
  <si>
    <t xml:space="preserve">POPI ELIMINADOR DE OLORE FRUTOS ROJOS X15ML </t>
  </si>
  <si>
    <t xml:space="preserve">POPI ELIMINADOR DE OLORE CÍTRICO X15ML </t>
  </si>
  <si>
    <t>VASELINA *400GR - YOMA</t>
  </si>
  <si>
    <t xml:space="preserve">POTE SELLADO *400GR DE VASELINA PURA </t>
  </si>
  <si>
    <t xml:space="preserve">OLANZAPINA 5MG X30 - MK </t>
  </si>
  <si>
    <t xml:space="preserve">PAMOATO PIRANTEL MEMPHIS SUSP </t>
  </si>
  <si>
    <t>FRASCO SELLADO *15ML DE SOLUCION ORAL</t>
  </si>
  <si>
    <t xml:space="preserve">PANTOPRAZOL 20MG- X30 COLMED </t>
  </si>
  <si>
    <t>20,500 X10</t>
  </si>
  <si>
    <t xml:space="preserve">ACETAMINOFEN + CAFEINA 500/65MG GENFAR X48 TABLETAS </t>
  </si>
  <si>
    <t xml:space="preserve">CAJA X48 TABLETAS ORALES </t>
  </si>
  <si>
    <t>38,500 X1</t>
  </si>
  <si>
    <t xml:space="preserve">NITROFURANTOINA 100MG </t>
  </si>
  <si>
    <t xml:space="preserve">CAJA SELLADA *300 CÁPSULAS </t>
  </si>
  <si>
    <t xml:space="preserve">NORAVER NARANJA MIEL *96 TAB </t>
  </si>
  <si>
    <t xml:space="preserve">BUCOXOL TRIPLE ACCION COOL MINT X10 </t>
  </si>
  <si>
    <t xml:space="preserve">CAJA *10 TABLETAS MASTICABLES </t>
  </si>
  <si>
    <t xml:space="preserve">FIRE LIPS NF - ACIDO SALICILICO, EXTRACTO DE CALENDULA, EXTRACTO DE RUIBARBO </t>
  </si>
  <si>
    <t xml:space="preserve">CAJA CON FRASCO SELLADO X10 SOLUCION TOPICA + APLICADOR </t>
  </si>
  <si>
    <t>15,500 X1</t>
  </si>
  <si>
    <t xml:space="preserve">METRONIDAZOL SUSP - ECAR </t>
  </si>
  <si>
    <t>10,000  X1</t>
  </si>
  <si>
    <t xml:space="preserve">FRASCO SELLADO X120ML </t>
  </si>
  <si>
    <t xml:space="preserve">KAOXITURA - CAOLIN PECTINA  X120ML </t>
  </si>
  <si>
    <t xml:space="preserve">FRASCO SELLADO X120ML DE ANTIDIARREICO </t>
  </si>
  <si>
    <t xml:space="preserve">ERITROMICINA 500MG </t>
  </si>
  <si>
    <t xml:space="preserve">CAJA *50 TABLETAS RECUBIERTAS </t>
  </si>
  <si>
    <t xml:space="preserve">ACEITE COCO ATHOS *120ML </t>
  </si>
  <si>
    <t xml:space="preserve">ACEITE COCO ATHOS *250ML </t>
  </si>
  <si>
    <t xml:space="preserve">frasco sellado x60 cápsulas blandas </t>
  </si>
  <si>
    <t>MERTHIOLATE INCOLORO - TIOMERSAL 1:1000</t>
  </si>
  <si>
    <t xml:space="preserve">BABY BALM - VICK BEBÉ </t>
  </si>
  <si>
    <t xml:space="preserve">CAJA SELLADA CON POTE X50GR DE UNGUENTO TOPICO BEBÉ </t>
  </si>
  <si>
    <t xml:space="preserve">TERMOMETRO DIGITAL - ZJK MT091 PUNTA DURA </t>
  </si>
  <si>
    <t xml:space="preserve">CAJA CON TERMOMETRO DIGITAL EN EMPAQUE INDIVIDUAL C/U </t>
  </si>
  <si>
    <t xml:space="preserve">ALBENDAZOL SUSPENSIÓN 4% - COASPHARMA </t>
  </si>
  <si>
    <t xml:space="preserve">CAJA CON FRASCO SELLADO X10ML DE SUSPENSION ORAL </t>
  </si>
  <si>
    <t xml:space="preserve">VENDA ELÁSTICA 5" *5  YDS MEDICAL SUPPLIES </t>
  </si>
  <si>
    <t>PAQUETE SELLADO POR VENDA DE 5*5</t>
  </si>
  <si>
    <t xml:space="preserve">COLAGENO 200MG + BIOTINA 900MCG </t>
  </si>
  <si>
    <t xml:space="preserve">NEUBALIN 150MG X30 / PREGABALINA </t>
  </si>
  <si>
    <t>SECNIDAZOL 500MG - LIBERLIM X4</t>
  </si>
  <si>
    <t xml:space="preserve">CAJA X5 TABLETAS ORALES </t>
  </si>
  <si>
    <t xml:space="preserve">OLANZAPINA 10MG - LA SANTÉ X14 TABS </t>
  </si>
  <si>
    <t>36,000 X7</t>
  </si>
  <si>
    <t xml:space="preserve">CAFIASPIRINA X12 </t>
  </si>
  <si>
    <t xml:space="preserve">CAJA *12 TABLETAS </t>
  </si>
  <si>
    <t xml:space="preserve">DOLPACK KIDS - ACIDO HIALURONICO GEL </t>
  </si>
  <si>
    <t>PACK SELLADO X1 GEL BUCAL + ROLLOS DENTALES MOTAS ALGODON</t>
  </si>
  <si>
    <t xml:space="preserve">FLUIMED / N-ACETILCISTEINA + GUAYACOLATO DE GLICERILO </t>
  </si>
  <si>
    <t xml:space="preserve">CAJA CON FRASCO SELLADO X120ML DDE JARABE </t>
  </si>
  <si>
    <t xml:space="preserve">ACETAMINOFEN JARABE *60ML </t>
  </si>
  <si>
    <t xml:space="preserve">FRASCO SELLADO *60ML DE JARABE </t>
  </si>
  <si>
    <t xml:space="preserve">LIDOCAINA INYECTABLE X20ML / 2% </t>
  </si>
  <si>
    <t xml:space="preserve">CAJA CON FRASCO X20ML DE SOLUCION INYECTABLE </t>
  </si>
  <si>
    <t xml:space="preserve">50000 X60 </t>
  </si>
  <si>
    <t xml:space="preserve">OXIMETAZOLINA 0,025% PEDIATRICAS - BUSINESS S.A.S </t>
  </si>
  <si>
    <t>VICAL C - VITAMINA C 500MG ECAR X144</t>
  </si>
  <si>
    <t>6,500 X12</t>
  </si>
  <si>
    <t xml:space="preserve">CAJA X144 TABLETAS MASTICABLES EN BLISTER DE 12 C/U </t>
  </si>
  <si>
    <t xml:space="preserve">BAXTER 0,9% / SOLUCION SALINA - CLORURO DE SODIO X500ML AL 0,9% </t>
  </si>
  <si>
    <t>AVALPRIC - ACIDO VALPROICO SUSP</t>
  </si>
  <si>
    <t>TENA SLIP COMFORT TALLA L X21</t>
  </si>
  <si>
    <t>73,000 X21</t>
  </si>
  <si>
    <t xml:space="preserve">PACK SELLADO X1 PAÑALES </t>
  </si>
  <si>
    <t>CENTRUM SILVER WOMEN +50 X30</t>
  </si>
  <si>
    <t>59,500 X30</t>
  </si>
  <si>
    <t xml:space="preserve">CAJA SELLADA CON FRASCO *60 TABLETAS </t>
  </si>
  <si>
    <t>MUCOTROP NIÑOS / BROMHEXINA CLORHIDRATO</t>
  </si>
  <si>
    <t>AMOXICILINA SUSPENSIÓN- COASPHARMA</t>
  </si>
  <si>
    <t>CAJA CON FRASCO SELLADO *100ML POLVO PARA SUPENSIÓN ORAL</t>
  </si>
  <si>
    <t>BECLOMETASONA BUCAL 50MCG- ECLOSYNT</t>
  </si>
  <si>
    <t>38,000 x1</t>
  </si>
  <si>
    <t xml:space="preserve">CAJA SELLADA *1 INHALADOR *200 DOSIS </t>
  </si>
  <si>
    <t>PROTECTORES  DE LACTANCIA NOSOTRAS 40+40</t>
  </si>
  <si>
    <t>32,000 X80</t>
  </si>
  <si>
    <t xml:space="preserve">PACK SELLADO *2 CAJAS CON 40 PROCTECTORES CADA UNO </t>
  </si>
  <si>
    <t xml:space="preserve">AMPICILINA 500MG - COLMED </t>
  </si>
  <si>
    <t>CAJA *100 CAPSULAS DURAS</t>
  </si>
  <si>
    <t xml:space="preserve">DESODORANTE REXONA CLINICAL *30GR ROSADO CLASSIC MUJER </t>
  </si>
  <si>
    <t xml:space="preserve">POTE SELLADO *30GR DE DESODORANTE </t>
  </si>
  <si>
    <t>DESOSODRANTE REXONA CLINICAL *30GR HOMBRE AZUL CLEAN</t>
  </si>
  <si>
    <t>3,200 X1</t>
  </si>
  <si>
    <t xml:space="preserve">ALENDRONATO 70MG - MEMPHIS </t>
  </si>
  <si>
    <t>16,000 X4</t>
  </si>
  <si>
    <t>CAJA *4 TABLETAS</t>
  </si>
  <si>
    <t xml:space="preserve">PEQUEÑIN PAÑITOS HUMEDOS X70  - ALMENDRAS </t>
  </si>
  <si>
    <t>10,000 X70</t>
  </si>
  <si>
    <t xml:space="preserve">PACK X70 PAÑITOS HUMEDOS  </t>
  </si>
  <si>
    <t>8,000 X4</t>
  </si>
  <si>
    <t xml:space="preserve">BRONSINEX / AMBROXOL + CLENBUTEROL </t>
  </si>
  <si>
    <t>NECLOBET *40GR</t>
  </si>
  <si>
    <t>CIPROFLOXACINO GOTAS MEMPHIS</t>
  </si>
  <si>
    <t>CAJA CON FRASCO SELLADO *5ML DE SOLUCION OFTALMICA</t>
  </si>
  <si>
    <t xml:space="preserve">ACICLOVIR 800MG - X50 TABS LAPROFF (X10) </t>
  </si>
  <si>
    <t xml:space="preserve">MENTICOL FRESH AZUL X250ML </t>
  </si>
  <si>
    <t xml:space="preserve">19,000 X250ML </t>
  </si>
  <si>
    <t>TOBRAVISION- TOBRAMICIINA- VITALIS</t>
  </si>
  <si>
    <t>57,000 X1</t>
  </si>
  <si>
    <t xml:space="preserve">ORLISTAT *30 CAPS- COLMED </t>
  </si>
  <si>
    <t xml:space="preserve">CAJA *30 CÁPSULAS </t>
  </si>
  <si>
    <t xml:space="preserve">BRONCOMIEL / HEDERA HELIX + PORPOLEO SUSP </t>
  </si>
  <si>
    <t xml:space="preserve">CAJA CON FRASCO SELLADO X120ML DE SUSPENSION ORAL </t>
  </si>
  <si>
    <t xml:space="preserve">MIELTERTOS  LYPTUS *12 SOBRES </t>
  </si>
  <si>
    <t xml:space="preserve">CAJA SELLADA X12 SOBRE X4PASTILLAS MASTICABLES CADA UNO </t>
  </si>
  <si>
    <t>LYPTUS SPRAY 120ML / TOMILLO+HEDERA HELIX+JENGIBRE+PROPOLEO</t>
  </si>
  <si>
    <t xml:space="preserve">CAJA CON FRASCO SELLADO X120ML DE SOLUCIÓN ORAL EN SPRAY </t>
  </si>
  <si>
    <t xml:space="preserve">ENLAPRIL 20MG - MEDIBRAND  X330 TABS </t>
  </si>
  <si>
    <t xml:space="preserve">CAJA X330 TABLETAS </t>
  </si>
  <si>
    <t>COLLOPLUS</t>
  </si>
  <si>
    <t>CAJA SELLADA CON SOLUCIÓN TÓPICA 10ML</t>
  </si>
  <si>
    <t xml:space="preserve">PEDIALYTE CEREZA 30 mEq ACTIVE </t>
  </si>
  <si>
    <t xml:space="preserve">FRASCO SELLADO *500ML DE SOLUCIÒN REHIDRATANTE </t>
  </si>
  <si>
    <t>HIDRAPLUS 75 MANZANA  VERDE X400ML</t>
  </si>
  <si>
    <t xml:space="preserve">POLIOFTAL GOTAS / POLIMIXINA DEXAMETASONA NEOMICINA </t>
  </si>
  <si>
    <t>CAJA CON FRASCO SELLADO *5 ML DE SOLUCION OFTALMICA</t>
  </si>
  <si>
    <t xml:space="preserve">ALCANFOR POTE X60 UNDS - REFINADO </t>
  </si>
  <si>
    <t xml:space="preserve">FRASCO X60 CUBOS DE ALCANFOR EN EMPAQUE INDIVIDUAL C/U </t>
  </si>
  <si>
    <t>CICLOBENZAPRINA CLORHIDRATO 10MG - GENFAR X15</t>
  </si>
  <si>
    <t xml:space="preserve">CAJA X15 TABLETAS EN BLISTER DE 15 C/U </t>
  </si>
  <si>
    <t xml:space="preserve">LACTOVIT / LACTOUREA JABÓN - GEL DE BAÑO X600ML </t>
  </si>
  <si>
    <t xml:space="preserve">27,000 X600ML </t>
  </si>
  <si>
    <t xml:space="preserve">POTE X600ML DE JABON CORPORAL </t>
  </si>
  <si>
    <t xml:space="preserve">CEFRADINA CAPS RECIPE X24 /  CEFREX BUSSIÉ </t>
  </si>
  <si>
    <t xml:space="preserve">LACTOVIT / LACTOUREA JABÓN - GEL DE BAÑO X300ML </t>
  </si>
  <si>
    <t xml:space="preserve">POTE X300ML DE JABON CORPORAL </t>
  </si>
  <si>
    <t>ACEITE DE RICINO 25CC</t>
  </si>
  <si>
    <t xml:space="preserve">FRASCO SELLADO *25CC </t>
  </si>
  <si>
    <t xml:space="preserve">CROPOLÓGICO PAQUETE </t>
  </si>
  <si>
    <t xml:space="preserve">PACK X50 UNIDADES EN EMPAQUE INDIVIDUAL </t>
  </si>
  <si>
    <t>OFTAMOX GOTAS</t>
  </si>
  <si>
    <t xml:space="preserve">CAJA CON FRASCO SELLADO *5ML DE SOLUCIÓN INYECTABLE </t>
  </si>
  <si>
    <t xml:space="preserve">NOXPIRIN GARGANTA X120ML SPRAY </t>
  </si>
  <si>
    <t xml:space="preserve">38,000 X120ML </t>
  </si>
  <si>
    <t>FRASCO SELLADO X120ML DE SPRAY ANTISEPTICO BUCAL</t>
  </si>
  <si>
    <t xml:space="preserve">NOKTOS NIÑOS/ GUAYACOLATO + BROMHEXINA SUSP </t>
  </si>
  <si>
    <t xml:space="preserve">NOKTOS ADULTO / GUAYACOLATO + BROMHEXINA SUSP </t>
  </si>
  <si>
    <t>ALBENDAZOL SUSPENSIÓN SOBRE - LAPROFF X12</t>
  </si>
  <si>
    <t xml:space="preserve">CAJA X12 SOBRES DE SUSPENSION ORAL </t>
  </si>
  <si>
    <t xml:space="preserve">CETIRIZINA GOTAS / RINCETIR 10MG </t>
  </si>
  <si>
    <t xml:space="preserve">CAJA CON FRASCO SELLADO X15ML DE GOTAS ORALES </t>
  </si>
  <si>
    <t xml:space="preserve">GAVISCON DOBLE ACCION FRASCO X300ML </t>
  </si>
  <si>
    <t>61,000 X1</t>
  </si>
  <si>
    <t xml:space="preserve">FRASCO SELLADO X300ML DE SUSPENSION ORAL ANTIACIDA </t>
  </si>
  <si>
    <t>MELATONINA 3MG- FUNAT</t>
  </si>
  <si>
    <t>43,000 X60</t>
  </si>
  <si>
    <t xml:space="preserve">LEVOTIROXINA 50MCG X30 - COLMED </t>
  </si>
  <si>
    <t>APRONAX 275MG X50 + 8CÁPSULAS</t>
  </si>
  <si>
    <t xml:space="preserve">CAJA X50  CÁPSULAS BLANDAS + 8 </t>
  </si>
  <si>
    <t>65,000 X30</t>
  </si>
  <si>
    <t xml:space="preserve">34,500 X50GR </t>
  </si>
  <si>
    <t xml:space="preserve">MELOXICAM 7.5MG / MEXICAM X30 TABS </t>
  </si>
  <si>
    <t xml:space="preserve">CAJA X30 TABLETAS ORALES EN BLISTER DE 10C/U </t>
  </si>
  <si>
    <t>GASTROFAST ADVANCE *24 SACHET</t>
  </si>
  <si>
    <t xml:space="preserve">CAJA SELLADA *10 SACHET DE SUSPENSIÓN ORAL </t>
  </si>
  <si>
    <t>4,500 X10</t>
  </si>
  <si>
    <t>TOALLAS NOSOTRAS INVISIBLES RAPIGEL *10</t>
  </si>
  <si>
    <t>6,500 X10 + 5 PROTECT</t>
  </si>
  <si>
    <t>PACK DISPENSADOR *10 TOALLAS RAPIGEL</t>
  </si>
  <si>
    <t xml:space="preserve">VASELINA X500GR ATHOS </t>
  </si>
  <si>
    <t>19,000 X500GR</t>
  </si>
  <si>
    <t xml:space="preserve">POTE X500GR DE VASELINA SIMPLE </t>
  </si>
  <si>
    <t>YODORA *32GR +32GR  PROMO</t>
  </si>
  <si>
    <t>PACK X2 POTES *32 GR DE YODORA</t>
  </si>
  <si>
    <t xml:space="preserve">ACETAMINOFEN + HIOSCINA X20 TABS COASPHARMA </t>
  </si>
  <si>
    <t>SERTRALINA 50MG TABS GENFAR  X30</t>
  </si>
  <si>
    <t>DUCHA INTIMAZUL VINAGRE</t>
  </si>
  <si>
    <t xml:space="preserve">CAJA SELLADA *120ML DE ANTISEPTICO VAGINAL </t>
  </si>
  <si>
    <t xml:space="preserve">METOCARBAMOL X250 ANGLOPHARMA </t>
  </si>
  <si>
    <t xml:space="preserve">CAJA X250 TABLETAS ORALES EN BLISTER DE 10 C/U </t>
  </si>
  <si>
    <t>PASTA LASSAR POT *100GR</t>
  </si>
  <si>
    <t xml:space="preserve">POTE SELLADO *100GR DE PROTECTOR CUTÁNEO </t>
  </si>
  <si>
    <t>TRIMETROPRIM SULFA 40/200 SUSP X120ML ECAR</t>
  </si>
  <si>
    <t xml:space="preserve">TRIMETROPRIM SULFA 80/400 SUSP X120ML ECAR </t>
  </si>
  <si>
    <t xml:space="preserve">14,000 X120ML </t>
  </si>
  <si>
    <t>FRASCO SELLADO *120ML DE SUSPENSION ORAL</t>
  </si>
  <si>
    <t xml:space="preserve">CAPELL - MULTIVITAMINICO X60 </t>
  </si>
  <si>
    <t>65,000 X60</t>
  </si>
  <si>
    <t>CAJA SELLADA CON FRASCO SELLADO X60 CAPSULAS ORALES</t>
  </si>
  <si>
    <t xml:space="preserve">CREMA No.4 NATURAL - CALENDULA *20 GR </t>
  </si>
  <si>
    <t xml:space="preserve">SINAXAR A - METOCARBAMOL + ACETAMINOFEN </t>
  </si>
  <si>
    <t>VITAMINA B12 *10ML AMPOLLA / X1 AMPOLLAS</t>
  </si>
  <si>
    <t xml:space="preserve">DIOSMINA + HESPERIDINA - GENFAR X30 </t>
  </si>
  <si>
    <t xml:space="preserve">ALENDRONATO 70MG- X4 TABLETAS </t>
  </si>
  <si>
    <t>39,000 X4</t>
  </si>
  <si>
    <t xml:space="preserve">CAJA X4 TABLETAS </t>
  </si>
  <si>
    <t xml:space="preserve">TRAMADOL CAPSULAS COLMED </t>
  </si>
  <si>
    <t>CAJA *10 CÁPSULAS</t>
  </si>
  <si>
    <t xml:space="preserve">TELMISARTAN 80MG / TEMILTAR X30 TABS </t>
  </si>
  <si>
    <t>28,000X30</t>
  </si>
  <si>
    <t>13,500 X10</t>
  </si>
  <si>
    <t xml:space="preserve">DICLOFENACO SODICO 75MG AMPO X10 VITALIS </t>
  </si>
  <si>
    <t xml:space="preserve">CAJA X10 AMPOLLAS IM O I,V </t>
  </si>
  <si>
    <t xml:space="preserve">FENCAFEN X20 TABLETAS </t>
  </si>
  <si>
    <t>3,800 X1</t>
  </si>
  <si>
    <t xml:space="preserve">NAPROX 2,5% - NAPROXENO SUSPENSIÓN </t>
  </si>
  <si>
    <t xml:space="preserve">CAJA CON FRASCO SELLADO *80ML DE SUSPENSIÓN ORAL </t>
  </si>
  <si>
    <t xml:space="preserve">NAPROX 3%- NAPROXENO SUSPENSIÓN </t>
  </si>
  <si>
    <t>ROSUVASTATINA 40MG - ROTAVIN X30</t>
  </si>
  <si>
    <t>20,000 x10</t>
  </si>
  <si>
    <t xml:space="preserve">PAX DIA  X24 - NARANJA </t>
  </si>
  <si>
    <t>SUNDARK SPF 60 ADULTOS POTE *60GR</t>
  </si>
  <si>
    <t xml:space="preserve">38,000 X60GR </t>
  </si>
  <si>
    <t>CAJA SELLADA CON FRASCO *60GR DE PROTECTOR SOLAR</t>
  </si>
  <si>
    <t>9,000 X50</t>
  </si>
  <si>
    <t>20,000 x30</t>
  </si>
  <si>
    <t xml:space="preserve">PRUEBA DE EMBARAZO VENUST </t>
  </si>
  <si>
    <t xml:space="preserve">VACOL x390GR </t>
  </si>
  <si>
    <t xml:space="preserve">47,000 X360GR </t>
  </si>
  <si>
    <t xml:space="preserve">TELMISARTAN 40MG- TELMILTAR X30 TABLETAS </t>
  </si>
  <si>
    <t>FEVENY - ESTROGENO CONJUGADOS CREMA</t>
  </si>
  <si>
    <t>41,000 x1</t>
  </si>
  <si>
    <t xml:space="preserve">CAJA SELLADA *43 GRAMOS DE CREMA VAGINAL </t>
  </si>
  <si>
    <t>12,000 x1</t>
  </si>
  <si>
    <t>LEVETIRACETAM 1000MG / LEPILEV X30</t>
  </si>
  <si>
    <t>75,000 X30</t>
  </si>
  <si>
    <t>FEVENY - ESTROGENO CONJUGADOS TAB</t>
  </si>
  <si>
    <t xml:space="preserve">JERINGA 10ML MEDISPO </t>
  </si>
  <si>
    <t>1,000 C1</t>
  </si>
  <si>
    <t>JERINGA 10ML DESECHABLE EN EMPAQUE INDIVIDUAL</t>
  </si>
  <si>
    <t xml:space="preserve">TERBINAFINA 1% - VAXOMIZOL </t>
  </si>
  <si>
    <t xml:space="preserve">TRINSICON / CLOTRIMAZOL + NEOMICINA + DEXAMETASONA </t>
  </si>
  <si>
    <t xml:space="preserve"> 18,000 X1</t>
  </si>
  <si>
    <t xml:space="preserve">URSACOL 300MG- ACIDO URSODESOXIXCOLICO </t>
  </si>
  <si>
    <t>actrocder</t>
  </si>
  <si>
    <t xml:space="preserve">CAJA X20 TABLETAS ORALES </t>
  </si>
  <si>
    <t xml:space="preserve">SKINDERM CREMA X40GR / BETAMETASONA 0,04GR / NEOMICINA 0,50GR / CLOTRIMAZOL 1,00 GR </t>
  </si>
  <si>
    <t>PRUEBA EMBARAZO CASSETE- CHEMI S.A.S  ROSA/BLANCO</t>
  </si>
  <si>
    <t xml:space="preserve">SKINDERM CREMA X20GR / BETAMETASONA 0,04GR / NEOMICINA 0,50GR / CLOTRIMAZOL 1,00 GR </t>
  </si>
  <si>
    <t xml:space="preserve">SERTRALINA 50MG - MEMPHIS </t>
  </si>
  <si>
    <t>JABÓN NOPIKES REPELENTE</t>
  </si>
  <si>
    <t xml:space="preserve">CAJA SELLADA X1 BARRA DE JABÓN REPELENTE 50GR </t>
  </si>
  <si>
    <t xml:space="preserve">MIELTERTOS DÍA  X24 SOBRES </t>
  </si>
  <si>
    <t xml:space="preserve">CAJA X24 SOBRES </t>
  </si>
  <si>
    <t>32,500 X1</t>
  </si>
  <si>
    <t xml:space="preserve">CLINDABACT TRIDEX OVULOS / CLINDAMICINA + CLOTRIMAZOL </t>
  </si>
  <si>
    <t>21,000 X3</t>
  </si>
  <si>
    <t xml:space="preserve">COCAS RECOLECTORAS LECHE MATERNA - YOKY </t>
  </si>
  <si>
    <t xml:space="preserve">CAJA X2 COCAS RECOLECTORAS DE LECHE MATERNAS - REUTILIZABLE </t>
  </si>
  <si>
    <t>PENICILINA G BENZATINICA 1,2000,000 U.I / BENZATIDELT X10</t>
  </si>
  <si>
    <t xml:space="preserve">CAJA X10 AMPOLLA DE POLVO PARA SOLUCION INYECTABLE </t>
  </si>
  <si>
    <t>VASELINA X120GR - YOMA</t>
  </si>
  <si>
    <t xml:space="preserve">SEDA DENTAL CERA- MENTA *240M </t>
  </si>
  <si>
    <t xml:space="preserve">12,000 X240 </t>
  </si>
  <si>
    <t>PACK SELLADO *240MTS DE SEDA DENTAL</t>
  </si>
  <si>
    <t xml:space="preserve">CEPILLO EXTRA SUAVE COLDENT -  CERDAS CÓNICAS </t>
  </si>
  <si>
    <t xml:space="preserve">PACK SELLADO X1 CEPILLO INDIVIDUAL </t>
  </si>
  <si>
    <t>CAFIASPIRINA FORTE X36 TABS</t>
  </si>
  <si>
    <t xml:space="preserve">VITACEREBRINA NARANJA JARABE </t>
  </si>
  <si>
    <t xml:space="preserve">AMPOLLETA SELLADA X10ML DE SOLUCION INYECTABLE </t>
  </si>
  <si>
    <t xml:space="preserve">DERTRIFAR CREMA / CLOTRIMAZOL + NEOMICINA + DEXAMETASONA  X20GR </t>
  </si>
  <si>
    <t xml:space="preserve">13,000 X20GR </t>
  </si>
  <si>
    <t xml:space="preserve">REPELENTE SPRAY ADULTO X120ML / OUT VITAMINA E </t>
  </si>
  <si>
    <t xml:space="preserve">11,000 X120ML </t>
  </si>
  <si>
    <t>FRASCO SELLADO X120ML DE REPELENTE TOPICO EN SPRAY</t>
  </si>
  <si>
    <t>26,500 X650</t>
  </si>
  <si>
    <t xml:space="preserve">TOBROPTIC COMPUESTO  GOTAS / TOBRAMICINA + DEXAMETASONA </t>
  </si>
  <si>
    <t xml:space="preserve">CAJA *5ML SUSPENSIÓN OFTÁLMICA </t>
  </si>
  <si>
    <t>ACIDO RETINOICO CREMA QUIFARMA X30GR</t>
  </si>
  <si>
    <t>POTE SELLADO *30GR DE CREMA</t>
  </si>
  <si>
    <t>TENA SLIP COMFORT TALLA M X21</t>
  </si>
  <si>
    <t xml:space="preserve">PACK SELLADO X21 PAÑALES </t>
  </si>
  <si>
    <t xml:space="preserve">8,000 C1 </t>
  </si>
  <si>
    <t xml:space="preserve">TADALAFILO 20MG - COASPHARMA X4 TABS </t>
  </si>
  <si>
    <t xml:space="preserve">CAJA X4 TABLETAS VIA ORAL </t>
  </si>
  <si>
    <t>TOALLAS NOSOTRAS EXTRA PROTECCION DIA Y NOCHE X24</t>
  </si>
  <si>
    <t>15,000 X24</t>
  </si>
  <si>
    <t>PACK SELLADO X24 TOALLAS DÍA Y NOCHE</t>
  </si>
  <si>
    <t xml:space="preserve">CREMA LIMON OSA </t>
  </si>
  <si>
    <t xml:space="preserve">POTE SELLADO X5GR DE CREMA TOPICA </t>
  </si>
  <si>
    <t>MENTOL ZAHYE *5GR CAJA X12 UNDS</t>
  </si>
  <si>
    <t>POTE SELLADO *5GR DE MENTOL</t>
  </si>
  <si>
    <t>MENTOL ZAHYE *12GR CAJA X12 UNDS</t>
  </si>
  <si>
    <t>POTE SELLADO *12GR DE MENTOL</t>
  </si>
  <si>
    <t xml:space="preserve">FITOESTIMOLINE JABON LIQUIDO X250ML </t>
  </si>
  <si>
    <t>55,000 X1</t>
  </si>
  <si>
    <t xml:space="preserve">FRASCO SELLADO X250ML DE JABON TOPICO LIQUIDO </t>
  </si>
  <si>
    <t xml:space="preserve">NODOL FORTE X30 TABS  / ACETAMINOFEN 325+ CODEINA FOSF 30MG </t>
  </si>
  <si>
    <t>11,000 x10</t>
  </si>
  <si>
    <t xml:space="preserve">ESOMEPRAZOL 40MG X30 - NOVAMED </t>
  </si>
  <si>
    <t xml:space="preserve">OLMESARTAN 40MG / OLMEDOXTAN </t>
  </si>
  <si>
    <t>15,000 x10</t>
  </si>
  <si>
    <t xml:space="preserve">22,000 X330 GR </t>
  </si>
  <si>
    <t xml:space="preserve">HIDROXICINA TABLETAS 25MG - X20 GENFAR </t>
  </si>
  <si>
    <t>2,000 x10</t>
  </si>
  <si>
    <t>IBUPROFENO + METOCARBAMOL 200MG/500MG - MEMPHIS</t>
  </si>
  <si>
    <t>CAJA X 30 TABLETAS</t>
  </si>
  <si>
    <t xml:space="preserve">KETOROLACO AMP- GENFAR / X10 AMP I.M O I.V </t>
  </si>
  <si>
    <t xml:space="preserve">CAJA *5 AMPOLLAS </t>
  </si>
  <si>
    <t xml:space="preserve">TOALLAS MATERNAS X20- MATERNITY CLASICA </t>
  </si>
  <si>
    <t xml:space="preserve">PACK SELLADO X20 TOALLAS MATERNAS-POSTPARTO </t>
  </si>
  <si>
    <t>|</t>
  </si>
  <si>
    <t xml:space="preserve">ACETATO ALUMINIO X120ML - WILD LIFE </t>
  </si>
  <si>
    <t xml:space="preserve">POTE SELLADO X120ML DE LOCION TOPICA </t>
  </si>
  <si>
    <t>ACTIFREN NIÑO- FRESA</t>
  </si>
  <si>
    <t xml:space="preserve">JERINGA 5ML - NIPRO X100 </t>
  </si>
  <si>
    <t>500 x1</t>
  </si>
  <si>
    <t>CAJA X100 JERINGAS EN EMPAQUE INDIVIDUAL C/U</t>
  </si>
  <si>
    <t xml:space="preserve">GLUCOSAMINA + CONDROITINA SOBRES LA SANTÉ </t>
  </si>
  <si>
    <t>67,000 X15</t>
  </si>
  <si>
    <t xml:space="preserve">CAJA X15 SOBRES EN EMPAQUE INDIVIDUAL CADA UNA </t>
  </si>
  <si>
    <t xml:space="preserve">PEDIALYTE 60- COCO </t>
  </si>
  <si>
    <t xml:space="preserve">SULFADIAZINA PLATA GENFAR X15GR </t>
  </si>
  <si>
    <t xml:space="preserve">CAJA CON TUBO DE CREMA SELLADO X15GR </t>
  </si>
  <si>
    <t>42,000 X10</t>
  </si>
  <si>
    <t xml:space="preserve">MENTOL ZAHYE X60GR </t>
  </si>
  <si>
    <t>POTE SELLADO X60GR DE UNGUENTO TOPICO</t>
  </si>
  <si>
    <t>47,000 X3</t>
  </si>
  <si>
    <t>TADALAFILO 5MG - DAFULL X28</t>
  </si>
  <si>
    <t xml:space="preserve">CAJA X28 TABLETAS SELLADAS EN BLISTER DE 14 CADA UNO </t>
  </si>
  <si>
    <t xml:space="preserve">FLUMIXOL 600MG - X30 SOBRES  / N-ACETILSISTEINA (X1) </t>
  </si>
  <si>
    <t xml:space="preserve">CAJA X30 SOBRES </t>
  </si>
  <si>
    <t xml:space="preserve">MIGRADOL CAJA X30 / ERGOTAMINA + CAFEINA </t>
  </si>
  <si>
    <t>TENA PANTS CLASICO M X16</t>
  </si>
  <si>
    <t>57,000 X16</t>
  </si>
  <si>
    <t>CLINDAMICINA 300MG- MEMPHIS X40</t>
  </si>
  <si>
    <t>1,600 x1</t>
  </si>
  <si>
    <t xml:space="preserve">CAJA *24 CÁPSULAS </t>
  </si>
  <si>
    <t>FORZ CREMA *24 SOBRES (X1)</t>
  </si>
  <si>
    <t>3,500X1</t>
  </si>
  <si>
    <t xml:space="preserve">CAJA *24 SOBRES EN EMPQUE INDIVIDUAL </t>
  </si>
  <si>
    <t xml:space="preserve">METOFRMINA 100MG  / GLIFORMIN X30 TABS SIEGFRIED </t>
  </si>
  <si>
    <t>FLORATIL - CAPSULAS</t>
  </si>
  <si>
    <t xml:space="preserve">CAJA SELLADA *10 CAPSULAS </t>
  </si>
  <si>
    <t xml:space="preserve">TABS SIEGFRIED </t>
  </si>
  <si>
    <t xml:space="preserve">8,000 X10 </t>
  </si>
  <si>
    <t xml:space="preserve">BETAMETASONA 0,1% X40GR </t>
  </si>
  <si>
    <t>DESONIDA 0,1% - RECIPE</t>
  </si>
  <si>
    <t xml:space="preserve">CAJA SELLADA CON TUBO DE CREMA TÓPICA *15GR </t>
  </si>
  <si>
    <t>DESONIDA 0,05% *15GR RECIPE</t>
  </si>
  <si>
    <t>CAJA SELLADA CON TUBO DE 15GR DE CREMA TÓPICA</t>
  </si>
  <si>
    <t>LEVOFLOXACINA 500MG . LAPROFF</t>
  </si>
  <si>
    <t>16,000 X7</t>
  </si>
  <si>
    <t>CAJA X7 TABLETAS RECUBIERTAS</t>
  </si>
  <si>
    <t xml:space="preserve">TRAMASINDOL - TRAMADOL GOTAS BLASKOV </t>
  </si>
  <si>
    <t xml:space="preserve">CAJA CON FRASCO SELLADO *10ML DE SUSPENSION ORAL </t>
  </si>
  <si>
    <t>14,200 X15</t>
  </si>
  <si>
    <t xml:space="preserve">VITACEREBRINA LIMON JARABE </t>
  </si>
  <si>
    <t>54,500 X1</t>
  </si>
  <si>
    <t xml:space="preserve">OCEIRA- LEVONORGESTREL 0,15MG/ ETINILESTRADIOL 0,03MG </t>
  </si>
  <si>
    <t xml:space="preserve">FLUIMUCIL 2% JARABE *120ML </t>
  </si>
  <si>
    <t xml:space="preserve">CAJA CON FRSCO SELLADO *120ML DE JARABE </t>
  </si>
  <si>
    <t xml:space="preserve">JERINGA 5ML - PRECISION CARE X100 UDS </t>
  </si>
  <si>
    <t xml:space="preserve">CAJA X100 JERINGAS EN EMPAQUE INDIVIDUAL C/U </t>
  </si>
  <si>
    <t xml:space="preserve">MIELTERTOS  LYPTUS BOMBONERA - X25 SOBRES </t>
  </si>
  <si>
    <t>CURAS LARGAS- BEGUT  X100</t>
  </si>
  <si>
    <t xml:space="preserve">CADA *100 UNIDADES </t>
  </si>
  <si>
    <t xml:space="preserve">MELOXICAM 7,5 MG - COASPHARMA X10 </t>
  </si>
  <si>
    <t xml:space="preserve">CAJA X10 TABLETAS VÌA ORAL </t>
  </si>
  <si>
    <t>SUNDARK SPF 60 ADULTOS POTE *1200GR</t>
  </si>
  <si>
    <t>63000 X1</t>
  </si>
  <si>
    <t>CAJA SELLADA CON FRASCO *120GR DE PROTECTOR SOLAR</t>
  </si>
  <si>
    <t xml:space="preserve">VENOVIT </t>
  </si>
  <si>
    <t xml:space="preserve">CAJA *500ML SOLUCIÓN ESTÉRIL </t>
  </si>
  <si>
    <t>62,000 X1</t>
  </si>
  <si>
    <t>50,000 X1</t>
  </si>
  <si>
    <t xml:space="preserve">AMOXICLIN DUO TAB 500MG/ 125 MG  *16 TABS - AMOXICILINA + ACIDO CLAVULANICO </t>
  </si>
  <si>
    <t>78,000 X16</t>
  </si>
  <si>
    <t xml:space="preserve">CAJA *16 TABLETAS </t>
  </si>
  <si>
    <t>52,000 x16</t>
  </si>
  <si>
    <t>MIELTERTOS  LYPTUS *12 SOBRES - ZERO</t>
  </si>
  <si>
    <t xml:space="preserve">PIROXICAM GEL 0,5% - X40GR </t>
  </si>
  <si>
    <t xml:space="preserve">CAJA CON TUBO SELLADO X40GR DE GEL TOPICO </t>
  </si>
  <si>
    <t xml:space="preserve">ZETGRIP 4 CAPSULAS X100 / FENILEFRINA + ACETAMINOFEN + CETIRIZINA + CAFEINA </t>
  </si>
  <si>
    <t>CAJA *100 CAPSULAS</t>
  </si>
  <si>
    <t xml:space="preserve">JERINGA 3ML- DISPACOL </t>
  </si>
  <si>
    <t xml:space="preserve">400 C/U </t>
  </si>
  <si>
    <t>RESGRIPFAR PLUS X10 CAPSULAS  / ACETA + CAFE+ CETIRI+FENILEF</t>
  </si>
  <si>
    <t xml:space="preserve">CAJA X10 CAPSULAS ORALES EN BLISTER DE 10 C/U </t>
  </si>
  <si>
    <t xml:space="preserve">OXIMETAZOLINA PEDIATRICA LA SANTE 0,025% </t>
  </si>
  <si>
    <t>POST DAY *2 TAB</t>
  </si>
  <si>
    <t>15,000 X2</t>
  </si>
  <si>
    <t xml:space="preserve">CAJA *2 TABLETAS 0,75MG </t>
  </si>
  <si>
    <t>BRONCOCHEM F ADULTOS</t>
  </si>
  <si>
    <t xml:space="preserve">CAJA CON FRASCO SELLADO DE JARABE </t>
  </si>
  <si>
    <t>17,000 X7</t>
  </si>
  <si>
    <t>SALBUTAMOL JARABE - LAPROFF</t>
  </si>
  <si>
    <t>11,000 X4</t>
  </si>
  <si>
    <t>10,000X1</t>
  </si>
  <si>
    <t>6,000 X12</t>
  </si>
  <si>
    <t xml:space="preserve">NOXPIRIN SINUS *72 TAB </t>
  </si>
  <si>
    <t>4,000 X4</t>
  </si>
  <si>
    <t xml:space="preserve">CAJA *72 TABLETAS RECUBIERTAS </t>
  </si>
  <si>
    <t>VENLAFAXINA 75MG - MK</t>
  </si>
  <si>
    <t>9,000 X7</t>
  </si>
  <si>
    <t xml:space="preserve">CAJA *7 TABLETAS DE LIBERACION PROLONGADA </t>
  </si>
  <si>
    <t>DOCEFAL - ACETA + FENILEF+ CLORFERI+ CAFEI</t>
  </si>
  <si>
    <t xml:space="preserve">VITAMINA C - KEOPS VIT </t>
  </si>
  <si>
    <t xml:space="preserve">CAJA X100 ABLETAS MASTICABLES EN BLISTER DE 10 CADA UNO </t>
  </si>
  <si>
    <t xml:space="preserve">AMOXICILINA SUSP - LA SANTÉ </t>
  </si>
  <si>
    <t xml:space="preserve">CAJA CON FRASCO SELLADO X100 ML DE POLVO PARA RECONSTRUIR A SUSPENSIÒN ORAL </t>
  </si>
  <si>
    <t xml:space="preserve">GOTAS RESCATE - ESENCIA FLORAL EQUILIBRIO EMOCIONAL RESCATE </t>
  </si>
  <si>
    <t xml:space="preserve">CAJA CON FRASCO SELLADO X30ML DE SOLUCION ORAL </t>
  </si>
  <si>
    <t>10,000 X8</t>
  </si>
  <si>
    <t>26,000 X21</t>
  </si>
  <si>
    <t>LISTERINE COOL MINT *180ML</t>
  </si>
  <si>
    <t xml:space="preserve">FRASCO SELLADO *180ML DE ENJUAGUE BUCAL </t>
  </si>
  <si>
    <t xml:space="preserve">LISTERINE CUIDADO TOTAL *180ML </t>
  </si>
  <si>
    <t xml:space="preserve">NORAVER ENJUAGUE MENTA SPRAY X120ML </t>
  </si>
  <si>
    <t>50,500 X1</t>
  </si>
  <si>
    <t xml:space="preserve">FRASCO SELLADO *120ML DE ENJUAGUE BUCAL </t>
  </si>
  <si>
    <t xml:space="preserve">TODAY GANCHERA SURTIDA PAGUE X30 </t>
  </si>
  <si>
    <t>15,000 X3</t>
  </si>
  <si>
    <t xml:space="preserve">CAJA X30 CONDONES EN EMPAQUE DE 3 C/U </t>
  </si>
  <si>
    <t>27,000 X14</t>
  </si>
  <si>
    <t xml:space="preserve">KETOPROFENO GEL - VITALIS </t>
  </si>
  <si>
    <t xml:space="preserve">PRUEBA EMBARAZO CASSETE- CHEMI ROSA  S.A.S </t>
  </si>
  <si>
    <t>21000 X1</t>
  </si>
  <si>
    <t>SUPRIFENO *120ML</t>
  </si>
  <si>
    <t xml:space="preserve">PAMOATO PIRANTEL TABLETAS X60 COASPHARMA </t>
  </si>
  <si>
    <t xml:space="preserve">CAJA X60 TABLETAS EN BLISTER DE 10 C/U </t>
  </si>
  <si>
    <t xml:space="preserve">CARVEDILOL 12,5 - MEMPHIS X30 TABLETAS </t>
  </si>
  <si>
    <t>19,500 X1</t>
  </si>
  <si>
    <t xml:space="preserve">HIDRAPLUS COCO ZINC 75 *400ML </t>
  </si>
  <si>
    <t xml:space="preserve">CLOTRIMAZOL TOPICA 1% AG X40GR </t>
  </si>
  <si>
    <t xml:space="preserve">CAJA CON TUBO DE CREMA SELLADO X40GR </t>
  </si>
  <si>
    <t xml:space="preserve">TALCO REXONA EFFICIENT ORIGINAL X180 + 55GR  </t>
  </si>
  <si>
    <t>25,000 X2</t>
  </si>
  <si>
    <t>PACK SELLADO X180GR + 55GR DE TALCO TOPICO</t>
  </si>
  <si>
    <t xml:space="preserve">PUROXAN JARABE / DOXOFILINA JARABE 2% </t>
  </si>
  <si>
    <t>92,000 X1</t>
  </si>
  <si>
    <t xml:space="preserve">CAJA CON FRASCO SELLADO X120ML DE JARABE </t>
  </si>
  <si>
    <t>GUANTES M - PROTEX</t>
  </si>
  <si>
    <t>1,000 X2</t>
  </si>
  <si>
    <t xml:space="preserve">CAJA *100 GUANTES </t>
  </si>
  <si>
    <t>TALCO MEXANA  *300GR + 85GR PACK</t>
  </si>
  <si>
    <t>POTE SELLADO 300GR + 150GR DE TALCO</t>
  </si>
  <si>
    <t xml:space="preserve">SECNIDAZOL 500MG TABLETAS </t>
  </si>
  <si>
    <t>6,500 X4</t>
  </si>
  <si>
    <t xml:space="preserve">CAJA 4 TABLETAS </t>
  </si>
  <si>
    <t xml:space="preserve">TALCO REXONA EFFICIENT ORIGINAL X55GR </t>
  </si>
  <si>
    <t xml:space="preserve">POTE X55GR DE POLVO ANTITRANSPIRANTE </t>
  </si>
  <si>
    <t>70,000 X20</t>
  </si>
  <si>
    <t>ACTIFREN NIÑO- CEREZA</t>
  </si>
  <si>
    <t xml:space="preserve">TEATRICAL HUMECTANTE </t>
  </si>
  <si>
    <t>POTE SELLADO *100GR DE CREMA FACIAL</t>
  </si>
  <si>
    <t>VITAMINA D3 2000 U,I *100 CAPS BLISTER COLMED</t>
  </si>
  <si>
    <t>6,500 C10</t>
  </si>
  <si>
    <t xml:space="preserve">CAJA *100 CAPSULAS BLANDAS </t>
  </si>
  <si>
    <t xml:space="preserve">COLGATE MAXWHITE BLANCUR LIMP- COMPL X180GR </t>
  </si>
  <si>
    <t xml:space="preserve">CAJA SELLADA X1 TUBO DE 180GR DE CREMA DENTAL </t>
  </si>
  <si>
    <t xml:space="preserve">FLUTOX JARABE </t>
  </si>
  <si>
    <t xml:space="preserve">IBUPROFENO SUSP AG - KIDS </t>
  </si>
  <si>
    <t xml:space="preserve">CAJA X1 FRASCO SELLADO X120ML DE SOLUCION ORAL </t>
  </si>
  <si>
    <t>PROTECTORES *12 DE LACTANCIA NOSOTRAS</t>
  </si>
  <si>
    <t>9,000 X12</t>
  </si>
  <si>
    <t xml:space="preserve">PACK SELLADO*12  PROCTECTORES CADA UNO </t>
  </si>
  <si>
    <t xml:space="preserve">NAPROXENO 500MG X330 COASPHA </t>
  </si>
  <si>
    <t xml:space="preserve">CAJA X330 TABLETAS VIA ORAL EN BLISTER DE 10 C/U </t>
  </si>
  <si>
    <t>13000 X8</t>
  </si>
  <si>
    <t xml:space="preserve">HIELO MINERAL GEL X100GR </t>
  </si>
  <si>
    <t xml:space="preserve">FRASCO SELLADO X100GR DE GEL TOPICO </t>
  </si>
  <si>
    <t xml:space="preserve">VENDA ELASTICA 3X5 MEDICAL SUPPLIES ROSA </t>
  </si>
  <si>
    <t xml:space="preserve">PACK SELLADO X1  VENDA ELASTICA </t>
  </si>
  <si>
    <t>AMOXICILINA CAPS X60 - SOLOMOXY</t>
  </si>
  <si>
    <t xml:space="preserve">CAJA X60 CAPSULAS ORALES EN BLISTER DE 10 C/U </t>
  </si>
  <si>
    <t>11,000 X30</t>
  </si>
  <si>
    <t>KETOROLACO AMP- GENFAR / X5 AMP</t>
  </si>
  <si>
    <t>MANTECA DE CACAO UVA ATHOS</t>
  </si>
  <si>
    <t xml:space="preserve">BARRA LABIAL *5GR </t>
  </si>
  <si>
    <t>MANTECA DE CACAO VAINILLA ATHOS</t>
  </si>
  <si>
    <t>MANTECA DE CACAO COCO ATHOS</t>
  </si>
  <si>
    <t xml:space="preserve">BARRA LABIAL DE MANTECA DE CACAO *5GR </t>
  </si>
  <si>
    <t>MANTECA DE CACAO LIMON ATHOS</t>
  </si>
  <si>
    <t>45,000X1</t>
  </si>
  <si>
    <t>40,000x1</t>
  </si>
  <si>
    <t xml:space="preserve">SERTAL COMPUESTO X10 -TAB / CLONIXINATO DE LISINA 125MG + PROPINOX CLORHIDRATO 10MG </t>
  </si>
  <si>
    <t xml:space="preserve">TRAMADOL GOTAS MEMPHIS </t>
  </si>
  <si>
    <t xml:space="preserve">CAJA CON FRASCO SELLADO X10ML GOTAS </t>
  </si>
  <si>
    <t xml:space="preserve">TRAMADOL GOTAS ECAR - MENTA </t>
  </si>
  <si>
    <t>TRAMADOL GOTAS - EXPOFARMA</t>
  </si>
  <si>
    <t xml:space="preserve">FRASCO SELLADO *10ML SOLUCIÓN ORAL </t>
  </si>
  <si>
    <t>CHAPSTICK CEREZA</t>
  </si>
  <si>
    <t xml:space="preserve">PACK SELLADO X1 BARRA LABIAL </t>
  </si>
  <si>
    <t>CHAPSTICK FRESA</t>
  </si>
  <si>
    <t>ESPARADRAPO TELA 1*1/2 BEGUT</t>
  </si>
  <si>
    <t xml:space="preserve">CARRETE DE ESPARADRAPO </t>
  </si>
  <si>
    <t>ESPARADRAPO TELA 1*1 BEGUT</t>
  </si>
  <si>
    <t>5,500 C1</t>
  </si>
  <si>
    <t xml:space="preserve">DICLOXACILINA SUSP - MEPHIS </t>
  </si>
  <si>
    <t xml:space="preserve">FRASCO SELLADO X80ML DE POLVO PARA SUSPENSION ORAL </t>
  </si>
  <si>
    <t xml:space="preserve">EUCALIP RUB - NASAL </t>
  </si>
  <si>
    <t xml:space="preserve">PACK SELLADO X1 INHALADOR NASAL EUCALIPTO </t>
  </si>
  <si>
    <t>CLEAR BLUE DIGITAL PRUEBA EMBARAZO</t>
  </si>
  <si>
    <t xml:space="preserve">1 PRUEBA DE EMBARAZO SELLADA DIGITAL </t>
  </si>
  <si>
    <t xml:space="preserve">HUMYLUB OFTENO </t>
  </si>
  <si>
    <t xml:space="preserve">CAJA CON FRASCO SELLADO *15ML </t>
  </si>
  <si>
    <t xml:space="preserve">CEFADOL / IBUPROFENO + ACETAMINOFEN + CAFEINA </t>
  </si>
  <si>
    <t xml:space="preserve">CAJA X60 TABLETAS VIA ORAL EN BLISTER DE 6 C/U </t>
  </si>
  <si>
    <t>CLONIDINA 0,150MG - ECAR X60</t>
  </si>
  <si>
    <t>ATORVASTATINA 40MG- RISCOL NOVAMED X30</t>
  </si>
  <si>
    <t xml:space="preserve">CAJA X30 TABLETAS VIA ORAL EN BLISTER DE 10 C/U </t>
  </si>
  <si>
    <t>2,000 x1</t>
  </si>
  <si>
    <t>NOXPIRIN NOCHE PAGUE X24</t>
  </si>
  <si>
    <t>3,000 X1%</t>
  </si>
  <si>
    <t>CAJA X24 SOBRE DE 10 GRAMOS</t>
  </si>
  <si>
    <t xml:space="preserve">DEXABLAS 8MG - DEXAMETASONA AMPOLLA X5 </t>
  </si>
  <si>
    <t xml:space="preserve">CAJA X5 AMPOLLAS I.V O I.M </t>
  </si>
  <si>
    <t xml:space="preserve">CATETER No 22 - BEGUT </t>
  </si>
  <si>
    <t xml:space="preserve">CATETER EN EMPAQUE INDIVIDUAL SELLADO </t>
  </si>
  <si>
    <t xml:space="preserve">jeringa 3ml - presicion care 3 partes </t>
  </si>
  <si>
    <t>400 x1</t>
  </si>
  <si>
    <t xml:space="preserve">CAJA X100 JERINGAS 4ML EN EMPAQUE INDIVIDUAL CADA UNA + AGUJA </t>
  </si>
  <si>
    <t xml:space="preserve">ADVIL FEM TABS / IBUPROFENO + CAFEINA </t>
  </si>
  <si>
    <t>CAJA X20 TABLETAS RECUBIERTAS</t>
  </si>
  <si>
    <t>AMBROXOL JARABE ADULTO LAPROFF</t>
  </si>
  <si>
    <t>FRASCO SELLADO *120ML DE JARABE</t>
  </si>
  <si>
    <t xml:space="preserve">FILINAR JARABE  X120ML </t>
  </si>
  <si>
    <t xml:space="preserve">CAJA SELLADA *1 FRASCO CON 120ML </t>
  </si>
  <si>
    <t xml:space="preserve">GENFAR DOL / ACETAMINOFEN + IBUPROFENO + CAFEINA  CAJA X10 </t>
  </si>
  <si>
    <t xml:space="preserve">CAJA X10 TABLETAS VIA ORAL </t>
  </si>
  <si>
    <t xml:space="preserve">LYRICA 50MG - PREGABALINA X30 </t>
  </si>
  <si>
    <t xml:space="preserve">HIDROXIDO DE MAGNESIO MK X360ML </t>
  </si>
  <si>
    <t xml:space="preserve">FRASCO  SELLADO X360ML DE SUSPENSION ORAL </t>
  </si>
  <si>
    <t xml:space="preserve">BAJALENGUAS X20 UNDS </t>
  </si>
  <si>
    <t>3,000 X20</t>
  </si>
  <si>
    <t xml:space="preserve">PACK SELLADO X20 BAJALENGUAS DE MADERAS </t>
  </si>
  <si>
    <t>BUSCAPINA COMPUESTA NF *100 (X1)</t>
  </si>
  <si>
    <t xml:space="preserve">RISPERIDONA 3MG MK - X20 </t>
  </si>
  <si>
    <t>31,000 X20</t>
  </si>
  <si>
    <t xml:space="preserve">CAJA X20 TABLETAS CUBIERTAS EN BLISTER DE 10 C/U </t>
  </si>
  <si>
    <t>ADOREM JARABE NIÑOS 2+</t>
  </si>
  <si>
    <t>3,000  X1</t>
  </si>
  <si>
    <t xml:space="preserve">BLASKET - KETOTIFENO 05MG/ML </t>
  </si>
  <si>
    <t>CAJA CON FRASCO SELLADO *5ML GOTAS OFTALMICAS</t>
  </si>
  <si>
    <t>CLOPIDOGREL 75MG- CLOPISEV X30</t>
  </si>
  <si>
    <t xml:space="preserve">CAJA X30 TABLETAS RECUBIERTAS EN BLISTER DE 10 C/U </t>
  </si>
  <si>
    <t>LINCOMICINA AMPOLL A - LINCODELT X10</t>
  </si>
  <si>
    <t xml:space="preserve">CAJA X10 AMPOLLAS EN EMPAQUE INDIVIDUAL CADA UNA </t>
  </si>
  <si>
    <t xml:space="preserve">TOALLAS CON ALAS X42 - SIEMPRE LIBRE </t>
  </si>
  <si>
    <t>13,000 X42</t>
  </si>
  <si>
    <t xml:space="preserve">PACK SELLAD X42 TOALLAS INTIMAS DESECHABLES </t>
  </si>
  <si>
    <t xml:space="preserve">TOALLAS CON ALAS X12 - SIEMPRE LIBRE </t>
  </si>
  <si>
    <t xml:space="preserve">PACK SELLAD X12 TOALLAS INTIMAS DESECHABLES </t>
  </si>
  <si>
    <t xml:space="preserve">TOALLAS CON ALAS KOTEX X10 EXTRA SUAVE </t>
  </si>
  <si>
    <t xml:space="preserve">PACK SELLADO X10 TOALLAS INTIMAS DESECHABLES TIPO ALGODON </t>
  </si>
  <si>
    <t xml:space="preserve">TAOALLAS MATERNITY MAXI X10 </t>
  </si>
  <si>
    <t xml:space="preserve">GUANTES ESTERIL 7,5 SIZE X50 </t>
  </si>
  <si>
    <t xml:space="preserve">CAJA CON 50 PARES DE GUANTES ESTERIL EN EMPAQUE INDIVIDUAL CADA UNA </t>
  </si>
  <si>
    <t xml:space="preserve">TIMOL- OF / TIMOLOL 0,5% </t>
  </si>
  <si>
    <t xml:space="preserve">CAJA CON FRASCO SELLADO X5ML DE SOLUCIÓN OFTALMICA </t>
  </si>
  <si>
    <t>48,000 X16</t>
  </si>
  <si>
    <t xml:space="preserve">CLOTRIMAZOL 2% + CLINDAMICINA 2% X20 GR - VCLOCLI </t>
  </si>
  <si>
    <t xml:space="preserve">CAJA CON TUBO SELLADO DE 20GR DE CREMA VAGINA L+ 3 APLICADORES EN EMPAQUE INDIVIDUAL CADA UNO </t>
  </si>
  <si>
    <t xml:space="preserve">TELMISARTAN 80MG - RENANGIO X30 TABLETAS </t>
  </si>
  <si>
    <t>28,000 X30</t>
  </si>
  <si>
    <t xml:space="preserve">SILK- MEDIC / TERBINAFINA HCI 1% </t>
  </si>
  <si>
    <t xml:space="preserve">CAJA CON TUBO SELLADO *30GR DE CREMA </t>
  </si>
  <si>
    <t xml:space="preserve">DEXAMETASONA 8MG - DEXABLAS AMPOLLA X5 </t>
  </si>
  <si>
    <t xml:space="preserve">LACTATO RINGER HARTAM  - CORPAUL 500ML </t>
  </si>
  <si>
    <t>57,000 X100</t>
  </si>
  <si>
    <t>TAMPON OB MEDIO *16 UNIDADES</t>
  </si>
  <si>
    <t>16,000 X16</t>
  </si>
  <si>
    <t>TAMPON OB MEDIO 16 + 8 UNIDADES</t>
  </si>
  <si>
    <t>20,000 X24</t>
  </si>
  <si>
    <t>DIGESTAR MAX FORTE CAPSULAS X20</t>
  </si>
  <si>
    <t xml:space="preserve">CAJA X20 CAPSULAS EN BLISTER DE 10 C/U </t>
  </si>
  <si>
    <t xml:space="preserve">PIROXICAM GEL 0,5%  - COASPHARMA </t>
  </si>
  <si>
    <t xml:space="preserve">CAJA CON TUBO SELLADO X30GR DE GEL TOPICO </t>
  </si>
  <si>
    <t>TENA PANTS CLASICO TALLA M *1</t>
  </si>
  <si>
    <t xml:space="preserve">TENA PANTS CONFORT TALLA M X8 </t>
  </si>
  <si>
    <t xml:space="preserve">PACK X8 PAÑALES SELLADO </t>
  </si>
  <si>
    <t>TENA PANTS ULTRA  TALLA M X20</t>
  </si>
  <si>
    <t>111,000 X1</t>
  </si>
  <si>
    <t>PACK SELLADO *10 PAÑALES</t>
  </si>
  <si>
    <t>TENA SLIP COMFORT TALLA L X1</t>
  </si>
  <si>
    <t>72,000 X21</t>
  </si>
  <si>
    <t>TENA SLIP COMFORT TALLA M X1</t>
  </si>
  <si>
    <t>63,000 X21</t>
  </si>
  <si>
    <t>37,000 X9</t>
  </si>
  <si>
    <t xml:space="preserve">DIOSMECTITA 3GR GENFAR - X10 SOBRES </t>
  </si>
  <si>
    <t xml:space="preserve">CAJA X10 SOBRES DE POLVO PARA RECONSTRUIR SUSPENSION ORAL </t>
  </si>
  <si>
    <t>DIPIRONA  AMP - CAJA X100 - FARMIONI</t>
  </si>
  <si>
    <t xml:space="preserve">CAJA X100 AMPOLLA I.M  O I.V </t>
  </si>
  <si>
    <t xml:space="preserve">NJUAGUE BUCAL ZEN DEN SIN ALCOHOL X60ML </t>
  </si>
  <si>
    <t xml:space="preserve">FRASCO SELLADO X60ML DE ENJUAGUE BUCAL SIN ACOHOL </t>
  </si>
  <si>
    <t xml:space="preserve">VAPORIZANTE - TIPO VAPORUB X20GR RUBIC / CAJA X12 </t>
  </si>
  <si>
    <t xml:space="preserve">POTE SELLADO X20 GR DE UNGUENTO TOPICO </t>
  </si>
  <si>
    <t>SEDA DENTAL - BOTON ORO 20MTS ZEN DENT</t>
  </si>
  <si>
    <t xml:space="preserve">ALBENDAZOL SUSPENSIÓN - BENMACIT X10ML </t>
  </si>
  <si>
    <t xml:space="preserve">FRASCO SELLADO X10ML DE SUSPENSION ORAL </t>
  </si>
  <si>
    <t>21,000 C1</t>
  </si>
  <si>
    <t>PANGETAN NF X100 TAB</t>
  </si>
  <si>
    <t xml:space="preserve">CAJA X100 TABLETAS VÍA ORAL </t>
  </si>
  <si>
    <t>VITAMINA C MK- NARANJA X100</t>
  </si>
  <si>
    <t xml:space="preserve">CAJA *100 TABLETAS MASTICABLES </t>
  </si>
  <si>
    <t xml:space="preserve">IMIPRAMINA 25MG- LAPROFF x300 </t>
  </si>
  <si>
    <t>CAJA *300 TABLETAS RECUBIERTAS</t>
  </si>
  <si>
    <t>7,500 X10</t>
  </si>
  <si>
    <t xml:space="preserve">HIDROCLORTIAZIDA 25MG - X30 MEMPHIS </t>
  </si>
  <si>
    <t xml:space="preserve">PIEDRA ALUMBRE *400GR ATHOS </t>
  </si>
  <si>
    <t xml:space="preserve">BOLSA SELLADA *400GR DE PIEDRA ALUMBRE </t>
  </si>
  <si>
    <t xml:space="preserve">SERTRALINA 100MG ECAR X10 </t>
  </si>
  <si>
    <t>HIDRAPLUS 75 UVA SACHET X4</t>
  </si>
  <si>
    <t xml:space="preserve">CAJA X4 SACHET DE EMPAQUE INDIVIDUAL CADA UNO </t>
  </si>
  <si>
    <t>28,000 X28</t>
  </si>
  <si>
    <t xml:space="preserve">BIOCALCIUM PLUS *60 SOBRES </t>
  </si>
  <si>
    <t>102,500 X60</t>
  </si>
  <si>
    <t xml:space="preserve">CAJA SELLADA *60 SOBRES DE POLVO EFERVESCENTE </t>
  </si>
  <si>
    <t xml:space="preserve">DIGESTA X20 / SIMETICONA 250MG CAPSULAS </t>
  </si>
  <si>
    <t>2200 X1</t>
  </si>
  <si>
    <t xml:space="preserve">INTIBON JABON SALVIA Y CALÉNDULA X210 GR + VINAGRE 55GR </t>
  </si>
  <si>
    <t>18,500 x1</t>
  </si>
  <si>
    <t xml:space="preserve">FRASCO JABON X210GR + 55GR DE VINAGRE MANZANA </t>
  </si>
  <si>
    <t xml:space="preserve">CREMA CORPORAL JOHNSONS X200ML - ROSADA </t>
  </si>
  <si>
    <t>POTE SELLADO X200ML DE CREMA CORPORAL</t>
  </si>
  <si>
    <t>CAJA CON FRASCO SELLADO *5ML DE SOLUCIÓN OFTALMICA ESTERIL</t>
  </si>
  <si>
    <t xml:space="preserve">ALCOHOL OSA 70% - X120ML </t>
  </si>
  <si>
    <t>ASPIRINA ULTRA 500MG - X100</t>
  </si>
  <si>
    <t>3,500 X4</t>
  </si>
  <si>
    <t xml:space="preserve">RIFAMICINA SPRAY / RIFAPEN </t>
  </si>
  <si>
    <t xml:space="preserve">CAJA CON FRASCO SELLADO X20ML DE SOLUCIÓN TÓPICA EXTERNA </t>
  </si>
  <si>
    <t>8,000 X2</t>
  </si>
  <si>
    <t>PIROXICAM 20MG - CAPSULAS X10 / MK</t>
  </si>
  <si>
    <t xml:space="preserve">CAJA X10 CAPSULAS ORALES </t>
  </si>
  <si>
    <t xml:space="preserve">NITAXOZANIDA X6 - XINPA </t>
  </si>
  <si>
    <t xml:space="preserve">CAJA X6 TABLETAS RECUBIERTAS </t>
  </si>
  <si>
    <t>KOLA GRANULADA- TARRITO ROJO *135GR</t>
  </si>
  <si>
    <t xml:space="preserve">FRASCO SELLADO *135GR DE KOLA GRANULADA </t>
  </si>
  <si>
    <t>ECLOSYNT - BECLOMETASONA BUCAL 250MC</t>
  </si>
  <si>
    <t>39,500 x1</t>
  </si>
  <si>
    <t>TIAMINA AMP- ECAR</t>
  </si>
  <si>
    <t>CAJA *12 UNIDADES</t>
  </si>
  <si>
    <t>KIT DE NEBULIZACIÓN ADULTO - ZIBOJECT</t>
  </si>
  <si>
    <t xml:space="preserve">PACK SELLADO CON KIT DE NEBULIZACIÓN PARA ADULTO </t>
  </si>
  <si>
    <t xml:space="preserve">BUCLIZINA JARABE - ZYNAPET </t>
  </si>
  <si>
    <t>5,000 X25</t>
  </si>
  <si>
    <t xml:space="preserve">PACK SELLADO X25 PAÑITOS HUMEDOS </t>
  </si>
  <si>
    <t xml:space="preserve">RISPERIDONA 1MG - MK </t>
  </si>
  <si>
    <t>13,000 X20</t>
  </si>
  <si>
    <t xml:space="preserve">FLUIMUCIL 200MG / N-ACETILSISTEINA X30 SOBRES </t>
  </si>
  <si>
    <t xml:space="preserve">ATORVASTATINA 40MG- ECAR X10 </t>
  </si>
  <si>
    <t>28,000 x1</t>
  </si>
  <si>
    <t>65,000 X15</t>
  </si>
  <si>
    <t>KY LUBRICANTE *15GR</t>
  </si>
  <si>
    <t xml:space="preserve">CAJA CON TUBO SELLADO DE 15GR  LUBRICANTE INTIMO </t>
  </si>
  <si>
    <t xml:space="preserve">NEOTRISONA CREMA X20GR </t>
  </si>
  <si>
    <t xml:space="preserve">CAJA CON TUBO SELLADO X20 GR DE CREMA TOPICA </t>
  </si>
  <si>
    <t xml:space="preserve">CYCLOFEM </t>
  </si>
  <si>
    <t>23000 X1</t>
  </si>
  <si>
    <t xml:space="preserve">GLICERINA USP YOMA X20CC </t>
  </si>
  <si>
    <t xml:space="preserve">FRASCO SELLADO X20CC DE GLICERINA </t>
  </si>
  <si>
    <t>69,000 X100</t>
  </si>
  <si>
    <t xml:space="preserve">VITATRIOL UNGUENTO X3,5GR </t>
  </si>
  <si>
    <t xml:space="preserve">CAJA CON UNGUETO SELLADO X3,5GR OFTALMICOS </t>
  </si>
  <si>
    <t xml:space="preserve">DOLORSIN COMPLEX </t>
  </si>
  <si>
    <t xml:space="preserve">CAJA 80 TALBETAS EN BLISTER DE 8 PASTILLAS C/U </t>
  </si>
  <si>
    <t xml:space="preserve">PIEDRA ALUMBRE YOMA X20GR </t>
  </si>
  <si>
    <t xml:space="preserve">BOLSA SELLADA X20GR </t>
  </si>
  <si>
    <t xml:space="preserve">PROPOTUSSIN ADULTOS </t>
  </si>
  <si>
    <t xml:space="preserve"> </t>
  </si>
  <si>
    <t xml:space="preserve">ACIDO RETINOICO LOCIÓN / 0,05% - LABORATORIO AMERICA </t>
  </si>
  <si>
    <t>10,000 X150</t>
  </si>
  <si>
    <t>2500 X1</t>
  </si>
  <si>
    <t>TIAMINA AMP- ECAR x10ml x1 undv</t>
  </si>
  <si>
    <t>VITAMINA B12 *10ML AMPOLLA X1</t>
  </si>
  <si>
    <t>CEFALEXINA 500MG *250 CAPS RECIPHE</t>
  </si>
  <si>
    <t>2,000  X1</t>
  </si>
  <si>
    <t>QUETIAPINA 25MG- GENFAR X30</t>
  </si>
  <si>
    <t>16,500 X30</t>
  </si>
  <si>
    <t xml:space="preserve">ZOPICLONA EXPOFARMA X30 </t>
  </si>
  <si>
    <t xml:space="preserve">DURAFLEX MUSCULAR ADVANCE / NAPROXENO + ACETAMINOFEN + CAFEINA </t>
  </si>
  <si>
    <t>33,000 x1</t>
  </si>
  <si>
    <t>GENTAMICINA 160MG - AMP FARMIONI</t>
  </si>
  <si>
    <t xml:space="preserve">CAJA *10 AMPOLLAS SOLUCIÓN INYECTABLE </t>
  </si>
  <si>
    <t xml:space="preserve">SIMPIOX 6%- GOTAS / IVERMECTINA </t>
  </si>
  <si>
    <t xml:space="preserve">CAJA CON FRASCO SELLADO *5ML SUSPENSIÓN ORAL </t>
  </si>
  <si>
    <t xml:space="preserve">HIDROXICINA *250 TABS - ANGLOPHARMA </t>
  </si>
  <si>
    <t xml:space="preserve">CAJA *250 TABLETAS RECUBIERTAS </t>
  </si>
  <si>
    <t>CEFTRIDELT - CEFTRIAXONA 1GR / X10  AMPOLLAS</t>
  </si>
  <si>
    <t xml:space="preserve">ALMIPRO CREMA EXTRA HUMECTANTE - X120GR </t>
  </si>
  <si>
    <t xml:space="preserve">POTE SELLADO X120GR DE CREMA CORPORAL </t>
  </si>
  <si>
    <t xml:space="preserve">QUETIAPINA 100MG - QUEPINA HUMAX X30 </t>
  </si>
  <si>
    <t>41,000 X30</t>
  </si>
  <si>
    <t xml:space="preserve">CAJA X30 TABLETAS RECUBIERTAS VIA ORAL </t>
  </si>
  <si>
    <t xml:space="preserve">BETAMETASONA ACETATO + BETAMETASONA FOSFATO 3+3 MG X1ML / 25 AMPOLLAS </t>
  </si>
  <si>
    <t>40,000 x1</t>
  </si>
  <si>
    <t xml:space="preserve">CAJA X25 AMPOLLAS DE 1ML C/U </t>
  </si>
  <si>
    <t>5,000 x10</t>
  </si>
  <si>
    <t>10,500X1</t>
  </si>
  <si>
    <t xml:space="preserve">HIDROCORTISONA CREMA COASPHARMA </t>
  </si>
  <si>
    <t>NORAVER GRIPA *60 CÁPSULAS</t>
  </si>
  <si>
    <t>CAJA SELLADA *60 CÁPSULAS EN EMPAQUE INDIVIDUAL C/U</t>
  </si>
  <si>
    <t>CLOTRISHER CLOT/NEOM/DEXA *20GR</t>
  </si>
  <si>
    <t>12,000 X20GR</t>
  </si>
  <si>
    <t xml:space="preserve">CAJA CON TUBO SELLADO DE 40GR DE CREMA </t>
  </si>
  <si>
    <t xml:space="preserve">IBUCOFLEX - ANTISEPTICO SPRAY </t>
  </si>
  <si>
    <t xml:space="preserve">FRASCO SELLADO X120ML DE ANTISEPTICO BUCAL </t>
  </si>
  <si>
    <t xml:space="preserve">DESLORATADINA TABS X30 - NEWTARPAN </t>
  </si>
  <si>
    <t xml:space="preserve">TIZANIDINA 2MG -  MIO REALX </t>
  </si>
  <si>
    <t xml:space="preserve">BIPERIDENO 2MG / X90 TABLETAS </t>
  </si>
  <si>
    <t>13,600 X15</t>
  </si>
  <si>
    <t>METFORMINA 500MG - METSAFE X30</t>
  </si>
  <si>
    <t xml:space="preserve">VENDA ELÁSTICA 2" *5 YDS MEDICAL  SUPPLIES </t>
  </si>
  <si>
    <t>PAQUETE SELLADO POR VENDA DE 2*5</t>
  </si>
  <si>
    <t>ACIDO BORICO *200GR- PROMARQUIN</t>
  </si>
  <si>
    <t>BOLSA SELLADA DE POLVO *200GR</t>
  </si>
  <si>
    <t xml:space="preserve">ALMIPRO EMOLIENTE CORPORAL X200GR </t>
  </si>
  <si>
    <t xml:space="preserve">FRASCO X200GR DE CREMA CORPORAL </t>
  </si>
  <si>
    <t>DESCONGEL GRIPA *100 CA´P</t>
  </si>
  <si>
    <t>CAJA *100 CÁPSULAS BLANDAS DE GELATINA</t>
  </si>
  <si>
    <t xml:space="preserve">TELMISARTAN 40MG X30 - MK </t>
  </si>
  <si>
    <t>50,000 X30</t>
  </si>
  <si>
    <t xml:space="preserve">SEVEDOL X24 / ACETAMINOFEN+ACIDO ACETILSALICILICO+ CAFEINA  </t>
  </si>
  <si>
    <t xml:space="preserve">CAJA 25 TABLETAS </t>
  </si>
  <si>
    <t xml:space="preserve">FREEGEN GEL X15ML </t>
  </si>
  <si>
    <t xml:space="preserve">CAJA SELLADA X15ML DE SOLUCION OFTALMICA </t>
  </si>
  <si>
    <t xml:space="preserve">CLORHEXIDINA 4% JABÓN LIQUIDO - VIOXIN X60ML </t>
  </si>
  <si>
    <t xml:space="preserve">FRASCO X90ML DE JABÓN LÍQUIDO </t>
  </si>
  <si>
    <t xml:space="preserve">BROMURO IPATROPIO - INHALADOR IPRASYNT 20MG </t>
  </si>
  <si>
    <t xml:space="preserve">CAJA SELLADA *1 INHALADOR 20MCG </t>
  </si>
  <si>
    <t>ACID MANTLE JABON X1</t>
  </si>
  <si>
    <t>22,000 X3</t>
  </si>
  <si>
    <t xml:space="preserve">ALKA SELTZER*60 TAB + 14 TABS </t>
  </si>
  <si>
    <t>CAJA *60  TABLETAS  +24</t>
  </si>
  <si>
    <t>TENA M - PANTS ULTRA *20</t>
  </si>
  <si>
    <t>100,000 X20</t>
  </si>
  <si>
    <t>8,000 X21</t>
  </si>
  <si>
    <t>AMITRIPTILINA LA PROFF *400 TAB</t>
  </si>
  <si>
    <t>CAJA *400 TABLETAS RECUBIERTAS</t>
  </si>
  <si>
    <t>DIFENHIDRAMINA JBE LA PROFF *120ML</t>
  </si>
  <si>
    <t xml:space="preserve">MIO RELAX  4MG- TIZANIDINA </t>
  </si>
  <si>
    <t>CLOTRIMAZOL GOTAS- LAPROFF</t>
  </si>
  <si>
    <t xml:space="preserve">FRASCO SELLADO *30ML DE SOLUCION TOPIC </t>
  </si>
  <si>
    <t xml:space="preserve">FLUNARIZINA 10MG GENFAR X30 </t>
  </si>
  <si>
    <t xml:space="preserve">IRBESARTAN 300MG - X30 IRBIGEN </t>
  </si>
  <si>
    <t xml:space="preserve">CAJA X30 TABLETAS RECUBIERTAS ORALES </t>
  </si>
  <si>
    <t xml:space="preserve">DULCOLAX TAB X20 TABLETAS </t>
  </si>
  <si>
    <t xml:space="preserve">CAJA SELLADA *220 GRAGEAS </t>
  </si>
  <si>
    <t>LEVOMEPROMAZINA GOTAS- HUMAX</t>
  </si>
  <si>
    <t>53,000 X1</t>
  </si>
  <si>
    <t>1 CAJA SELLADA CON FRASCO SELLADO *20ML DE GOTAS ORALES</t>
  </si>
  <si>
    <t>LIDOPROCTO SUPOSITORIO- ROPSOHN</t>
  </si>
  <si>
    <t>65,000 X5</t>
  </si>
  <si>
    <t>CAJA *10 SUPOSITORIOS</t>
  </si>
  <si>
    <t xml:space="preserve">LOSARTAN + HIDROCLOROTIAZIDA 50/12.5MG - ECAR </t>
  </si>
  <si>
    <t xml:space="preserve">SAL DE MAR 400GR / PROMARQUIM </t>
  </si>
  <si>
    <t xml:space="preserve">BOLSA SELLADA X400GR DE SAL DE MAR </t>
  </si>
  <si>
    <t>ENTEROGERMINA - 2 MILLARDOS/5ML</t>
  </si>
  <si>
    <t>ETORICOXIB 90MG- GENFAR X14</t>
  </si>
  <si>
    <t>39,000 X14</t>
  </si>
  <si>
    <t xml:space="preserve">VICK VAPORUB 100GR </t>
  </si>
  <si>
    <t xml:space="preserve">40,000 X1 </t>
  </si>
  <si>
    <t xml:space="preserve">CAJA SELLADA CON POE DE 100GR UNGÜENTO TÓPICO </t>
  </si>
  <si>
    <t xml:space="preserve">ACIDO VALPROICO 250MG / X30 TABLETAS - PROVALTO RETARD </t>
  </si>
  <si>
    <t xml:space="preserve">40,000 X30 </t>
  </si>
  <si>
    <t xml:space="preserve">CAJA CON FRASCO SELLADO X30 TABLETAS ORALES </t>
  </si>
  <si>
    <t>ACID MANTLE BABY *30GR</t>
  </si>
  <si>
    <t>47,000 X1</t>
  </si>
  <si>
    <t>CAJA CON TUBO SELLADO *100GR DE CREMA PROTECTORA</t>
  </si>
  <si>
    <t>49,500 X90</t>
  </si>
  <si>
    <t xml:space="preserve">KLIACEF- CEFRADINA 250/5ML </t>
  </si>
  <si>
    <t xml:space="preserve">CAJA CON FRASCO SELLADO *100ML DE JARABE </t>
  </si>
  <si>
    <t xml:space="preserve">ETORICOXIB 60MG </t>
  </si>
  <si>
    <t>33,000 X14</t>
  </si>
  <si>
    <t xml:space="preserve">CAJA SELLADA X14 TABLETAS ORALES </t>
  </si>
  <si>
    <t>21,500 X30</t>
  </si>
  <si>
    <t xml:space="preserve">1,200 X1 </t>
  </si>
  <si>
    <t>ALMIPRO UNGÜENTO *125GR</t>
  </si>
  <si>
    <t xml:space="preserve">POTE SELLADO *125GR DE UNGÜENTO </t>
  </si>
  <si>
    <t xml:space="preserve">ARNIK FORTE *12 SOBRES </t>
  </si>
  <si>
    <t xml:space="preserve">CAJA CON POTE 12 SOBRES SELLADOS CADA UNO DE  CREMA TÓPICA </t>
  </si>
  <si>
    <t xml:space="preserve">COPITOS X60 UNDS HIGIETEX </t>
  </si>
  <si>
    <t>4,000 X60</t>
  </si>
  <si>
    <t xml:space="preserve">POTE SELLADO X60 COPITOS BIODEGRADABLES </t>
  </si>
  <si>
    <t xml:space="preserve">COPITOS X80 MK  </t>
  </si>
  <si>
    <t>10,000 X80</t>
  </si>
  <si>
    <t xml:space="preserve">POTE SELLADO X80 COPITOS BIODEGRADABLES </t>
  </si>
  <si>
    <t xml:space="preserve">COPITOS X50 UNIDADES JGB </t>
  </si>
  <si>
    <t>6,000 X50</t>
  </si>
  <si>
    <t xml:space="preserve">POTE SELLADO X50 COPITOS BIODEGRADABLES </t>
  </si>
  <si>
    <t>COPITOS YOKI  X100</t>
  </si>
  <si>
    <t>6,000 X100</t>
  </si>
  <si>
    <t xml:space="preserve">FRASCO X100 COPITOS CON PALILLO DE CARTON </t>
  </si>
  <si>
    <t xml:space="preserve">COPITOS X150 UNDS HIGIETEX </t>
  </si>
  <si>
    <t>9,000 X150</t>
  </si>
  <si>
    <t xml:space="preserve">POTE SELLADO X150 COPITOS BIODEGRADABLES </t>
  </si>
  <si>
    <t xml:space="preserve">CREMOQUINONA 4% CREMA (HIDROQUINONA 4%) </t>
  </si>
  <si>
    <t xml:space="preserve">CAJA SELLADA *30GR DE CREMA TÓPICA </t>
  </si>
  <si>
    <t xml:space="preserve">CRESANOL / VETERINA X25ML - YOMA </t>
  </si>
  <si>
    <t xml:space="preserve">FRASCO SELLADO X25ML- SUSPENSION PARA USO EXTERNO </t>
  </si>
  <si>
    <t xml:space="preserve">CRESANOL / VETERINA X60ML - YOMA </t>
  </si>
  <si>
    <t xml:space="preserve">FRASCO SELLADO X60ML- SUSPENSION PARA USO EXTERNO </t>
  </si>
  <si>
    <t xml:space="preserve">CRONOFEN JARABE </t>
  </si>
  <si>
    <t>CAJA CON FRASCO SELLADO *100ML DE SUSPENSION ORAL</t>
  </si>
  <si>
    <t>VASELINA *200GR - YOMA</t>
  </si>
  <si>
    <t xml:space="preserve">POTE SELLADO *200GR DE VASELINA PURA </t>
  </si>
  <si>
    <t>DESITIN CREAMY  J&amp;J *57GR</t>
  </si>
  <si>
    <t>CAJA CON TUBO SELLADO *57GR</t>
  </si>
  <si>
    <t xml:space="preserve">QUETIAPINA 200MG GENFAR X30 TABLETAS </t>
  </si>
  <si>
    <t>56,000 X30</t>
  </si>
  <si>
    <t xml:space="preserve">CAJA X30 COMPRIMIDOS ORALES EN BLISTER DE 15 TABLETAS C/U </t>
  </si>
  <si>
    <t xml:space="preserve">LEVRONC JARABE </t>
  </si>
  <si>
    <t xml:space="preserve">CAJA CON FRASCO SELLADO X120MK DE SUSPENSION ORAL </t>
  </si>
  <si>
    <t>59,000 X3</t>
  </si>
  <si>
    <t>14,000 x1</t>
  </si>
  <si>
    <t xml:space="preserve">CLINDAMICINA + CLOTRIMAZOL / CLINDABACT CREMA </t>
  </si>
  <si>
    <t xml:space="preserve">CAJA CON CREMA VAGINAL X20 GR SELLADA + 3 APLICADORES VAGINALES </t>
  </si>
  <si>
    <t xml:space="preserve">SEAMIB SUSPENSIÓN </t>
  </si>
  <si>
    <t>CAJA CON FRASCO SELLADO *15ML POLVO PARA RECONSTRUIR</t>
  </si>
  <si>
    <t>TIZAFEN - ACETAMINOFEN/ TIZANIDINA 350/2MG  *20 TABS (X1)</t>
  </si>
  <si>
    <t>4,300 X1</t>
  </si>
  <si>
    <t>CAJA *20 TABLETAS RECUBIERTAS</t>
  </si>
  <si>
    <t xml:space="preserve">VITAMINA C MK X100 - MANDARINA </t>
  </si>
  <si>
    <t xml:space="preserve">CAJA X100 TABLETAS EN BLISTER DE 10 UNIDADES C/U </t>
  </si>
  <si>
    <t xml:space="preserve">VITAMINA C - KEOPS VIT - MANDARINA </t>
  </si>
  <si>
    <t xml:space="preserve">COMLEJO B X300 LAPROFF </t>
  </si>
  <si>
    <t>CAJA X300 TABLETAS</t>
  </si>
  <si>
    <t xml:space="preserve">42,000 X120 </t>
  </si>
  <si>
    <t>8,000 X8</t>
  </si>
  <si>
    <t>ADOREM TAB 500MG  X100 TABS/ ACETAMINOFEN 500MG</t>
  </si>
  <si>
    <t>2,000 X4</t>
  </si>
  <si>
    <t>24,000 X18</t>
  </si>
  <si>
    <t>31,000 x1</t>
  </si>
  <si>
    <t xml:space="preserve">CRONOFEN TABLETAS / ACETAMINOFEN 500MG X100 </t>
  </si>
  <si>
    <t xml:space="preserve">BENLIC CREMA *40GR </t>
  </si>
  <si>
    <t>2,200 X1%</t>
  </si>
  <si>
    <t xml:space="preserve">AURASERT 50MG- SERTRALINA 50MG </t>
  </si>
  <si>
    <t xml:space="preserve">CAJA *28 TABLETAS </t>
  </si>
  <si>
    <t xml:space="preserve">CHAMPIOJO X54 SOBRES </t>
  </si>
  <si>
    <t>CAJA *24 SOBRES INDIVIDUALES</t>
  </si>
  <si>
    <t xml:space="preserve">DOLOR FIN FORTE - ROLL ON </t>
  </si>
  <si>
    <t xml:space="preserve">FRASCO ROLL ON CON 75ML DE LOCION TOPICA </t>
  </si>
  <si>
    <t>TRICONFUGADA GENFAR - BETAMETASONA/ CLOTRIMAZOL/ NEOMICINA-GR *20GR</t>
  </si>
  <si>
    <t>TEATRICAL ACLARADORA *100GR</t>
  </si>
  <si>
    <t>POTE SELLADO *100GR DE CREMA TÓPICA</t>
  </si>
  <si>
    <t xml:space="preserve">ISOCONAZOL CREMA GENFAR X20GR </t>
  </si>
  <si>
    <t xml:space="preserve">MINOXIDIL 5% - LAPROFF X60ML </t>
  </si>
  <si>
    <t xml:space="preserve">CAJA CON FRASCO SELLADO X60ML DE SOLUCION TOPICA </t>
  </si>
  <si>
    <t xml:space="preserve">FLUENZ T  X7 CASPULAS / IBUPROFENO 400MG + FENILEFRINA 10MG + LEVOCETIRIZINA + DEXTROMETORFANO </t>
  </si>
  <si>
    <t xml:space="preserve">CAJA CON 7 CAPSULAS ORALES </t>
  </si>
  <si>
    <t>MAREOL *72</t>
  </si>
  <si>
    <t xml:space="preserve">GENTAMICINA GOTAS- OFTAGENT </t>
  </si>
  <si>
    <t xml:space="preserve">CAJA CON FRASCO SELLADO X5ML DE SOLUCION OFTALMICA </t>
  </si>
  <si>
    <t>POMADA PEÑA *40GR</t>
  </si>
  <si>
    <t>FRASCO SELLADO *40GR DE POMADA TÓPICA</t>
  </si>
  <si>
    <t>27,500 X1</t>
  </si>
  <si>
    <t xml:space="preserve">GENOPRAZOL PLUS - SACHET </t>
  </si>
  <si>
    <t xml:space="preserve">CAJA 10 SACHET EN EMPAQUE INDIVIDUAL CADA UNO </t>
  </si>
  <si>
    <t xml:space="preserve">NIFEDIPINO 30MG / BECLAZONE X10 CAPS </t>
  </si>
  <si>
    <t xml:space="preserve">CAJA X10 CAPSULAS DURAS DE LIBERACION PROLONGADA ORALES </t>
  </si>
  <si>
    <t>CENTRUM ADVANCE *30 TABLETAS</t>
  </si>
  <si>
    <t>43,000 X30</t>
  </si>
  <si>
    <t xml:space="preserve">ALMIPRO SYNDET LIMPIADOR LIQUIDO X200ML </t>
  </si>
  <si>
    <t xml:space="preserve">POTE SELLADO X200ML DE LIMPIADOR </t>
  </si>
  <si>
    <t xml:space="preserve">LOSARTAN 50MG - LAPROFF X300 TABS </t>
  </si>
  <si>
    <t xml:space="preserve">NEO VENS X30 / DISOMINA + HIPERIDINA 450MG/50MG </t>
  </si>
  <si>
    <t xml:space="preserve">CAJA SELLADA *30 SOFTGELS </t>
  </si>
  <si>
    <t>VASELINA *60GR - YOMA</t>
  </si>
  <si>
    <t xml:space="preserve">POTE SELLADO *500GR DE VASELINA PURA </t>
  </si>
  <si>
    <t xml:space="preserve">ZIFLUVIS 600MG - N-ACETILCISTEINA  X30 SOBRES </t>
  </si>
  <si>
    <t xml:space="preserve">CAJA X30 SOBRES EN EMPAQUE INDIVIDUAL C/U </t>
  </si>
  <si>
    <t>34,000 X2</t>
  </si>
  <si>
    <t xml:space="preserve">VIOLETA DE GENCIANA YOMA X20ML </t>
  </si>
  <si>
    <t xml:space="preserve">FRASCO SELLADO X20ML DE GOTAS TOPICO MUCOSAS </t>
  </si>
  <si>
    <t>GLICERINA CARBONATADA 20ML / PROMARQUIIM</t>
  </si>
  <si>
    <t xml:space="preserve">FRASCO SELLADO X20ML DE SOLUCION TOPICA </t>
  </si>
  <si>
    <t>5500 X20</t>
  </si>
  <si>
    <t>GENTAMICINA 80MG - AMP FARMIONI  X10</t>
  </si>
  <si>
    <t>VASELINA *180GR PROMARQUIN</t>
  </si>
  <si>
    <t xml:space="preserve">POTE *180GRAMOS DE VASELIJA </t>
  </si>
  <si>
    <t xml:space="preserve">ACETAMINOFEN FORTE MK X30
 /  ACETAMINOFEN + CAFEINA 500MG/65 </t>
  </si>
  <si>
    <t xml:space="preserve">CAJA X48 TABLETAS </t>
  </si>
  <si>
    <t xml:space="preserve">BETADIP *40GR / BETAMETASONA 0,05% </t>
  </si>
  <si>
    <t>12,000 X28</t>
  </si>
  <si>
    <t>35000 X1</t>
  </si>
  <si>
    <t>SUNDARK SACHET PROTECTOR SOLAR ADULTOS  X12</t>
  </si>
  <si>
    <t>CAJA SELLADA *12 SACHETS *10GR C/U</t>
  </si>
  <si>
    <t>SEDA DENTAL 80MTS ZEN DENT</t>
  </si>
  <si>
    <t>SEDA DENTAL SELLADA *80MTS</t>
  </si>
  <si>
    <t>SEDA DENTAL 50 METROS ZEN DENT</t>
  </si>
  <si>
    <t xml:space="preserve">CAJA SELLADA *50METROS SEDA </t>
  </si>
  <si>
    <t xml:space="preserve">REFRESCANTE BUCAL ZEN DENT </t>
  </si>
  <si>
    <t>FRASCO SELLADO *10ML DE REFRESCANTE BUCAL</t>
  </si>
  <si>
    <t xml:space="preserve">CEPILLO ORTODONCIA </t>
  </si>
  <si>
    <t xml:space="preserve">CEPILLO DE ORTODONCIA SELLADO </t>
  </si>
  <si>
    <t xml:space="preserve">AGUA OXIGENADA JGB - X500ML </t>
  </si>
  <si>
    <t xml:space="preserve">FRASCO SELLADO X500ML DE SOLUCION ANTISEPTICA Y DESINFECTANTE </t>
  </si>
  <si>
    <t>CLOBETASOL 0,05% X40GR CREMA</t>
  </si>
  <si>
    <t>CLORHEXOL ENJUAGUE</t>
  </si>
  <si>
    <t xml:space="preserve">FRASCO SELLADO *180ML </t>
  </si>
  <si>
    <t xml:space="preserve">CREMA CORPORAL JOHNSONS X400ML - ROSADA </t>
  </si>
  <si>
    <t>POTE SELLADO X400ML DE CREMA CORPORAL</t>
  </si>
  <si>
    <t>GYNORELLE 30 - CLORMADINONA ACETATO/ ETINILESTRADIOL 2MG/0,03MG</t>
  </si>
  <si>
    <t xml:space="preserve">AMOXICILINA + ACIDO CLAVULANICO 875/125MG / AMOXICLADELT X14 TABS </t>
  </si>
  <si>
    <t>66,000 X14</t>
  </si>
  <si>
    <t xml:space="preserve">CAJA X14 TABLETAS  ORALES RECUBIERTAS </t>
  </si>
  <si>
    <t xml:space="preserve">ROSUVASTATINA 20MG - EXPOFARMA X30 TABS </t>
  </si>
  <si>
    <t>LYPTUS CHERRY - MEDICAL FARMA  X24</t>
  </si>
  <si>
    <t xml:space="preserve">CAJA *24 SOBRES X 4 LYPTUS CADA UNO </t>
  </si>
  <si>
    <t xml:space="preserve">K-LLOSIL / ACIDO SALICILICO + ACIDO LACTICO + RESORCINOL </t>
  </si>
  <si>
    <t xml:space="preserve">CAJA CON FRASCO SELLADO *20ML DE SOLUION TOPICA </t>
  </si>
  <si>
    <t xml:space="preserve">TERBINAFINA TABLETAS X30 - HONGODERM </t>
  </si>
  <si>
    <t>34,000X10</t>
  </si>
  <si>
    <t xml:space="preserve">CAJA X30 TABLETAS ORALES EN LBISTER DE 10 C/U </t>
  </si>
  <si>
    <t xml:space="preserve">ENEMATROL MARACUYÁ </t>
  </si>
  <si>
    <t>6000 X3</t>
  </si>
  <si>
    <t>PROLARDII X20 SACHETS</t>
  </si>
  <si>
    <t>CAJA X10 SOBRES SUPLEMENTO DIETARIO</t>
  </si>
  <si>
    <t>MULTI SOLUTION PLUS X60ML</t>
  </si>
  <si>
    <t xml:space="preserve">CAJA CON FRASCO SELLADO  DE SOLUCIÒN ACUOSA PARA LENTES BLANDOS </t>
  </si>
  <si>
    <t>45,000 X100</t>
  </si>
  <si>
    <t xml:space="preserve">CALADRYL GEL - TRANSPARENTE </t>
  </si>
  <si>
    <t xml:space="preserve">FRASCO SELLADO X 100ML </t>
  </si>
  <si>
    <t>55000 X40</t>
  </si>
  <si>
    <t xml:space="preserve">OMEGA 3-6-9  / VITAFAR LTDA </t>
  </si>
  <si>
    <t xml:space="preserve">CAJA X30 CAPSULAS BLANDAS EN BLISTER DE 10 C/U </t>
  </si>
  <si>
    <t xml:space="preserve">PECTICAO / CAOLIN PECTINA SUSP X120ML </t>
  </si>
  <si>
    <t xml:space="preserve">SUSPENSION ORAL X120ML </t>
  </si>
  <si>
    <t xml:space="preserve">ENERZINC - SULFATO DE ZINC SUSP X120ML </t>
  </si>
  <si>
    <t xml:space="preserve">CAJA CON POTE SELLADO X90ML DE SUSPENSION ORAL </t>
  </si>
  <si>
    <t xml:space="preserve">ATORVASTATINA 40MG- CORASTATIN / X30 TABLETAS </t>
  </si>
  <si>
    <t xml:space="preserve">ACEITE JOHNSON X60ML </t>
  </si>
  <si>
    <t xml:space="preserve">ACETAMINOFEN + CODEINA 325/8 MG X20 TABLETAS </t>
  </si>
  <si>
    <t xml:space="preserve">CAJA X20 TABLETAS ORALES  EN BLISTER DE 10 C/U </t>
  </si>
  <si>
    <t>CHAPSTICK MENTA</t>
  </si>
  <si>
    <t>CHAPSTICK HIDRATACION TOTAL  CoQ10</t>
  </si>
  <si>
    <t>TENA SLIP CLASICO M *9</t>
  </si>
  <si>
    <t>62,000 X21</t>
  </si>
  <si>
    <t xml:space="preserve">VOLTAREN AMPOLLA / CAJA  X5 AMPÒLLAS </t>
  </si>
  <si>
    <t xml:space="preserve">CAJA SELLADA *5 AMPOLLAS INTRAMUSCULAR </t>
  </si>
  <si>
    <t xml:space="preserve">ZARZAPARRILLA - ZAR X360ML </t>
  </si>
  <si>
    <t>VALOR</t>
  </si>
  <si>
    <t>PRESENTACION</t>
  </si>
  <si>
    <t>NORAVER FAST TOTAL X60 TABS  / IBUPROFENO- FENILEFRINA CLORH- LEVOCETIRIZINA DICLRH - DEXTROMETORFANO BROMH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</si>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</sst>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4">
    <font>
      <sz val="11"/>
      <color theme="1"/>
      <name val="Aptos Narrow"/>
      <family val="2"/>
      <scheme val="minor"/>
    </font>
    <font>
      <sz val="11"/>
      <color theme="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</font>
    <font>
      <b/>
      <sz val="12"/>
      <color rgb="FF0A0A0A"/>
      <name val="Google Sans"/>
    </font>
    <font>
      <sz val="12"/>
      <color rgb="FF0A0A0A"/>
      <name val="Google Sans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9E0"/>
        <bgColor indexed="64"/>
      </patternFill>
    </fill>
    <fill>
      <patternFill patternType="solid">
        <fgColor rgb="FF002FFF"/>
        <bgColor indexed="64"/>
      </patternFill>
    </fill>
    <fill>
      <patternFill patternType="solid">
        <fgColor rgb="FF001EA3"/>
        <bgColor indexed="64"/>
      </patternFill>
    </fill>
    <fill>
      <patternFill patternType="solid">
        <fgColor rgb="FFC0E4F5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29">
    <xf numFmtId="0" fontId="0" fillId="0" borderId="0" xfId="0"/>
    <xf numFmtId="2" fontId="1" fillId="3" borderId="0" xfId="1" applyNumberFormat="1" applyFill="1" applyAlignment="1">
      <alignment horizontal="center" vertical="center" wrapText="1"/>
    </xf>
    <xf numFmtId="0" fontId="1" fillId="3" borderId="0" xfId="1" applyFill="1" applyBorder="1" applyAlignment="1">
      <alignment horizontal="center" vertical="center" wrapText="1"/>
    </xf>
    <xf numFmtId="10" fontId="1" fillId="3" borderId="0" xfId="1" applyNumberFormat="1" applyFill="1" applyBorder="1" applyAlignment="1">
      <alignment horizontal="center" vertical="center" wrapText="1"/>
    </xf>
    <xf numFmtId="1" fontId="1" fillId="3" borderId="0" xfId="1" applyNumberFormat="1" applyFill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/>
    <xf numFmtId="1" fontId="3" fillId="0" borderId="0" xfId="0" applyNumberFormat="1" applyFont="1" applyAlignment="1">
      <alignment horizontal="right" vertical="center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9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0" fontId="2" fillId="0" borderId="0" xfId="0" applyFont="1"/>
    <xf numFmtId="0" fontId="0" fillId="3" borderId="0" xfId="0" applyFill="1"/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9" fontId="3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wrapText="1"/>
    </xf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horizontal="right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49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9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horizontal="left"/>
    </xf>
    <xf numFmtId="17" fontId="2" fillId="0" borderId="0" xfId="0" applyNumberFormat="1" applyFont="1" applyAlignment="1">
      <alignment horizontal="left" vertical="center"/>
    </xf>
    <xf numFmtId="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49" fontId="2" fillId="0" borderId="0" xfId="0" applyNumberFormat="1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9" fontId="2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center" wrapText="1"/>
    </xf>
    <xf numFmtId="9" fontId="2" fillId="4" borderId="0" xfId="0" applyNumberFormat="1" applyFont="1" applyFill="1" applyAlignment="1">
      <alignment horizontal="left" vertical="center"/>
    </xf>
    <xf numFmtId="0" fontId="2" fillId="0" borderId="0" xfId="0" applyFont="1" applyAlignment="1">
      <alignment vertical="center"/>
    </xf>
    <xf numFmtId="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1" fontId="3" fillId="0" borderId="0" xfId="0" applyNumberFormat="1" applyFont="1" applyAlignment="1">
      <alignment horizontal="right" wrapText="1"/>
    </xf>
    <xf numFmtId="0" fontId="1" fillId="3" borderId="0" xfId="1" applyFill="1" applyBorder="1" applyAlignment="1">
      <alignment horizontal="left" vertical="center" wrapText="1"/>
    </xf>
    <xf numFmtId="10" fontId="1" fillId="3" borderId="0" xfId="1" applyNumberFormat="1" applyFill="1" applyBorder="1" applyAlignment="1">
      <alignment horizontal="left" vertical="center" wrapText="1"/>
    </xf>
    <xf numFmtId="10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0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 wrapText="1"/>
    </xf>
    <xf numFmtId="9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0" fillId="3" borderId="0" xfId="0" applyFill="1" applyAlignment="1">
      <alignment horizontal="left"/>
    </xf>
    <xf numFmtId="9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vertical="top"/>
    </xf>
    <xf numFmtId="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wrapText="1"/>
    </xf>
    <xf numFmtId="9" fontId="2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wrapText="1"/>
    </xf>
    <xf numFmtId="9" fontId="0" fillId="4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49" fontId="2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wrapText="1"/>
    </xf>
    <xf numFmtId="49" fontId="4" fillId="0" borderId="0" xfId="0" applyNumberFormat="1" applyFont="1"/>
    <xf numFmtId="9" fontId="4" fillId="4" borderId="0" xfId="0" applyNumberFormat="1" applyFont="1" applyFill="1" applyAlignment="1">
      <alignment horizontal="right"/>
    </xf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9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9" fontId="3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top"/>
    </xf>
    <xf numFmtId="9" fontId="4" fillId="0" borderId="0" xfId="0" applyNumberFormat="1" applyFont="1"/>
    <xf numFmtId="2" fontId="4" fillId="0" borderId="0" xfId="0" applyNumberFormat="1" applyFont="1"/>
    <xf numFmtId="9" fontId="2" fillId="4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6" fillId="0" borderId="0" xfId="0" applyFont="1"/>
    <xf numFmtId="9" fontId="6" fillId="0" borderId="0" xfId="0" applyNumberFormat="1" applyFont="1"/>
    <xf numFmtId="0" fontId="6" fillId="0" borderId="0" xfId="0" applyFont="1" applyAlignment="1">
      <alignment horizontal="right"/>
    </xf>
    <xf numFmtId="9" fontId="0" fillId="0" borderId="0" xfId="0" applyNumberFormat="1"/>
    <xf numFmtId="2" fontId="0" fillId="0" borderId="0" xfId="0" applyNumberFormat="1"/>
    <xf numFmtId="49" fontId="2" fillId="0" borderId="0" xfId="0" applyNumberFormat="1" applyFont="1" applyAlignment="1">
      <alignment horizontal="right" vertical="center"/>
    </xf>
    <xf numFmtId="9" fontId="2" fillId="4" borderId="0" xfId="0" applyNumberFormat="1" applyFont="1" applyFill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0" fontId="0" fillId="0" borderId="0" xfId="0" applyNumberForma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/>
    </xf>
    <xf numFmtId="0" fontId="7" fillId="3" borderId="0" xfId="0" applyFont="1" applyFill="1" applyAlignment="1">
      <alignment horizontal="left"/>
    </xf>
    <xf numFmtId="0" fontId="7" fillId="3" borderId="0" xfId="0" applyFont="1" applyFill="1"/>
    <xf numFmtId="164" fontId="3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1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vertical="center"/>
    </xf>
    <xf numFmtId="4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4" fillId="0" borderId="0" xfId="0" applyFont="1" applyAlignment="1">
      <alignment horizontal="right" wrapText="1"/>
    </xf>
    <xf numFmtId="1" fontId="0" fillId="0" borderId="0" xfId="0" applyNumberFormat="1"/>
    <xf numFmtId="9" fontId="3" fillId="0" borderId="0" xfId="0" applyNumberFormat="1" applyFont="1" applyAlignment="1">
      <alignment horizontal="right"/>
    </xf>
    <xf numFmtId="9" fontId="3" fillId="4" borderId="0" xfId="0" applyNumberFormat="1" applyFont="1" applyFill="1" applyAlignment="1">
      <alignment horizontal="right"/>
    </xf>
    <xf numFmtId="10" fontId="0" fillId="0" borderId="0" xfId="0" applyNumberFormat="1" applyAlignment="1">
      <alignment horizontal="right" wrapText="1"/>
    </xf>
    <xf numFmtId="10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 vertical="center"/>
    </xf>
    <xf numFmtId="9" fontId="0" fillId="0" borderId="0" xfId="0" applyNumberFormat="1" applyAlignment="1">
      <alignment wrapText="1"/>
    </xf>
    <xf numFmtId="2" fontId="0" fillId="0" borderId="0" xfId="0" applyNumberFormat="1" applyAlignment="1">
      <alignment horizontal="right" wrapText="1"/>
    </xf>
    <xf numFmtId="9" fontId="3" fillId="0" borderId="0" xfId="0" applyNumberFormat="1" applyFont="1"/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/>
    </xf>
    <xf numFmtId="9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left" wrapText="1"/>
    </xf>
    <xf numFmtId="164" fontId="3" fillId="5" borderId="0" xfId="0" applyNumberFormat="1" applyFont="1" applyFill="1" applyAlignment="1">
      <alignment horizontal="right"/>
    </xf>
    <xf numFmtId="49" fontId="0" fillId="0" borderId="0" xfId="0" applyNumberFormat="1"/>
    <xf numFmtId="9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9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/>
    <xf numFmtId="1" fontId="3" fillId="3" borderId="0" xfId="0" applyNumberFormat="1" applyFont="1" applyFill="1" applyAlignment="1">
      <alignment horizontal="right" vertical="center"/>
    </xf>
    <xf numFmtId="0" fontId="3" fillId="3" borderId="0" xfId="0" applyFont="1" applyFill="1"/>
    <xf numFmtId="9" fontId="2" fillId="0" borderId="0" xfId="0" applyNumberFormat="1" applyFont="1"/>
    <xf numFmtId="2" fontId="2" fillId="0" borderId="0" xfId="0" applyNumberFormat="1" applyFont="1"/>
    <xf numFmtId="9" fontId="0" fillId="0" borderId="0" xfId="0" applyNumberFormat="1" applyAlignment="1">
      <alignment horizontal="right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right" vertical="top"/>
    </xf>
    <xf numFmtId="9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2" fontId="3" fillId="4" borderId="0" xfId="0" applyNumberFormat="1" applyFont="1" applyFill="1" applyAlignment="1">
      <alignment horizontal="right" vertical="center"/>
    </xf>
    <xf numFmtId="2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top"/>
    </xf>
    <xf numFmtId="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0" fontId="4" fillId="0" borderId="0" xfId="0" applyNumberFormat="1" applyFont="1"/>
    <xf numFmtId="9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1" fontId="2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" fontId="6" fillId="0" borderId="0" xfId="0" applyNumberFormat="1" applyFont="1"/>
    <xf numFmtId="9" fontId="5" fillId="0" borderId="0" xfId="0" applyNumberFormat="1" applyFont="1"/>
    <xf numFmtId="2" fontId="5" fillId="0" borderId="0" xfId="0" applyNumberFormat="1" applyFont="1"/>
    <xf numFmtId="9" fontId="0" fillId="4" borderId="0" xfId="0" applyNumberFormat="1" applyFill="1"/>
    <xf numFmtId="2" fontId="0" fillId="4" borderId="0" xfId="0" applyNumberFormat="1" applyFill="1"/>
    <xf numFmtId="2" fontId="2" fillId="4" borderId="0" xfId="0" applyNumberFormat="1" applyFont="1" applyFill="1" applyAlignment="1">
      <alignment horizontal="right"/>
    </xf>
    <xf numFmtId="0" fontId="0" fillId="6" borderId="0" xfId="0" applyFill="1"/>
    <xf numFmtId="9" fontId="0" fillId="6" borderId="0" xfId="0" applyNumberFormat="1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wrapText="1"/>
    </xf>
    <xf numFmtId="2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right" wrapText="1"/>
    </xf>
    <xf numFmtId="9" fontId="3" fillId="0" borderId="0" xfId="0" applyNumberFormat="1" applyFont="1" applyAlignment="1">
      <alignment horizontal="right" wrapText="1"/>
    </xf>
    <xf numFmtId="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0" fontId="2" fillId="0" borderId="0" xfId="0" applyNumberFormat="1" applyFont="1"/>
    <xf numFmtId="0" fontId="2" fillId="5" borderId="0" xfId="0" applyFont="1" applyFill="1" applyAlignment="1">
      <alignment horizontal="left" wrapText="1"/>
    </xf>
    <xf numFmtId="9" fontId="0" fillId="4" borderId="0" xfId="0" applyNumberFormat="1" applyFill="1" applyAlignment="1">
      <alignment horizontal="right" vertical="center"/>
    </xf>
    <xf numFmtId="49" fontId="0" fillId="4" borderId="0" xfId="0" applyNumberFormat="1" applyFill="1" applyAlignment="1">
      <alignment horizontal="right" vertical="center"/>
    </xf>
    <xf numFmtId="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 applyAlignment="1">
      <alignment horizontal="right"/>
    </xf>
    <xf numFmtId="0" fontId="3" fillId="4" borderId="0" xfId="0" applyFont="1" applyFill="1" applyAlignment="1">
      <alignment horizontal="left" vertical="center" wrapText="1"/>
    </xf>
    <xf numFmtId="0" fontId="2" fillId="4" borderId="0" xfId="0" applyFont="1" applyFill="1"/>
    <xf numFmtId="164" fontId="3" fillId="4" borderId="0" xfId="0" applyNumberFormat="1" applyFont="1" applyFill="1" applyAlignment="1">
      <alignment horizontal="right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right" vertical="center"/>
    </xf>
    <xf numFmtId="10" fontId="0" fillId="4" borderId="0" xfId="0" applyNumberFormat="1" applyFill="1" applyAlignment="1">
      <alignment horizontal="right" vertical="center"/>
    </xf>
    <xf numFmtId="2" fontId="0" fillId="4" borderId="0" xfId="0" applyNumberFormat="1" applyFill="1" applyAlignment="1">
      <alignment horizontal="right"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right" vertical="center"/>
    </xf>
    <xf numFmtId="0" fontId="3" fillId="4" borderId="0" xfId="0" applyFont="1" applyFill="1" applyAlignment="1">
      <alignment vertical="center" wrapText="1"/>
    </xf>
    <xf numFmtId="1" fontId="3" fillId="4" borderId="0" xfId="0" applyNumberFormat="1" applyFont="1" applyFill="1" applyAlignment="1">
      <alignment horizontal="right" vertical="center" wrapText="1"/>
    </xf>
    <xf numFmtId="0" fontId="0" fillId="4" borderId="0" xfId="0" applyFill="1" applyAlignment="1">
      <alignment wrapText="1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right"/>
    </xf>
    <xf numFmtId="10" fontId="0" fillId="4" borderId="0" xfId="0" applyNumberFormat="1" applyFill="1"/>
    <xf numFmtId="9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right"/>
    </xf>
    <xf numFmtId="0" fontId="2" fillId="4" borderId="0" xfId="0" applyFont="1" applyFill="1" applyAlignment="1">
      <alignment horizontal="left" vertical="center" wrapText="1"/>
    </xf>
    <xf numFmtId="2" fontId="2" fillId="4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vertical="center" wrapText="1"/>
    </xf>
    <xf numFmtId="2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9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9" fontId="0" fillId="0" borderId="0" xfId="0" applyNumberFormat="1" applyAlignment="1">
      <alignment horizontal="left" wrapText="1"/>
    </xf>
    <xf numFmtId="9" fontId="2" fillId="0" borderId="0" xfId="0" applyNumberFormat="1" applyFont="1" applyAlignment="1">
      <alignment horizontal="right" vertical="center" wrapText="1"/>
    </xf>
    <xf numFmtId="0" fontId="0" fillId="0" borderId="0" xfId="0" applyFill="1"/>
    <xf numFmtId="17" fontId="2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right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1" fontId="8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horizontal="right"/>
    </xf>
    <xf numFmtId="0" fontId="0" fillId="0" borderId="0" xfId="0" applyAlignment="1">
      <alignment horizontal="right" vertical="top"/>
    </xf>
    <xf numFmtId="9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10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 wrapText="1"/>
    </xf>
    <xf numFmtId="10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/>
    </xf>
    <xf numFmtId="0" fontId="4" fillId="3" borderId="0" xfId="0" applyFont="1" applyFill="1" applyAlignment="1">
      <alignment wrapText="1"/>
    </xf>
    <xf numFmtId="9" fontId="3" fillId="0" borderId="0" xfId="0" applyNumberFormat="1" applyFont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 vertical="center"/>
    </xf>
    <xf numFmtId="2" fontId="1" fillId="7" borderId="0" xfId="1" applyNumberFormat="1" applyFill="1" applyAlignment="1">
      <alignment horizontal="center" vertical="center" wrapText="1"/>
    </xf>
    <xf numFmtId="0" fontId="1" fillId="7" borderId="0" xfId="1" applyFill="1" applyBorder="1" applyAlignment="1">
      <alignment horizontal="center" vertical="center" wrapText="1"/>
    </xf>
    <xf numFmtId="10" fontId="1" fillId="7" borderId="0" xfId="1" applyNumberFormat="1" applyFill="1" applyBorder="1" applyAlignment="1">
      <alignment horizontal="center" vertical="center" wrapText="1"/>
    </xf>
    <xf numFmtId="1" fontId="1" fillId="7" borderId="0" xfId="1" applyNumberFormat="1" applyFill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0" fontId="0" fillId="7" borderId="0" xfId="0" applyFill="1" applyAlignment="1">
      <alignment wrapText="1"/>
    </xf>
    <xf numFmtId="0" fontId="0" fillId="7" borderId="0" xfId="0" applyFill="1"/>
    <xf numFmtId="9" fontId="0" fillId="4" borderId="0" xfId="0" applyNumberFormat="1" applyFill="1" applyAlignment="1">
      <alignment vertical="center"/>
    </xf>
    <xf numFmtId="2" fontId="0" fillId="4" borderId="0" xfId="0" applyNumberFormat="1" applyFill="1" applyAlignment="1">
      <alignment vertical="center"/>
    </xf>
    <xf numFmtId="0" fontId="4" fillId="0" borderId="0" xfId="0" applyFont="1" applyAlignment="1">
      <alignment horizontal="right" vertical="center" wrapText="1"/>
    </xf>
    <xf numFmtId="0" fontId="0" fillId="8" borderId="0" xfId="0" applyFill="1"/>
    <xf numFmtId="1" fontId="2" fillId="0" borderId="0" xfId="0" applyNumberFormat="1" applyFont="1" applyAlignment="1">
      <alignment horizontal="left" wrapText="1"/>
    </xf>
    <xf numFmtId="15" fontId="2" fillId="0" borderId="0" xfId="0" applyNumberFormat="1" applyFont="1" applyAlignment="1">
      <alignment wrapText="1"/>
    </xf>
    <xf numFmtId="9" fontId="3" fillId="4" borderId="0" xfId="0" applyNumberFormat="1" applyFont="1" applyFill="1" applyAlignment="1">
      <alignment horizontal="right" vertical="center" wrapText="1"/>
    </xf>
    <xf numFmtId="1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left" wrapText="1"/>
    </xf>
    <xf numFmtId="9" fontId="2" fillId="0" borderId="0" xfId="0" applyNumberFormat="1" applyFont="1" applyAlignment="1">
      <alignment wrapText="1"/>
    </xf>
    <xf numFmtId="9" fontId="2" fillId="4" borderId="0" xfId="0" applyNumberFormat="1" applyFont="1" applyFill="1" applyAlignment="1">
      <alignment horizontal="right" vertical="top"/>
    </xf>
    <xf numFmtId="2" fontId="2" fillId="4" borderId="0" xfId="0" applyNumberFormat="1" applyFont="1" applyFill="1" applyAlignment="1">
      <alignment horizontal="right" vertical="top"/>
    </xf>
    <xf numFmtId="0" fontId="2" fillId="4" borderId="0" xfId="0" applyFont="1" applyFill="1" applyAlignment="1">
      <alignment horizontal="right" vertical="top"/>
    </xf>
    <xf numFmtId="49" fontId="6" fillId="0" borderId="0" xfId="0" applyNumberFormat="1" applyFont="1" applyAlignment="1">
      <alignment horizontal="right"/>
    </xf>
    <xf numFmtId="9" fontId="2" fillId="4" borderId="0" xfId="0" applyNumberFormat="1" applyFont="1" applyFill="1" applyAlignment="1">
      <alignment vertical="center"/>
    </xf>
    <xf numFmtId="2" fontId="2" fillId="4" borderId="0" xfId="0" applyNumberFormat="1" applyFont="1" applyFill="1" applyAlignment="1">
      <alignment vertical="center"/>
    </xf>
    <xf numFmtId="9" fontId="2" fillId="4" borderId="0" xfId="0" applyNumberFormat="1" applyFont="1" applyFill="1"/>
    <xf numFmtId="9" fontId="0" fillId="4" borderId="0" xfId="0" applyNumberFormat="1" applyFill="1" applyAlignment="1">
      <alignment horizontal="left" vertical="center"/>
    </xf>
    <xf numFmtId="2" fontId="0" fillId="4" borderId="0" xfId="0" applyNumberFormat="1" applyFill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9" fontId="2" fillId="4" borderId="0" xfId="0" applyNumberFormat="1" applyFont="1" applyFill="1" applyAlignment="1">
      <alignment horizontal="right" wrapText="1"/>
    </xf>
    <xf numFmtId="2" fontId="2" fillId="4" borderId="0" xfId="0" applyNumberFormat="1" applyFont="1" applyFill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2" fontId="0" fillId="0" borderId="0" xfId="0" applyNumberFormat="1" applyAlignment="1">
      <alignment wrapText="1"/>
    </xf>
    <xf numFmtId="9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49" fontId="3" fillId="0" borderId="0" xfId="0" applyNumberFormat="1" applyFont="1"/>
    <xf numFmtId="0" fontId="2" fillId="0" borderId="0" xfId="0" applyFont="1" applyAlignment="1">
      <alignment horizontal="right" vertical="top" wrapText="1"/>
    </xf>
    <xf numFmtId="9" fontId="2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9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2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vertical="center" wrapText="1"/>
    </xf>
    <xf numFmtId="1" fontId="0" fillId="0" borderId="0" xfId="0" applyNumberFormat="1" applyFill="1" applyAlignment="1">
      <alignment horizontal="right" vertical="center"/>
    </xf>
    <xf numFmtId="9" fontId="1" fillId="7" borderId="0" xfId="1" applyNumberFormat="1" applyFill="1" applyBorder="1" applyAlignment="1">
      <alignment horizontal="center" vertical="center" wrapText="1"/>
    </xf>
    <xf numFmtId="9" fontId="0" fillId="7" borderId="0" xfId="0" applyNumberFormat="1" applyFill="1"/>
    <xf numFmtId="9" fontId="0" fillId="8" borderId="0" xfId="0" applyNumberFormat="1" applyFill="1"/>
    <xf numFmtId="9" fontId="4" fillId="0" borderId="0" xfId="0" applyNumberFormat="1" applyFont="1" applyAlignment="1">
      <alignment horizontal="left"/>
    </xf>
    <xf numFmtId="9" fontId="0" fillId="0" borderId="0" xfId="0" applyNumberFormat="1" applyFill="1" applyAlignment="1">
      <alignment horizontal="right" vertical="center"/>
    </xf>
    <xf numFmtId="0" fontId="3" fillId="5" borderId="0" xfId="0" applyFont="1" applyFill="1" applyAlignment="1">
      <alignment horizontal="left"/>
    </xf>
    <xf numFmtId="2" fontId="0" fillId="4" borderId="0" xfId="0" applyNumberFormat="1" applyFill="1" applyAlignment="1">
      <alignment horizontal="right"/>
    </xf>
    <xf numFmtId="2" fontId="3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10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wrapText="1"/>
    </xf>
    <xf numFmtId="9" fontId="3" fillId="4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9" fontId="4" fillId="4" borderId="0" xfId="0" applyNumberFormat="1" applyFont="1" applyFill="1" applyAlignment="1">
      <alignment horizontal="left"/>
    </xf>
    <xf numFmtId="2" fontId="4" fillId="4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 vertical="center"/>
    </xf>
    <xf numFmtId="164" fontId="3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10" fontId="4" fillId="0" borderId="0" xfId="0" applyNumberFormat="1" applyFont="1" applyAlignment="1">
      <alignment horizontal="left" wrapText="1"/>
    </xf>
    <xf numFmtId="2" fontId="9" fillId="9" borderId="0" xfId="1" applyNumberFormat="1" applyFont="1" applyFill="1" applyAlignment="1">
      <alignment horizontal="left" vertical="center" wrapText="1"/>
    </xf>
    <xf numFmtId="0" fontId="9" fillId="9" borderId="0" xfId="1" applyFont="1" applyFill="1" applyBorder="1" applyAlignment="1">
      <alignment horizontal="left" vertical="center" wrapText="1"/>
    </xf>
    <xf numFmtId="10" fontId="9" fillId="9" borderId="0" xfId="1" applyNumberFormat="1" applyFont="1" applyFill="1" applyBorder="1" applyAlignment="1">
      <alignment horizontal="left" vertical="center" wrapText="1"/>
    </xf>
    <xf numFmtId="1" fontId="9" fillId="9" borderId="0" xfId="1" applyNumberFormat="1" applyFont="1" applyFill="1" applyAlignment="1">
      <alignment horizontal="left" vertical="center" wrapText="1"/>
    </xf>
    <xf numFmtId="0" fontId="4" fillId="9" borderId="0" xfId="0" applyFont="1" applyFill="1" applyAlignment="1">
      <alignment horizontal="left" wrapText="1"/>
    </xf>
    <xf numFmtId="0" fontId="4" fillId="9" borderId="0" xfId="0" applyFont="1" applyFill="1" applyAlignment="1">
      <alignment horizontal="left"/>
    </xf>
    <xf numFmtId="164" fontId="4" fillId="0" borderId="0" xfId="0" applyNumberFormat="1" applyFont="1" applyAlignment="1">
      <alignment horizontal="left" vertical="center"/>
    </xf>
    <xf numFmtId="0" fontId="4" fillId="8" borderId="0" xfId="0" applyFont="1" applyFill="1" applyAlignment="1">
      <alignment horizontal="left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 vertical="top"/>
    </xf>
    <xf numFmtId="2" fontId="4" fillId="0" borderId="0" xfId="0" applyNumberFormat="1" applyFont="1" applyAlignment="1">
      <alignment horizontal="left" wrapText="1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9" fontId="5" fillId="4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9" fontId="3" fillId="0" borderId="0" xfId="0" applyNumberFormat="1" applyFont="1" applyBorder="1" applyAlignment="1">
      <alignment horizontal="left"/>
    </xf>
    <xf numFmtId="11" fontId="3" fillId="0" borderId="0" xfId="0" applyNumberFormat="1" applyFont="1" applyBorder="1" applyAlignment="1">
      <alignment horizontal="left"/>
    </xf>
    <xf numFmtId="9" fontId="3" fillId="0" borderId="0" xfId="0" applyNumberFormat="1" applyFont="1" applyBorder="1" applyAlignment="1">
      <alignment horizontal="left" wrapText="1"/>
    </xf>
    <xf numFmtId="11" fontId="3" fillId="0" borderId="0" xfId="0" applyNumberFormat="1" applyFont="1" applyBorder="1" applyAlignment="1">
      <alignment horizontal="left" wrapText="1"/>
    </xf>
    <xf numFmtId="9" fontId="3" fillId="10" borderId="0" xfId="0" applyNumberFormat="1" applyFont="1" applyFill="1" applyBorder="1" applyAlignment="1">
      <alignment horizontal="left" wrapText="1"/>
    </xf>
    <xf numFmtId="0" fontId="3" fillId="10" borderId="0" xfId="0" applyFont="1" applyFill="1" applyBorder="1" applyAlignment="1">
      <alignment horizontal="left" wrapText="1"/>
    </xf>
    <xf numFmtId="9" fontId="3" fillId="4" borderId="0" xfId="0" applyNumberFormat="1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/>
    </xf>
    <xf numFmtId="9" fontId="3" fillId="0" borderId="0" xfId="0" applyNumberFormat="1" applyFont="1" applyAlignment="1">
      <alignment horizontal="left" wrapText="1"/>
    </xf>
    <xf numFmtId="2" fontId="3" fillId="4" borderId="0" xfId="0" applyNumberFormat="1" applyFont="1" applyFill="1" applyAlignment="1">
      <alignment horizontal="left"/>
    </xf>
    <xf numFmtId="9" fontId="3" fillId="5" borderId="0" xfId="0" applyNumberFormat="1" applyFont="1" applyFill="1" applyAlignment="1">
      <alignment horizontal="left"/>
    </xf>
    <xf numFmtId="164" fontId="3" fillId="5" borderId="0" xfId="0" applyNumberFormat="1" applyFont="1" applyFill="1" applyAlignment="1">
      <alignment horizontal="left"/>
    </xf>
    <xf numFmtId="2" fontId="5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3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 wrapText="1"/>
    </xf>
    <xf numFmtId="9" fontId="4" fillId="0" borderId="0" xfId="0" applyNumberFormat="1" applyFont="1" applyFill="1" applyAlignment="1">
      <alignment horizontal="left" vertical="center"/>
    </xf>
    <xf numFmtId="2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1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Alignment="1">
      <alignment horizontal="left" wrapText="1"/>
    </xf>
    <xf numFmtId="9" fontId="4" fillId="4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right"/>
    </xf>
    <xf numFmtId="9" fontId="5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left" vertical="center" wrapText="1"/>
    </xf>
    <xf numFmtId="2" fontId="9" fillId="7" borderId="0" xfId="1" applyNumberFormat="1" applyFont="1" applyFill="1" applyAlignment="1">
      <alignment horizontal="center" vertical="center" wrapText="1"/>
    </xf>
    <xf numFmtId="0" fontId="9" fillId="7" borderId="0" xfId="1" applyFont="1" applyFill="1" applyBorder="1" applyAlignment="1">
      <alignment horizontal="center" vertical="center" wrapText="1"/>
    </xf>
    <xf numFmtId="10" fontId="9" fillId="7" borderId="0" xfId="1" applyNumberFormat="1" applyFont="1" applyFill="1" applyBorder="1" applyAlignment="1">
      <alignment horizontal="center" vertical="center" wrapText="1"/>
    </xf>
    <xf numFmtId="1" fontId="9" fillId="7" borderId="0" xfId="1" applyNumberFormat="1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wrapText="1"/>
    </xf>
    <xf numFmtId="0" fontId="4" fillId="7" borderId="0" xfId="0" applyFont="1" applyFill="1" applyAlignment="1">
      <alignment wrapText="1"/>
    </xf>
    <xf numFmtId="0" fontId="4" fillId="7" borderId="0" xfId="0" applyFont="1" applyFill="1"/>
    <xf numFmtId="2" fontId="3" fillId="0" borderId="0" xfId="0" applyNumberFormat="1" applyFont="1"/>
    <xf numFmtId="1" fontId="3" fillId="0" borderId="0" xfId="0" applyNumberFormat="1" applyFont="1" applyAlignment="1">
      <alignment horizontal="right" vertical="top"/>
    </xf>
    <xf numFmtId="9" fontId="4" fillId="0" borderId="0" xfId="0" applyNumberFormat="1" applyFont="1" applyAlignment="1">
      <alignment wrapText="1"/>
    </xf>
    <xf numFmtId="9" fontId="3" fillId="0" borderId="0" xfId="0" applyNumberFormat="1" applyFont="1" applyFill="1" applyAlignment="1">
      <alignment vertical="center"/>
    </xf>
    <xf numFmtId="10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9" fontId="3" fillId="4" borderId="0" xfId="0" applyNumberFormat="1" applyFont="1" applyFill="1" applyAlignment="1">
      <alignment horizontal="right" wrapText="1"/>
    </xf>
    <xf numFmtId="2" fontId="3" fillId="4" borderId="0" xfId="0" applyNumberFormat="1" applyFont="1" applyFill="1" applyAlignment="1">
      <alignment horizontal="right" wrapText="1"/>
    </xf>
    <xf numFmtId="0" fontId="3" fillId="0" borderId="0" xfId="0" applyFont="1" applyAlignment="1">
      <alignment horizontal="right" vertical="top" wrapText="1"/>
    </xf>
    <xf numFmtId="9" fontId="4" fillId="0" borderId="0" xfId="0" applyNumberFormat="1" applyFont="1" applyAlignment="1">
      <alignment horizontal="right"/>
    </xf>
    <xf numFmtId="9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9" fontId="4" fillId="0" borderId="0" xfId="0" applyNumberFormat="1" applyFont="1" applyAlignment="1">
      <alignment vertical="center" wrapText="1"/>
    </xf>
    <xf numFmtId="0" fontId="10" fillId="0" borderId="0" xfId="0" applyFont="1" applyAlignment="1">
      <alignment wrapText="1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/>
    <xf numFmtId="9" fontId="12" fillId="0" borderId="0" xfId="0" applyNumberFormat="1" applyFont="1" applyBorder="1" applyAlignment="1"/>
    <xf numFmtId="11" fontId="12" fillId="0" borderId="0" xfId="0" applyNumberFormat="1" applyFont="1" applyBorder="1" applyAlignment="1"/>
    <xf numFmtId="0" fontId="3" fillId="0" borderId="0" xfId="0" applyFont="1" applyBorder="1" applyAlignment="1"/>
    <xf numFmtId="0" fontId="9" fillId="7" borderId="0" xfId="1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/>
    </xf>
    <xf numFmtId="0" fontId="12" fillId="0" borderId="0" xfId="0" applyFont="1" applyBorder="1" applyAlignment="1">
      <alignment horizontal="left"/>
    </xf>
    <xf numFmtId="10" fontId="0" fillId="0" borderId="0" xfId="0" applyNumberFormat="1" applyAlignment="1">
      <alignment wrapText="1"/>
    </xf>
    <xf numFmtId="1" fontId="2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top"/>
    </xf>
    <xf numFmtId="9" fontId="3" fillId="10" borderId="0" xfId="0" applyNumberFormat="1" applyFont="1" applyFill="1" applyBorder="1" applyAlignment="1">
      <alignment horizontal="left"/>
    </xf>
    <xf numFmtId="0" fontId="3" fillId="10" borderId="0" xfId="0" applyFont="1" applyFill="1" applyBorder="1" applyAlignment="1">
      <alignment horizontal="left"/>
    </xf>
    <xf numFmtId="1" fontId="3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9" fontId="3" fillId="0" borderId="0" xfId="0" applyNumberFormat="1" applyFont="1" applyFill="1" applyAlignment="1">
      <alignment horizontal="left" vertical="center"/>
    </xf>
    <xf numFmtId="1" fontId="3" fillId="0" borderId="0" xfId="0" applyNumberFormat="1" applyFont="1" applyFill="1" applyAlignment="1">
      <alignment horizontal="left" vertical="center"/>
    </xf>
    <xf numFmtId="9" fontId="2" fillId="4" borderId="0" xfId="0" applyNumberFormat="1" applyFont="1" applyFill="1" applyAlignment="1">
      <alignment horizontal="left" vertical="top"/>
    </xf>
    <xf numFmtId="2" fontId="2" fillId="4" borderId="0" xfId="0" applyNumberFormat="1" applyFont="1" applyFill="1" applyAlignment="1">
      <alignment horizontal="left" vertical="top"/>
    </xf>
    <xf numFmtId="9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3" fillId="0" borderId="0" xfId="0" applyFont="1"/>
    <xf numFmtId="9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 vertical="center"/>
    </xf>
    <xf numFmtId="9" fontId="4" fillId="4" borderId="0" xfId="0" applyNumberFormat="1" applyFont="1" applyFill="1"/>
    <xf numFmtId="2" fontId="4" fillId="4" borderId="0" xfId="0" applyNumberFormat="1" applyFont="1" applyFill="1"/>
    <xf numFmtId="1" fontId="3" fillId="5" borderId="0" xfId="0" applyNumberFormat="1" applyFont="1" applyFill="1" applyAlignment="1">
      <alignment horizontal="right"/>
    </xf>
    <xf numFmtId="1" fontId="3" fillId="4" borderId="0" xfId="0" applyNumberFormat="1" applyFont="1" applyFill="1" applyAlignment="1">
      <alignment horizontal="right" vertical="center"/>
    </xf>
    <xf numFmtId="1" fontId="2" fillId="4" borderId="0" xfId="0" applyNumberFormat="1" applyFont="1" applyFill="1" applyAlignment="1">
      <alignment horizontal="left" vertical="center"/>
    </xf>
    <xf numFmtId="1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 vertical="top"/>
    </xf>
    <xf numFmtId="1" fontId="4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 vertical="top" wrapText="1"/>
    </xf>
    <xf numFmtId="1" fontId="5" fillId="0" borderId="0" xfId="0" applyNumberFormat="1" applyFont="1" applyAlignment="1">
      <alignment horizontal="left"/>
    </xf>
    <xf numFmtId="1" fontId="3" fillId="0" borderId="0" xfId="0" applyNumberFormat="1" applyFont="1" applyBorder="1" applyAlignment="1">
      <alignment horizontal="left"/>
    </xf>
    <xf numFmtId="1" fontId="1" fillId="3" borderId="0" xfId="1" applyNumberFormat="1" applyFill="1" applyBorder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center"/>
    </xf>
    <xf numFmtId="1" fontId="6" fillId="0" borderId="0" xfId="0" applyNumberFormat="1" applyFont="1" applyAlignment="1">
      <alignment horizontal="right"/>
    </xf>
    <xf numFmtId="1" fontId="2" fillId="4" borderId="0" xfId="0" applyNumberFormat="1" applyFont="1" applyFill="1" applyAlignment="1">
      <alignment horizontal="right" vertical="center"/>
    </xf>
    <xf numFmtId="1" fontId="2" fillId="4" borderId="0" xfId="0" applyNumberFormat="1" applyFont="1" applyFill="1" applyAlignment="1">
      <alignment horizontal="left"/>
    </xf>
    <xf numFmtId="1" fontId="0" fillId="6" borderId="0" xfId="0" applyNumberFormat="1" applyFill="1" applyAlignment="1">
      <alignment horizontal="right"/>
    </xf>
    <xf numFmtId="1" fontId="0" fillId="4" borderId="0" xfId="0" applyNumberFormat="1" applyFill="1" applyAlignment="1">
      <alignment horizontal="left"/>
    </xf>
    <xf numFmtId="1" fontId="0" fillId="0" borderId="0" xfId="0" applyNumberFormat="1" applyAlignment="1">
      <alignment horizontal="left" wrapText="1"/>
    </xf>
    <xf numFmtId="1" fontId="8" fillId="0" borderId="0" xfId="0" applyNumberFormat="1" applyFont="1" applyAlignment="1">
      <alignment horizontal="right" vertical="center"/>
    </xf>
    <xf numFmtId="1" fontId="0" fillId="4" borderId="0" xfId="0" applyNumberFormat="1" applyFill="1" applyAlignment="1">
      <alignment horizontal="left" vertical="center"/>
    </xf>
    <xf numFmtId="1" fontId="5" fillId="4" borderId="0" xfId="0" applyNumberFormat="1" applyFont="1" applyFill="1" applyAlignment="1">
      <alignment horizontal="left"/>
    </xf>
    <xf numFmtId="1" fontId="3" fillId="10" borderId="0" xfId="0" applyNumberFormat="1" applyFont="1" applyFill="1" applyBorder="1" applyAlignment="1">
      <alignment horizontal="left" wrapText="1"/>
    </xf>
    <xf numFmtId="1" fontId="3" fillId="4" borderId="0" xfId="0" applyNumberFormat="1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1" fontId="5" fillId="0" borderId="0" xfId="0" applyNumberFormat="1" applyFont="1" applyAlignment="1">
      <alignment horizontal="right"/>
    </xf>
    <xf numFmtId="1" fontId="0" fillId="0" borderId="0" xfId="0" applyNumberFormat="1" applyAlignment="1">
      <alignment horizontal="left" vertical="top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 wrapText="1"/>
    </xf>
    <xf numFmtId="1" fontId="3" fillId="5" borderId="0" xfId="0" applyNumberFormat="1" applyFont="1" applyFill="1" applyAlignment="1">
      <alignment horizontal="left"/>
    </xf>
    <xf numFmtId="1" fontId="0" fillId="6" borderId="0" xfId="0" applyNumberFormat="1" applyFill="1" applyAlignment="1">
      <alignment horizontal="left"/>
    </xf>
    <xf numFmtId="1" fontId="8" fillId="0" borderId="0" xfId="0" applyNumberFormat="1" applyFont="1" applyAlignment="1">
      <alignment horizontal="left"/>
    </xf>
    <xf numFmtId="1" fontId="8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top" wrapText="1"/>
    </xf>
    <xf numFmtId="1" fontId="12" fillId="0" borderId="0" xfId="0" applyNumberFormat="1" applyFont="1" applyBorder="1" applyAlignment="1">
      <alignment horizontal="left"/>
    </xf>
    <xf numFmtId="1" fontId="1" fillId="3" borderId="0" xfId="1" applyNumberFormat="1" applyFill="1" applyAlignment="1">
      <alignment horizontal="right" vertical="center" wrapText="1"/>
    </xf>
    <xf numFmtId="1" fontId="3" fillId="0" borderId="0" xfId="0" applyNumberFormat="1" applyFont="1" applyBorder="1" applyAlignment="1">
      <alignment horizontal="right"/>
    </xf>
    <xf numFmtId="1" fontId="3" fillId="0" borderId="0" xfId="0" applyNumberFormat="1" applyFont="1" applyBorder="1" applyAlignment="1">
      <alignment horizontal="right" wrapText="1"/>
    </xf>
    <xf numFmtId="1" fontId="12" fillId="0" borderId="0" xfId="0" applyNumberFormat="1" applyFont="1" applyBorder="1" applyAlignment="1">
      <alignment horizontal="right"/>
    </xf>
    <xf numFmtId="0" fontId="1" fillId="3" borderId="0" xfId="1" applyFill="1" applyBorder="1" applyAlignment="1">
      <alignment horizontal="right" vertical="center" wrapText="1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right" wrapText="1"/>
    </xf>
    <xf numFmtId="0" fontId="12" fillId="0" borderId="0" xfId="0" applyFont="1" applyBorder="1" applyAlignment="1">
      <alignment horizontal="right"/>
    </xf>
    <xf numFmtId="10" fontId="1" fillId="3" borderId="0" xfId="1" applyNumberFormat="1" applyFill="1" applyBorder="1" applyAlignment="1">
      <alignment horizontal="right" vertical="center" wrapText="1"/>
    </xf>
    <xf numFmtId="10" fontId="3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horizontal="right"/>
    </xf>
    <xf numFmtId="9" fontId="0" fillId="6" borderId="0" xfId="0" applyNumberFormat="1" applyFill="1" applyAlignment="1">
      <alignment horizontal="right"/>
    </xf>
    <xf numFmtId="10" fontId="0" fillId="4" borderId="0" xfId="0" applyNumberFormat="1" applyFill="1" applyAlignment="1">
      <alignment horizontal="right"/>
    </xf>
    <xf numFmtId="9" fontId="3" fillId="0" borderId="0" xfId="0" applyNumberFormat="1" applyFont="1" applyAlignment="1">
      <alignment horizontal="right" vertical="center" wrapText="1"/>
    </xf>
    <xf numFmtId="10" fontId="3" fillId="0" borderId="0" xfId="0" applyNumberFormat="1" applyFont="1" applyAlignment="1">
      <alignment horizontal="right" vertical="top"/>
    </xf>
    <xf numFmtId="9" fontId="5" fillId="4" borderId="0" xfId="0" applyNumberFormat="1" applyFont="1" applyFill="1" applyAlignment="1">
      <alignment horizontal="right"/>
    </xf>
    <xf numFmtId="9" fontId="3" fillId="0" borderId="0" xfId="0" applyNumberFormat="1" applyFont="1" applyBorder="1" applyAlignment="1">
      <alignment horizontal="right"/>
    </xf>
    <xf numFmtId="9" fontId="3" fillId="0" borderId="0" xfId="0" applyNumberFormat="1" applyFont="1" applyBorder="1" applyAlignment="1">
      <alignment horizontal="right" wrapText="1"/>
    </xf>
    <xf numFmtId="9" fontId="3" fillId="10" borderId="0" xfId="0" applyNumberFormat="1" applyFont="1" applyFill="1" applyBorder="1" applyAlignment="1">
      <alignment horizontal="right" wrapText="1"/>
    </xf>
    <xf numFmtId="9" fontId="3" fillId="0" borderId="0" xfId="0" applyNumberFormat="1" applyFont="1" applyFill="1" applyAlignment="1">
      <alignment horizontal="right" vertical="center"/>
    </xf>
    <xf numFmtId="9" fontId="4" fillId="0" borderId="0" xfId="0" applyNumberFormat="1" applyFont="1" applyAlignment="1">
      <alignment horizontal="right" vertical="center" wrapText="1"/>
    </xf>
    <xf numFmtId="9" fontId="12" fillId="0" borderId="0" xfId="0" applyNumberFormat="1" applyFont="1" applyBorder="1" applyAlignment="1">
      <alignment horizontal="right"/>
    </xf>
    <xf numFmtId="1" fontId="2" fillId="4" borderId="0" xfId="0" applyNumberFormat="1" applyFont="1" applyFill="1" applyAlignment="1">
      <alignment horizontal="left" vertical="top"/>
    </xf>
    <xf numFmtId="1" fontId="2" fillId="4" borderId="0" xfId="0" applyNumberFormat="1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Border="1" applyAlignment="1">
      <alignment horizontal="left" wrapText="1"/>
    </xf>
  </cellXfs>
  <cellStyles count="2">
    <cellStyle name="Énfasis4" xfId="1" builtinId="41"/>
    <cellStyle name="Normal" xfId="0" builtinId="0"/>
  </cellStyles>
  <dxfs count="0"/>
  <tableStyles count="0" defaultTableStyle="TableStyleMedium2" defaultPivotStyle="PivotStyleMedium9"/>
  <colors>
    <mruColors>
      <color rgb="FF0029E0"/>
      <color rgb="FF002FFF"/>
      <color rgb="FF001E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5"/>
  <sheetViews>
    <sheetView topLeftCell="A192" workbookViewId="0">
      <pane xSplit="1" topLeftCell="B1" activePane="topRight" state="frozen"/>
      <selection pane="topRight" activeCell="A2" sqref="A2:F204"/>
    </sheetView>
  </sheetViews>
  <sheetFormatPr baseColWidth="10" defaultColWidth="9.125" defaultRowHeight="14.25"/>
  <cols>
    <col min="1" max="1" width="50.875" customWidth="1"/>
    <col min="2" max="4" width="19.125" customWidth="1"/>
    <col min="5" max="5" width="30.375" customWidth="1"/>
    <col min="6" max="6" width="19.125" customWidth="1"/>
  </cols>
  <sheetData>
    <row r="1" spans="1:28" ht="32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6"/>
    </row>
    <row r="2" spans="1:28" ht="15">
      <c r="A2" s="32" t="s">
        <v>6</v>
      </c>
      <c r="B2" s="32">
        <v>6</v>
      </c>
      <c r="C2" s="72">
        <v>0</v>
      </c>
      <c r="D2" s="83" t="s">
        <v>7</v>
      </c>
      <c r="E2" s="73" t="s">
        <v>8</v>
      </c>
      <c r="F2" s="321">
        <v>7703038067269</v>
      </c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 spans="1:28" ht="15">
      <c r="A3" s="117" t="s">
        <v>9</v>
      </c>
      <c r="B3" s="74">
        <v>6</v>
      </c>
      <c r="C3" s="75">
        <v>0</v>
      </c>
      <c r="D3" s="336" t="s">
        <v>10</v>
      </c>
      <c r="E3" s="76" t="s">
        <v>11</v>
      </c>
      <c r="F3" s="74">
        <v>7703689317386</v>
      </c>
      <c r="G3" s="74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9"/>
      <c r="AB3" s="19"/>
    </row>
    <row r="4" spans="1:28" ht="30">
      <c r="A4" s="76" t="s">
        <v>13</v>
      </c>
      <c r="B4" s="74">
        <v>2</v>
      </c>
      <c r="C4" s="75">
        <v>0</v>
      </c>
      <c r="D4" s="336" t="s">
        <v>14</v>
      </c>
      <c r="E4" s="76" t="s">
        <v>15</v>
      </c>
      <c r="F4" s="74">
        <v>7708952877130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</row>
    <row r="5" spans="1:28" ht="30">
      <c r="A5" s="117" t="s">
        <v>16</v>
      </c>
      <c r="B5" s="117">
        <v>6</v>
      </c>
      <c r="C5" s="117">
        <v>0</v>
      </c>
      <c r="D5" s="117" t="s">
        <v>17</v>
      </c>
      <c r="E5" s="112" t="s">
        <v>18</v>
      </c>
      <c r="F5" s="117">
        <v>7707355058313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8" ht="15">
      <c r="A6" s="76" t="s">
        <v>19</v>
      </c>
      <c r="B6" s="76">
        <v>1</v>
      </c>
      <c r="C6" s="393">
        <v>0</v>
      </c>
      <c r="D6" s="91" t="s">
        <v>20</v>
      </c>
      <c r="E6" s="76" t="s">
        <v>21</v>
      </c>
      <c r="F6" s="353">
        <v>7703038328797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8" ht="29.25">
      <c r="A7" s="28" t="s">
        <v>22</v>
      </c>
      <c r="B7" s="30">
        <v>6</v>
      </c>
      <c r="C7" s="30">
        <v>0</v>
      </c>
      <c r="D7" s="30" t="s">
        <v>23</v>
      </c>
      <c r="E7" s="24" t="s">
        <v>24</v>
      </c>
      <c r="F7" s="28">
        <v>7705959885229</v>
      </c>
      <c r="AA7" s="19"/>
      <c r="AB7" s="19"/>
    </row>
    <row r="8" spans="1:28" s="29" customFormat="1"/>
    <row r="9" spans="1:28" ht="29.25">
      <c r="A9" t="s">
        <v>25</v>
      </c>
      <c r="B9" s="39">
        <v>1</v>
      </c>
      <c r="C9" s="133">
        <v>0</v>
      </c>
      <c r="D9" t="s">
        <v>26</v>
      </c>
      <c r="E9" s="22" t="s">
        <v>27</v>
      </c>
      <c r="F9">
        <v>7861051621902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5">
      <c r="A10" s="112" t="s">
        <v>28</v>
      </c>
      <c r="B10" s="117">
        <v>1</v>
      </c>
      <c r="C10" s="345">
        <v>0</v>
      </c>
      <c r="D10" s="345" t="s">
        <v>29</v>
      </c>
      <c r="E10" s="117" t="s">
        <v>30</v>
      </c>
      <c r="F10" s="117">
        <v>7703546153508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8" ht="15">
      <c r="A11" s="7" t="s">
        <v>31</v>
      </c>
      <c r="B11" s="8">
        <v>4</v>
      </c>
      <c r="C11" s="9">
        <v>0</v>
      </c>
      <c r="D11" s="9" t="s">
        <v>32</v>
      </c>
      <c r="E11" s="8" t="s">
        <v>33</v>
      </c>
      <c r="F11" s="8">
        <v>7705486010002</v>
      </c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8">
      <c r="A12" t="s">
        <v>34</v>
      </c>
      <c r="B12">
        <v>1</v>
      </c>
      <c r="C12" s="133">
        <v>0</v>
      </c>
      <c r="D12" s="23" t="s">
        <v>35</v>
      </c>
      <c r="E12" s="22" t="s">
        <v>36</v>
      </c>
      <c r="F12">
        <v>7702870003190</v>
      </c>
      <c r="G12" s="23"/>
      <c r="H12" s="23"/>
      <c r="I12" s="23"/>
      <c r="J12" s="23"/>
      <c r="K12" s="23"/>
      <c r="L12" s="23"/>
      <c r="M12" s="23"/>
      <c r="N12" s="23"/>
      <c r="O12" s="23"/>
    </row>
    <row r="13" spans="1:28" ht="15">
      <c r="A13" s="53" t="s">
        <v>37</v>
      </c>
      <c r="B13" s="96">
        <v>1</v>
      </c>
      <c r="C13" s="97">
        <v>0.19</v>
      </c>
      <c r="D13" s="96" t="s">
        <v>38</v>
      </c>
      <c r="E13" s="56" t="s">
        <v>39</v>
      </c>
      <c r="F13" s="53">
        <v>7702277244271</v>
      </c>
    </row>
    <row r="14" spans="1:28" ht="30">
      <c r="A14" s="19" t="s">
        <v>40</v>
      </c>
      <c r="B14" s="117">
        <v>6</v>
      </c>
      <c r="C14" s="19">
        <v>0</v>
      </c>
      <c r="D14" s="19" t="s">
        <v>7</v>
      </c>
      <c r="E14" s="43" t="s">
        <v>41</v>
      </c>
      <c r="F14" s="19">
        <v>7705451000106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>
      <c r="A15" s="8" t="s">
        <v>42</v>
      </c>
      <c r="B15" s="8">
        <v>4</v>
      </c>
      <c r="C15" s="9">
        <v>0</v>
      </c>
      <c r="D15" s="8" t="s">
        <v>43</v>
      </c>
      <c r="E15" s="8" t="s">
        <v>44</v>
      </c>
      <c r="F15" s="8">
        <v>7702870004425</v>
      </c>
      <c r="G15" s="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t="15">
      <c r="A17" s="117" t="s">
        <v>45</v>
      </c>
      <c r="B17" s="117">
        <v>5</v>
      </c>
      <c r="C17" s="345">
        <v>0</v>
      </c>
      <c r="D17" s="117" t="s">
        <v>46</v>
      </c>
      <c r="E17" s="112" t="s">
        <v>48</v>
      </c>
      <c r="F17" s="117">
        <v>7704412080607</v>
      </c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9"/>
      <c r="AB17" s="19"/>
    </row>
    <row r="18" spans="1:28">
      <c r="A18" t="s">
        <v>49</v>
      </c>
      <c r="B18">
        <v>3</v>
      </c>
      <c r="C18">
        <v>0</v>
      </c>
      <c r="D18" t="s">
        <v>50</v>
      </c>
      <c r="E18" t="s">
        <v>51</v>
      </c>
      <c r="F18">
        <v>7707019365436</v>
      </c>
    </row>
    <row r="19" spans="1:28" ht="29.25">
      <c r="A19" s="22" t="s">
        <v>52</v>
      </c>
      <c r="B19" s="39">
        <v>1</v>
      </c>
      <c r="C19" s="133">
        <v>0</v>
      </c>
      <c r="D19" t="s">
        <v>53</v>
      </c>
      <c r="E19" s="22" t="s">
        <v>54</v>
      </c>
      <c r="F19" s="42">
        <v>7703038050346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5">
      <c r="A20" s="73" t="s">
        <v>55</v>
      </c>
      <c r="B20" s="32">
        <v>1</v>
      </c>
      <c r="C20" s="72">
        <v>0</v>
      </c>
      <c r="D20" s="81" t="s">
        <v>56</v>
      </c>
      <c r="E20" s="32" t="s">
        <v>57</v>
      </c>
      <c r="F20" s="321">
        <v>7709990697889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117"/>
      <c r="AA20" s="117"/>
      <c r="AB20" s="117"/>
    </row>
    <row r="21" spans="1:28" ht="15">
      <c r="A21" s="24" t="s">
        <v>58</v>
      </c>
      <c r="B21" s="30">
        <v>1</v>
      </c>
      <c r="C21" s="31">
        <v>0</v>
      </c>
      <c r="D21" s="98" t="s">
        <v>59</v>
      </c>
      <c r="E21" s="24" t="s">
        <v>60</v>
      </c>
      <c r="F21" s="142">
        <v>7706127006378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117"/>
      <c r="AA21" s="117"/>
      <c r="AB21" s="117"/>
    </row>
    <row r="22" spans="1:28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28.5">
      <c r="A23" s="7" t="s">
        <v>61</v>
      </c>
      <c r="B23" s="28">
        <v>5</v>
      </c>
      <c r="C23" s="31">
        <v>0</v>
      </c>
      <c r="D23" s="98" t="s">
        <v>62</v>
      </c>
      <c r="E23" s="7" t="s">
        <v>63</v>
      </c>
      <c r="F23" s="142">
        <v>7703153031251</v>
      </c>
      <c r="G23" s="28"/>
      <c r="H23" s="28"/>
      <c r="I23" s="28"/>
      <c r="J23" s="28"/>
      <c r="K23" s="28"/>
      <c r="L23" s="28"/>
      <c r="M23" s="28"/>
      <c r="N23" s="28"/>
      <c r="O23" s="28"/>
    </row>
    <row r="24" spans="1:28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28.5">
      <c r="A25" s="12" t="s">
        <v>64</v>
      </c>
      <c r="B25" s="14">
        <v>4</v>
      </c>
      <c r="C25" s="105">
        <v>0</v>
      </c>
      <c r="D25" s="137" t="s">
        <v>65</v>
      </c>
      <c r="E25" s="121" t="s">
        <v>66</v>
      </c>
      <c r="F25" s="61">
        <v>7702870003596</v>
      </c>
      <c r="G25" s="14"/>
      <c r="H25" s="14"/>
      <c r="I25" s="14"/>
      <c r="J25" s="14"/>
      <c r="K25" s="14"/>
      <c r="L25" s="14"/>
      <c r="M25" s="14"/>
      <c r="N25" s="14"/>
      <c r="O25" s="14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28.5">
      <c r="A26" s="12" t="s">
        <v>64</v>
      </c>
      <c r="B26" s="14">
        <v>2</v>
      </c>
      <c r="C26" s="105">
        <v>0</v>
      </c>
      <c r="D26" s="137" t="s">
        <v>65</v>
      </c>
      <c r="E26" s="121" t="s">
        <v>66</v>
      </c>
      <c r="F26" s="61">
        <v>7702870003596</v>
      </c>
      <c r="G26" s="14"/>
      <c r="H26" s="14"/>
      <c r="I26" s="14"/>
      <c r="J26" s="14"/>
      <c r="K26" s="14"/>
      <c r="L26" s="14"/>
      <c r="M26" s="14"/>
      <c r="N26" s="14"/>
      <c r="O26" s="14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15">
      <c r="A27" s="117" t="s">
        <v>67</v>
      </c>
      <c r="B27" s="117">
        <v>1</v>
      </c>
      <c r="C27" s="345">
        <v>0</v>
      </c>
      <c r="D27" s="399" t="s">
        <v>68</v>
      </c>
      <c r="E27" s="117" t="s">
        <v>69</v>
      </c>
      <c r="F27" s="392">
        <v>7803510773319</v>
      </c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</row>
    <row r="28" spans="1:28" ht="30">
      <c r="A28" s="73" t="s">
        <v>70</v>
      </c>
      <c r="B28" s="32">
        <v>3</v>
      </c>
      <c r="C28" s="32">
        <v>0</v>
      </c>
      <c r="D28" s="83" t="s">
        <v>71</v>
      </c>
      <c r="E28" s="73" t="s">
        <v>72</v>
      </c>
      <c r="F28" s="321">
        <v>7702027434020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8" ht="28.5">
      <c r="A29" s="13" t="s">
        <v>73</v>
      </c>
      <c r="B29" s="12">
        <v>3</v>
      </c>
      <c r="C29" s="59">
        <v>0</v>
      </c>
      <c r="D29" s="137" t="s">
        <v>74</v>
      </c>
      <c r="E29" s="13" t="s">
        <v>75</v>
      </c>
      <c r="F29" s="411">
        <v>7707019466218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AA29" s="117"/>
      <c r="AB29" s="117"/>
    </row>
    <row r="30" spans="1:28" ht="15">
      <c r="A30" s="12" t="s">
        <v>76</v>
      </c>
      <c r="B30" s="12">
        <v>1</v>
      </c>
      <c r="C30" s="59">
        <v>0</v>
      </c>
      <c r="D30" s="12" t="s">
        <v>77</v>
      </c>
      <c r="E30" s="12" t="s">
        <v>78</v>
      </c>
      <c r="F30" s="12">
        <v>7460536554324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39"/>
      <c r="AA30" s="117"/>
      <c r="AB30" s="117"/>
    </row>
    <row r="31" spans="1:28" ht="30">
      <c r="A31" s="453" t="s">
        <v>79</v>
      </c>
      <c r="B31" s="454">
        <v>8</v>
      </c>
      <c r="C31" s="455">
        <v>0</v>
      </c>
      <c r="D31" s="455" t="s">
        <v>80</v>
      </c>
      <c r="E31" s="453" t="s">
        <v>81</v>
      </c>
      <c r="F31" s="456">
        <v>7705366100014</v>
      </c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5"/>
      <c r="R31" s="405"/>
      <c r="S31" s="405"/>
      <c r="T31" s="405"/>
      <c r="U31" s="405"/>
      <c r="V31" s="405"/>
      <c r="W31" s="405"/>
      <c r="X31" s="405"/>
      <c r="Y31" s="405"/>
      <c r="Z31" s="405"/>
      <c r="AA31" s="271"/>
      <c r="AB31" s="271"/>
    </row>
    <row r="32" spans="1:28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28.5">
      <c r="A33" t="s">
        <v>82</v>
      </c>
      <c r="B33">
        <v>1</v>
      </c>
      <c r="C33">
        <v>0</v>
      </c>
      <c r="D33" t="s">
        <v>29</v>
      </c>
      <c r="E33" s="22" t="s">
        <v>83</v>
      </c>
      <c r="F33">
        <v>7709798683312</v>
      </c>
    </row>
    <row r="34" spans="1:28" ht="30">
      <c r="A34" s="73" t="s">
        <v>84</v>
      </c>
      <c r="B34" s="32">
        <v>4</v>
      </c>
      <c r="C34" s="72">
        <v>0</v>
      </c>
      <c r="D34" s="83" t="s">
        <v>85</v>
      </c>
      <c r="E34" s="73" t="s">
        <v>86</v>
      </c>
      <c r="F34" s="321">
        <v>7709990383621</v>
      </c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9"/>
      <c r="AB34" s="19"/>
    </row>
    <row r="35" spans="1:28">
      <c r="A35" s="8" t="s">
        <v>87</v>
      </c>
      <c r="B35" s="8">
        <v>4</v>
      </c>
      <c r="C35" s="9">
        <v>0</v>
      </c>
      <c r="D35" s="8" t="s">
        <v>88</v>
      </c>
      <c r="E35" s="8" t="s">
        <v>89</v>
      </c>
      <c r="F35" s="447">
        <v>7896116865618</v>
      </c>
      <c r="G35" s="8"/>
      <c r="H35" s="8"/>
      <c r="I35" s="8"/>
      <c r="J35" s="8"/>
      <c r="K35" s="8"/>
      <c r="L35" s="8"/>
      <c r="M35" s="8"/>
      <c r="N35" s="8"/>
      <c r="O35" s="8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15">
      <c r="A36" s="18" t="s">
        <v>90</v>
      </c>
      <c r="B36" s="32">
        <v>2</v>
      </c>
      <c r="C36" s="124">
        <v>0.19</v>
      </c>
      <c r="D36" s="204" t="s">
        <v>91</v>
      </c>
      <c r="E36" s="32" t="s">
        <v>92</v>
      </c>
      <c r="F36" s="20">
        <v>7707277580459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19"/>
      <c r="AA36" s="19"/>
      <c r="AB36" s="19"/>
    </row>
    <row r="37" spans="1:28" ht="15">
      <c r="A37" s="74" t="s">
        <v>93</v>
      </c>
      <c r="B37" s="74">
        <v>1</v>
      </c>
      <c r="C37" s="75">
        <v>0</v>
      </c>
      <c r="D37" s="336" t="s">
        <v>94</v>
      </c>
      <c r="E37" s="74" t="s">
        <v>95</v>
      </c>
      <c r="F37" s="378">
        <v>7702184011430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117"/>
      <c r="AA37" s="19"/>
      <c r="AB37" s="19"/>
    </row>
    <row r="38" spans="1:28" ht="15">
      <c r="A38" t="s">
        <v>96</v>
      </c>
      <c r="B38" s="39">
        <v>3</v>
      </c>
      <c r="C38" s="40">
        <v>0</v>
      </c>
      <c r="D38" s="94" t="s">
        <v>97</v>
      </c>
      <c r="E38" t="s">
        <v>98</v>
      </c>
      <c r="F38">
        <v>7703712030275</v>
      </c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8" ht="15">
      <c r="A39" s="152" t="s">
        <v>99</v>
      </c>
      <c r="B39" s="96">
        <v>1</v>
      </c>
      <c r="C39" s="55">
        <v>0</v>
      </c>
      <c r="D39" s="225" t="s">
        <v>100</v>
      </c>
      <c r="E39" s="152" t="s">
        <v>101</v>
      </c>
      <c r="F39" s="96">
        <v>650240003950</v>
      </c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19"/>
      <c r="AA39" s="19"/>
      <c r="AB39" s="19"/>
    </row>
    <row r="40" spans="1:28" ht="30">
      <c r="A40" s="18" t="s">
        <v>102</v>
      </c>
      <c r="B40" s="32">
        <v>1</v>
      </c>
      <c r="C40" s="72">
        <v>0</v>
      </c>
      <c r="D40" s="32" t="s">
        <v>103</v>
      </c>
      <c r="E40" s="16" t="s">
        <v>104</v>
      </c>
      <c r="F40" s="20">
        <v>7703038050452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117"/>
      <c r="AA40" s="117"/>
      <c r="AB40" s="117"/>
    </row>
    <row r="41" spans="1:28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spans="1:28" ht="30">
      <c r="A42" s="19" t="s">
        <v>105</v>
      </c>
      <c r="B42" s="117">
        <v>2</v>
      </c>
      <c r="C42" s="19">
        <v>0</v>
      </c>
      <c r="D42" s="19" t="s">
        <v>106</v>
      </c>
      <c r="E42" s="43" t="s">
        <v>107</v>
      </c>
      <c r="F42" s="19">
        <v>8903726382844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spans="1:28" ht="30">
      <c r="A44" s="43" t="s">
        <v>108</v>
      </c>
      <c r="B44" s="117">
        <v>4</v>
      </c>
      <c r="C44" s="19">
        <v>0</v>
      </c>
      <c r="D44" s="19" t="s">
        <v>109</v>
      </c>
      <c r="E44" s="43" t="s">
        <v>110</v>
      </c>
      <c r="F44" s="19">
        <v>7703712036529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5">
      <c r="A45" s="8" t="s">
        <v>111</v>
      </c>
      <c r="B45" s="8">
        <v>3</v>
      </c>
      <c r="C45" s="9">
        <v>0</v>
      </c>
      <c r="D45" s="8" t="s">
        <v>112</v>
      </c>
      <c r="E45" s="8" t="s">
        <v>113</v>
      </c>
      <c r="F45" s="447">
        <v>7703445050014</v>
      </c>
      <c r="G45" s="8"/>
      <c r="H45" s="8"/>
      <c r="I45" s="8"/>
      <c r="J45" s="8"/>
      <c r="K45" s="8"/>
      <c r="L45" s="8"/>
      <c r="M45" s="8"/>
      <c r="N45" s="8"/>
      <c r="O45" s="8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39"/>
      <c r="AB45" s="117"/>
    </row>
    <row r="46" spans="1:28" ht="15">
      <c r="A46" s="92" t="s">
        <v>114</v>
      </c>
      <c r="B46" s="92">
        <v>2</v>
      </c>
      <c r="C46" s="93">
        <v>0</v>
      </c>
      <c r="D46" s="92" t="s">
        <v>115</v>
      </c>
      <c r="E46" s="92" t="s">
        <v>116</v>
      </c>
      <c r="F46" s="92">
        <v>8904159631646</v>
      </c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 spans="1:28" ht="28.5">
      <c r="A47" s="69" t="s">
        <v>117</v>
      </c>
      <c r="B47" s="14">
        <v>3</v>
      </c>
      <c r="C47" s="105">
        <v>0</v>
      </c>
      <c r="D47" s="14" t="s">
        <v>118</v>
      </c>
      <c r="E47" s="69" t="s">
        <v>119</v>
      </c>
      <c r="F47" s="61">
        <v>7706309320117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spans="1:28" ht="15">
      <c r="A49" s="32" t="s">
        <v>120</v>
      </c>
      <c r="B49" s="32">
        <v>4</v>
      </c>
      <c r="C49" s="72">
        <v>0</v>
      </c>
      <c r="D49" s="72" t="s">
        <v>38</v>
      </c>
      <c r="E49" s="32" t="s">
        <v>121</v>
      </c>
      <c r="F49" s="32">
        <v>7501125176548</v>
      </c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</row>
    <row r="50" spans="1:28" ht="28.5">
      <c r="A50" s="252" t="s">
        <v>122</v>
      </c>
      <c r="B50" s="242">
        <v>1</v>
      </c>
      <c r="C50" s="255">
        <v>0.19</v>
      </c>
      <c r="D50" s="219" t="s">
        <v>123</v>
      </c>
      <c r="E50" s="252" t="s">
        <v>124</v>
      </c>
      <c r="F50" s="242">
        <v>751273778584</v>
      </c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</row>
    <row r="51" spans="1:28" ht="15">
      <c r="A51" s="384" t="s">
        <v>125</v>
      </c>
      <c r="B51" s="384">
        <v>4</v>
      </c>
      <c r="C51" s="385">
        <v>0</v>
      </c>
      <c r="D51" s="384" t="s">
        <v>126</v>
      </c>
      <c r="E51" s="384" t="s">
        <v>127</v>
      </c>
      <c r="F51" s="384">
        <v>7702870071526</v>
      </c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117"/>
      <c r="AA51" s="117"/>
      <c r="AB51" s="117"/>
    </row>
    <row r="52" spans="1:28" ht="29.25">
      <c r="A52" s="22" t="s">
        <v>128</v>
      </c>
      <c r="B52" s="280">
        <v>3</v>
      </c>
      <c r="C52" s="281">
        <v>0.19</v>
      </c>
      <c r="D52" s="280" t="s">
        <v>129</v>
      </c>
      <c r="E52" s="22" t="s">
        <v>130</v>
      </c>
      <c r="F52" s="282">
        <v>7705471206533</v>
      </c>
      <c r="G52" s="283"/>
      <c r="H52" s="283"/>
      <c r="I52" s="283"/>
      <c r="J52" s="283"/>
      <c r="K52" s="283"/>
      <c r="L52" s="283"/>
      <c r="M52" s="283"/>
      <c r="N52" s="283"/>
      <c r="O52" s="283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 spans="1:28" ht="15">
      <c r="A53" s="22" t="s">
        <v>131</v>
      </c>
      <c r="B53" s="39">
        <v>6</v>
      </c>
      <c r="C53" s="40">
        <v>0</v>
      </c>
      <c r="D53" s="39" t="s">
        <v>85</v>
      </c>
      <c r="E53" t="s">
        <v>75</v>
      </c>
      <c r="F53">
        <v>7703712030527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AB53" s="19"/>
    </row>
    <row r="54" spans="1:28" ht="30">
      <c r="A54" s="73" t="s">
        <v>132</v>
      </c>
      <c r="B54" s="32">
        <v>2</v>
      </c>
      <c r="C54" s="72">
        <v>0</v>
      </c>
      <c r="D54" s="74" t="s">
        <v>133</v>
      </c>
      <c r="E54" s="73" t="s">
        <v>134</v>
      </c>
      <c r="F54" s="321">
        <v>7705959881016</v>
      </c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117"/>
      <c r="AA54" s="19"/>
      <c r="AB54" s="19"/>
    </row>
    <row r="55" spans="1:28" ht="28.5">
      <c r="A55" s="22" t="s">
        <v>135</v>
      </c>
      <c r="B55">
        <v>2</v>
      </c>
      <c r="C55" s="133">
        <v>0.19</v>
      </c>
      <c r="D55" t="s">
        <v>38</v>
      </c>
      <c r="E55" s="22" t="s">
        <v>136</v>
      </c>
      <c r="F55">
        <v>7707346260398</v>
      </c>
    </row>
    <row r="56" spans="1:28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spans="1:28" ht="15">
      <c r="A57" s="13" t="s">
        <v>137</v>
      </c>
      <c r="B57" s="13">
        <v>3</v>
      </c>
      <c r="C57" s="334">
        <v>0</v>
      </c>
      <c r="D57" s="14" t="s">
        <v>7</v>
      </c>
      <c r="E57" s="13" t="s">
        <v>138</v>
      </c>
      <c r="F57" s="13">
        <v>7705451023198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9"/>
      <c r="AA57" s="19"/>
      <c r="AB57" s="19"/>
    </row>
    <row r="58" spans="1:28" ht="15">
      <c r="A58" s="13" t="s">
        <v>137</v>
      </c>
      <c r="B58" s="13">
        <v>1</v>
      </c>
      <c r="C58" s="334">
        <v>0</v>
      </c>
      <c r="D58" s="14" t="s">
        <v>7</v>
      </c>
      <c r="E58" s="13" t="s">
        <v>138</v>
      </c>
      <c r="F58" s="13">
        <v>7705451023198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9"/>
      <c r="AA58" s="19"/>
      <c r="AB58" s="19"/>
    </row>
    <row r="59" spans="1:28" ht="15">
      <c r="A59" s="53" t="s">
        <v>139</v>
      </c>
      <c r="B59" s="96">
        <v>1</v>
      </c>
      <c r="C59" s="122">
        <v>0</v>
      </c>
      <c r="D59" s="53" t="s">
        <v>91</v>
      </c>
      <c r="E59" s="53" t="s">
        <v>140</v>
      </c>
      <c r="F59" s="53">
        <v>7707210530015</v>
      </c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9"/>
      <c r="AB59" s="19"/>
    </row>
    <row r="60" spans="1:28" ht="15">
      <c r="A60" s="13" t="s">
        <v>141</v>
      </c>
      <c r="B60" s="14">
        <v>1</v>
      </c>
      <c r="C60" s="14">
        <v>0</v>
      </c>
      <c r="D60" s="137" t="s">
        <v>142</v>
      </c>
      <c r="E60" s="121" t="s">
        <v>143</v>
      </c>
      <c r="F60" s="14">
        <v>7803510002396</v>
      </c>
      <c r="G60" s="14"/>
      <c r="H60" s="14"/>
      <c r="I60" s="14"/>
      <c r="J60" s="14"/>
      <c r="K60" s="14"/>
      <c r="L60" s="14"/>
      <c r="M60" s="14"/>
      <c r="N60" s="14"/>
      <c r="O60" s="14"/>
      <c r="AA60" s="19"/>
      <c r="AB60" s="19"/>
    </row>
    <row r="61" spans="1:28" ht="15">
      <c r="A61" s="74" t="s">
        <v>144</v>
      </c>
      <c r="B61" s="74">
        <v>3</v>
      </c>
      <c r="C61" s="75">
        <v>0</v>
      </c>
      <c r="D61" s="74" t="s">
        <v>145</v>
      </c>
      <c r="E61" s="74" t="s">
        <v>146</v>
      </c>
      <c r="F61" s="74">
        <v>7702605103294</v>
      </c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</row>
    <row r="62" spans="1:28" ht="30">
      <c r="A62" s="453" t="s">
        <v>79</v>
      </c>
      <c r="B62" s="454">
        <v>6</v>
      </c>
      <c r="C62" s="455">
        <v>0</v>
      </c>
      <c r="D62" s="455" t="s">
        <v>80</v>
      </c>
      <c r="E62" s="453" t="s">
        <v>81</v>
      </c>
      <c r="F62" s="456">
        <v>7705366100014</v>
      </c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5"/>
      <c r="Z62" s="405"/>
      <c r="AA62" s="271"/>
      <c r="AB62" s="271"/>
    </row>
    <row r="63" spans="1:28" ht="30">
      <c r="A63" s="117" t="s">
        <v>147</v>
      </c>
      <c r="B63" s="117">
        <v>3</v>
      </c>
      <c r="C63" s="117">
        <v>0</v>
      </c>
      <c r="D63" s="117" t="s">
        <v>85</v>
      </c>
      <c r="E63" s="112" t="s">
        <v>148</v>
      </c>
      <c r="F63" s="117">
        <v>7709947559772</v>
      </c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8" ht="15">
      <c r="A64" s="168" t="s">
        <v>149</v>
      </c>
      <c r="B64" s="168">
        <v>2</v>
      </c>
      <c r="C64" s="170">
        <v>0</v>
      </c>
      <c r="D64" s="168" t="s">
        <v>150</v>
      </c>
      <c r="E64" s="168" t="s">
        <v>151</v>
      </c>
      <c r="F64" s="444">
        <v>736085132069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</row>
    <row r="65" spans="1:28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spans="1:28" ht="15">
      <c r="A66" s="117" t="s">
        <v>152</v>
      </c>
      <c r="B66" s="117">
        <v>6</v>
      </c>
      <c r="C66" s="345">
        <v>0</v>
      </c>
      <c r="D66" s="117" t="s">
        <v>153</v>
      </c>
      <c r="E66" s="117" t="s">
        <v>154</v>
      </c>
      <c r="F66" s="392">
        <v>7706569000958</v>
      </c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 spans="1:28" ht="30">
      <c r="A67" s="73" t="s">
        <v>84</v>
      </c>
      <c r="B67" s="32">
        <v>6</v>
      </c>
      <c r="C67" s="72">
        <v>0</v>
      </c>
      <c r="D67" s="83" t="s">
        <v>85</v>
      </c>
      <c r="E67" s="73" t="s">
        <v>86</v>
      </c>
      <c r="F67" s="321">
        <v>7709990383621</v>
      </c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9"/>
      <c r="AB67" s="19"/>
    </row>
    <row r="68" spans="1:28" ht="30">
      <c r="A68" s="76" t="s">
        <v>13</v>
      </c>
      <c r="B68" s="74">
        <v>2</v>
      </c>
      <c r="C68" s="75">
        <v>0</v>
      </c>
      <c r="D68" s="336" t="s">
        <v>14</v>
      </c>
      <c r="E68" s="76" t="s">
        <v>15</v>
      </c>
      <c r="F68" s="74">
        <v>7708952877130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8" ht="30">
      <c r="A69" s="16" t="s">
        <v>155</v>
      </c>
      <c r="B69" s="117">
        <v>1</v>
      </c>
      <c r="C69" s="72">
        <v>0</v>
      </c>
      <c r="D69" s="204" t="s">
        <v>156</v>
      </c>
      <c r="E69" s="35" t="s">
        <v>54</v>
      </c>
      <c r="F69" s="110">
        <v>7703038066606</v>
      </c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19"/>
      <c r="AB69" s="19"/>
    </row>
    <row r="70" spans="1:28" ht="28.5">
      <c r="A70" s="22" t="s">
        <v>157</v>
      </c>
      <c r="B70" s="23">
        <v>2</v>
      </c>
      <c r="C70" s="51">
        <v>0</v>
      </c>
      <c r="D70" s="23" t="s">
        <v>158</v>
      </c>
      <c r="E70" s="39" t="s">
        <v>159</v>
      </c>
      <c r="F70">
        <v>7707263003986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8" ht="15">
      <c r="A71" s="74" t="s">
        <v>160</v>
      </c>
      <c r="B71" s="74">
        <v>4</v>
      </c>
      <c r="C71" s="75">
        <v>0</v>
      </c>
      <c r="D71" s="75" t="s">
        <v>14</v>
      </c>
      <c r="E71" s="74" t="s">
        <v>161</v>
      </c>
      <c r="F71" s="74">
        <v>7704412118546</v>
      </c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</row>
    <row r="72" spans="1:28" ht="15">
      <c r="A72" s="74" t="s">
        <v>162</v>
      </c>
      <c r="B72" s="74">
        <v>6</v>
      </c>
      <c r="C72" s="75">
        <v>0</v>
      </c>
      <c r="D72" s="74" t="s">
        <v>109</v>
      </c>
      <c r="E72" s="74" t="s">
        <v>163</v>
      </c>
      <c r="F72" s="74">
        <v>7706569001184</v>
      </c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 spans="1:28" ht="30">
      <c r="A73" s="73" t="s">
        <v>164</v>
      </c>
      <c r="B73" s="74">
        <v>4</v>
      </c>
      <c r="C73" s="75">
        <v>0</v>
      </c>
      <c r="D73" s="74" t="s">
        <v>85</v>
      </c>
      <c r="E73" s="73" t="s">
        <v>165</v>
      </c>
      <c r="F73" s="379">
        <v>7501033961557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9"/>
      <c r="AB73" s="19"/>
    </row>
    <row r="74" spans="1:28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spans="1:28" ht="30">
      <c r="A75" s="19" t="s">
        <v>166</v>
      </c>
      <c r="B75" s="19">
        <v>2</v>
      </c>
      <c r="C75" s="465">
        <v>0</v>
      </c>
      <c r="D75" s="466" t="s">
        <v>167</v>
      </c>
      <c r="E75" s="43" t="s">
        <v>168</v>
      </c>
      <c r="F75" s="19">
        <v>7702057011994</v>
      </c>
      <c r="G75" s="37"/>
      <c r="H75" s="37"/>
      <c r="I75" s="37"/>
      <c r="J75" s="37"/>
      <c r="K75" s="37"/>
      <c r="L75" s="37"/>
      <c r="M75" s="37"/>
      <c r="N75" s="37"/>
      <c r="O75" s="37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8" ht="15">
      <c r="A76" s="32" t="s">
        <v>169</v>
      </c>
      <c r="B76" s="32">
        <v>2</v>
      </c>
      <c r="C76" s="72">
        <v>0</v>
      </c>
      <c r="D76" s="32" t="s">
        <v>170</v>
      </c>
      <c r="E76" s="73" t="s">
        <v>171</v>
      </c>
      <c r="F76" s="32">
        <v>7709071926723</v>
      </c>
      <c r="G76" s="32"/>
      <c r="H76" s="32"/>
      <c r="I76" s="32"/>
      <c r="J76" s="32"/>
      <c r="K76" s="32"/>
      <c r="L76" s="32"/>
      <c r="M76" s="32"/>
      <c r="N76" s="32"/>
      <c r="O76" s="32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</row>
    <row r="77" spans="1:28" ht="28.5">
      <c r="A77" s="69" t="s">
        <v>172</v>
      </c>
      <c r="B77" s="12">
        <v>2</v>
      </c>
      <c r="C77" s="105">
        <v>0</v>
      </c>
      <c r="D77" s="137" t="s">
        <v>173</v>
      </c>
      <c r="E77" s="13" t="s">
        <v>174</v>
      </c>
      <c r="F77" s="61">
        <v>7703712012110</v>
      </c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9"/>
    </row>
    <row r="78" spans="1:2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spans="1:28" ht="15">
      <c r="A79" s="32" t="s">
        <v>120</v>
      </c>
      <c r="B79" s="32">
        <v>6</v>
      </c>
      <c r="C79" s="72">
        <v>0</v>
      </c>
      <c r="D79" s="72" t="s">
        <v>38</v>
      </c>
      <c r="E79" s="32" t="s">
        <v>121</v>
      </c>
      <c r="F79" s="32">
        <v>7501125176548</v>
      </c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</row>
    <row r="80" spans="1:28" ht="30">
      <c r="A80" s="32" t="s">
        <v>175</v>
      </c>
      <c r="B80" s="32">
        <v>4</v>
      </c>
      <c r="C80" s="72">
        <v>0</v>
      </c>
      <c r="D80" s="72" t="s">
        <v>38</v>
      </c>
      <c r="E80" s="76" t="s">
        <v>121</v>
      </c>
      <c r="F80" s="321">
        <v>7501125176470</v>
      </c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 spans="1:28" ht="28.5">
      <c r="A81" s="64" t="s">
        <v>176</v>
      </c>
      <c r="B81" s="102">
        <v>1</v>
      </c>
      <c r="C81" s="101">
        <v>0.19</v>
      </c>
      <c r="D81" s="102" t="s">
        <v>68</v>
      </c>
      <c r="E81" s="64" t="s">
        <v>177</v>
      </c>
      <c r="F81" s="68">
        <v>7891024179925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8" ht="15">
      <c r="A82" s="76" t="s">
        <v>178</v>
      </c>
      <c r="B82" s="74">
        <v>5</v>
      </c>
      <c r="C82" s="75">
        <v>0</v>
      </c>
      <c r="D82" s="74" t="s">
        <v>10</v>
      </c>
      <c r="E82" s="74" t="s">
        <v>179</v>
      </c>
      <c r="F82" s="378">
        <v>7730766003375</v>
      </c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9"/>
      <c r="AB82" s="19"/>
    </row>
    <row r="83" spans="1:28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ht="15">
      <c r="A84" s="24" t="s">
        <v>180</v>
      </c>
      <c r="B84" s="8">
        <v>4</v>
      </c>
      <c r="C84" s="9">
        <v>0</v>
      </c>
      <c r="D84" s="8" t="s">
        <v>181</v>
      </c>
      <c r="E84" s="24" t="s">
        <v>182</v>
      </c>
      <c r="F84" s="142">
        <v>7707288826706</v>
      </c>
      <c r="G84" s="28"/>
      <c r="H84" s="28"/>
      <c r="I84" s="28"/>
      <c r="J84" s="28"/>
      <c r="K84" s="28"/>
      <c r="L84" s="28"/>
      <c r="M84" s="28"/>
      <c r="N84" s="28"/>
      <c r="O84" s="28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19"/>
      <c r="AA84" s="19"/>
      <c r="AB84" s="19"/>
    </row>
    <row r="85" spans="1:28" ht="15">
      <c r="A85" s="12" t="s">
        <v>183</v>
      </c>
      <c r="B85" s="12">
        <v>4</v>
      </c>
      <c r="C85" s="59">
        <v>0</v>
      </c>
      <c r="D85" s="12" t="s">
        <v>118</v>
      </c>
      <c r="E85" s="12" t="s">
        <v>184</v>
      </c>
      <c r="F85" s="308">
        <v>7703712012097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17"/>
      <c r="AA85" s="117"/>
      <c r="AB85" s="117"/>
    </row>
    <row r="86" spans="1:28">
      <c r="A86" s="24" t="s">
        <v>185</v>
      </c>
      <c r="B86" s="30">
        <v>5</v>
      </c>
      <c r="C86" s="105">
        <v>0</v>
      </c>
      <c r="D86" s="137" t="s">
        <v>23</v>
      </c>
      <c r="E86" s="28" t="s">
        <v>186</v>
      </c>
      <c r="F86" s="63">
        <v>7709946708393</v>
      </c>
    </row>
    <row r="87" spans="1:28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spans="1:28" ht="30">
      <c r="A88" s="117" t="s">
        <v>187</v>
      </c>
      <c r="B88" s="117">
        <v>2</v>
      </c>
      <c r="C88" s="117">
        <v>0</v>
      </c>
      <c r="D88" s="117" t="s">
        <v>188</v>
      </c>
      <c r="E88" s="112" t="s">
        <v>189</v>
      </c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 spans="1:28" ht="15">
      <c r="A89" s="39" t="s">
        <v>190</v>
      </c>
      <c r="B89" s="39">
        <v>1</v>
      </c>
      <c r="C89" s="40">
        <v>0</v>
      </c>
      <c r="D89" s="39" t="s">
        <v>191</v>
      </c>
      <c r="E89" s="39" t="s">
        <v>192</v>
      </c>
      <c r="F89" s="39">
        <v>7702870004111</v>
      </c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 spans="1:28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spans="1:28" ht="30">
      <c r="A91" s="56" t="s">
        <v>193</v>
      </c>
      <c r="B91" s="96">
        <v>6</v>
      </c>
      <c r="C91" s="97">
        <v>0</v>
      </c>
      <c r="D91" s="95" t="s">
        <v>10</v>
      </c>
      <c r="E91" s="56" t="s">
        <v>194</v>
      </c>
      <c r="F91" s="53">
        <v>7707035510513</v>
      </c>
      <c r="G91" s="53"/>
      <c r="H91" s="53"/>
      <c r="I91" s="53"/>
      <c r="J91" s="53"/>
      <c r="K91" s="53"/>
      <c r="L91" s="53"/>
      <c r="M91" s="53"/>
      <c r="N91" s="53"/>
      <c r="O91" s="5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19"/>
    </row>
    <row r="92" spans="1:28">
      <c r="A92" s="22" t="s">
        <v>195</v>
      </c>
      <c r="B92" s="39">
        <v>2</v>
      </c>
      <c r="C92" s="40">
        <v>0</v>
      </c>
      <c r="D92" s="40" t="s">
        <v>26</v>
      </c>
      <c r="E92" t="s">
        <v>196</v>
      </c>
      <c r="F92">
        <v>7707019457247</v>
      </c>
    </row>
    <row r="93" spans="1:28" ht="30">
      <c r="A93" s="195" t="s">
        <v>197</v>
      </c>
      <c r="B93" s="200">
        <v>6</v>
      </c>
      <c r="C93" s="360">
        <v>0</v>
      </c>
      <c r="D93" s="200" t="s">
        <v>88</v>
      </c>
      <c r="E93" s="195" t="s">
        <v>198</v>
      </c>
      <c r="F93" s="373">
        <v>7709695236871</v>
      </c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117"/>
    </row>
    <row r="94" spans="1:28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spans="1:28" ht="15">
      <c r="A95" s="73" t="s">
        <v>199</v>
      </c>
      <c r="B95" s="32">
        <v>1</v>
      </c>
      <c r="C95" s="72">
        <v>0</v>
      </c>
      <c r="D95" s="32" t="s">
        <v>200</v>
      </c>
      <c r="E95" s="73" t="s">
        <v>201</v>
      </c>
      <c r="F95" s="321">
        <v>7707397791636</v>
      </c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 spans="1:28" ht="30">
      <c r="A96" s="117" t="s">
        <v>202</v>
      </c>
      <c r="B96" s="117">
        <v>1</v>
      </c>
      <c r="C96" s="117">
        <v>0</v>
      </c>
      <c r="D96" s="117" t="s">
        <v>203</v>
      </c>
      <c r="E96" s="112" t="s">
        <v>204</v>
      </c>
      <c r="F96" s="117">
        <v>7702184010457</v>
      </c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9"/>
      <c r="AB96" s="19"/>
    </row>
    <row r="97" spans="1:28" ht="30">
      <c r="A97" s="112" t="s">
        <v>205</v>
      </c>
      <c r="B97" s="117">
        <v>1</v>
      </c>
      <c r="C97" s="345">
        <v>0.19</v>
      </c>
      <c r="D97" s="117" t="s">
        <v>206</v>
      </c>
      <c r="E97" s="112" t="s">
        <v>207</v>
      </c>
      <c r="F97" s="117">
        <v>7708636936016</v>
      </c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</row>
    <row r="98" spans="1:28" ht="15">
      <c r="A98" s="24" t="s">
        <v>208</v>
      </c>
      <c r="B98" s="37">
        <v>2</v>
      </c>
      <c r="C98" s="177">
        <v>0.19</v>
      </c>
      <c r="D98" s="292" t="s">
        <v>209</v>
      </c>
      <c r="E98" s="28" t="s">
        <v>210</v>
      </c>
      <c r="F98" s="21">
        <v>7702027478024</v>
      </c>
      <c r="G98" s="21"/>
      <c r="H98" s="21"/>
      <c r="I98" s="21"/>
      <c r="J98" s="21"/>
      <c r="K98" s="21"/>
      <c r="L98" s="21"/>
      <c r="M98" s="21"/>
      <c r="N98" s="21"/>
      <c r="O98" s="21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8" ht="15">
      <c r="A99" s="117" t="s">
        <v>211</v>
      </c>
      <c r="B99" s="117">
        <v>6</v>
      </c>
      <c r="C99" s="345">
        <v>0</v>
      </c>
      <c r="D99" s="119" t="s">
        <v>109</v>
      </c>
      <c r="E99" s="117" t="s">
        <v>212</v>
      </c>
      <c r="F99" s="117">
        <v>7703038878728</v>
      </c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</row>
    <row r="100" spans="1:28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spans="1:28" ht="15">
      <c r="A101" s="39" t="s">
        <v>190</v>
      </c>
      <c r="B101" s="39">
        <v>1</v>
      </c>
      <c r="C101" s="40">
        <v>0</v>
      </c>
      <c r="D101" s="39" t="s">
        <v>191</v>
      </c>
      <c r="E101" s="39" t="s">
        <v>192</v>
      </c>
      <c r="F101" s="39">
        <v>7702870004111</v>
      </c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 spans="1:28">
      <c r="A102" s="22" t="s">
        <v>213</v>
      </c>
      <c r="B102">
        <v>5</v>
      </c>
      <c r="C102" s="133">
        <v>0</v>
      </c>
      <c r="D102" s="238" t="s">
        <v>214</v>
      </c>
      <c r="F102">
        <v>7707353301985</v>
      </c>
    </row>
    <row r="103" spans="1:28" ht="15">
      <c r="A103" s="49" t="s">
        <v>215</v>
      </c>
      <c r="B103" s="49">
        <v>2</v>
      </c>
      <c r="C103" s="216">
        <v>0</v>
      </c>
      <c r="D103" s="217" t="s">
        <v>10</v>
      </c>
      <c r="E103" s="49" t="s">
        <v>216</v>
      </c>
      <c r="F103" s="49">
        <v>7702605101825</v>
      </c>
      <c r="G103" s="21"/>
      <c r="H103" s="21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8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spans="1:28" ht="15">
      <c r="A105" s="74" t="s">
        <v>217</v>
      </c>
      <c r="B105" s="74">
        <v>2</v>
      </c>
      <c r="C105" s="75">
        <v>0</v>
      </c>
      <c r="D105" s="336" t="s">
        <v>38</v>
      </c>
      <c r="E105" s="74" t="s">
        <v>218</v>
      </c>
      <c r="F105" s="74">
        <v>7707019379464</v>
      </c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 spans="1:28">
      <c r="A106" t="s">
        <v>219</v>
      </c>
      <c r="B106">
        <v>2</v>
      </c>
      <c r="C106">
        <v>0</v>
      </c>
      <c r="D106" t="s">
        <v>123</v>
      </c>
      <c r="E106" t="s">
        <v>220</v>
      </c>
      <c r="F106">
        <v>7703153020286</v>
      </c>
    </row>
    <row r="107" spans="1:28" ht="15">
      <c r="A107" s="28" t="s">
        <v>221</v>
      </c>
      <c r="B107" s="8">
        <v>2</v>
      </c>
      <c r="C107" s="9">
        <v>0</v>
      </c>
      <c r="D107" s="8" t="s">
        <v>222</v>
      </c>
      <c r="E107" s="24" t="s">
        <v>223</v>
      </c>
      <c r="F107" s="28">
        <v>7704412152847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19"/>
      <c r="AA107" s="19"/>
      <c r="AB107" s="19"/>
    </row>
    <row r="108" spans="1:28">
      <c r="A108" s="64" t="s">
        <v>224</v>
      </c>
      <c r="B108" s="102">
        <v>1</v>
      </c>
      <c r="C108" s="101">
        <v>0</v>
      </c>
      <c r="D108" s="109" t="s">
        <v>156</v>
      </c>
      <c r="E108" s="64" t="s">
        <v>225</v>
      </c>
      <c r="F108" s="68">
        <v>7703038067092</v>
      </c>
    </row>
    <row r="109" spans="1:28" ht="15">
      <c r="A109" s="117" t="s">
        <v>226</v>
      </c>
      <c r="B109" s="117">
        <v>4</v>
      </c>
      <c r="C109" s="345">
        <v>0</v>
      </c>
      <c r="D109" s="117" t="s">
        <v>227</v>
      </c>
      <c r="E109" s="117" t="s">
        <v>228</v>
      </c>
      <c r="F109" s="117">
        <v>7703038067023</v>
      </c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9"/>
      <c r="AB109" s="19"/>
    </row>
    <row r="110" spans="1:28" ht="28.5">
      <c r="A110" s="146" t="s">
        <v>229</v>
      </c>
      <c r="B110" s="168">
        <v>1</v>
      </c>
      <c r="C110" s="170">
        <v>0.19</v>
      </c>
      <c r="D110" s="171" t="s">
        <v>88</v>
      </c>
      <c r="E110" s="146" t="s">
        <v>230</v>
      </c>
      <c r="F110" s="169">
        <v>7707210530909</v>
      </c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</row>
    <row r="111" spans="1:28" ht="15">
      <c r="A111" t="s">
        <v>231</v>
      </c>
      <c r="B111">
        <v>4</v>
      </c>
      <c r="C111" s="133">
        <v>0</v>
      </c>
      <c r="D111" t="s">
        <v>232</v>
      </c>
      <c r="E111" t="s">
        <v>233</v>
      </c>
      <c r="F111">
        <v>7707019381627</v>
      </c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spans="1:28" ht="15">
      <c r="A113" s="12" t="s">
        <v>234</v>
      </c>
      <c r="B113" s="12">
        <v>1</v>
      </c>
      <c r="C113" s="59">
        <v>0</v>
      </c>
      <c r="D113" s="59" t="s">
        <v>235</v>
      </c>
      <c r="E113" s="12" t="s">
        <v>236</v>
      </c>
      <c r="F113" s="308">
        <v>7702057092344</v>
      </c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 spans="1:28" ht="30">
      <c r="A114" s="76" t="s">
        <v>237</v>
      </c>
      <c r="B114" s="74">
        <v>1</v>
      </c>
      <c r="C114" s="75">
        <v>0</v>
      </c>
      <c r="D114" s="91" t="s">
        <v>238</v>
      </c>
      <c r="E114" s="76" t="s">
        <v>239</v>
      </c>
      <c r="F114" s="74">
        <v>7703038754541</v>
      </c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117"/>
      <c r="AA114" s="117"/>
      <c r="AB114" s="117"/>
    </row>
    <row r="115" spans="1:28" ht="15">
      <c r="A115" s="19" t="s">
        <v>240</v>
      </c>
      <c r="B115" s="117">
        <v>1</v>
      </c>
      <c r="C115" s="19">
        <v>0</v>
      </c>
      <c r="D115" s="19" t="s">
        <v>241</v>
      </c>
      <c r="E115" s="43" t="s">
        <v>242</v>
      </c>
      <c r="F115" s="19">
        <v>4048846001672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5">
      <c r="A116" s="117" t="s">
        <v>243</v>
      </c>
      <c r="B116" s="117">
        <v>1</v>
      </c>
      <c r="C116" s="345">
        <v>0.19</v>
      </c>
      <c r="D116" s="119" t="s">
        <v>244</v>
      </c>
      <c r="E116" s="117" t="s">
        <v>245</v>
      </c>
      <c r="F116" s="117">
        <v>7703286112407</v>
      </c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 spans="1:28" ht="15">
      <c r="A117" s="12" t="s">
        <v>246</v>
      </c>
      <c r="B117" s="12">
        <v>1</v>
      </c>
      <c r="C117" s="59">
        <v>0.19</v>
      </c>
      <c r="D117" s="111" t="s">
        <v>247</v>
      </c>
      <c r="E117" s="12" t="s">
        <v>248</v>
      </c>
      <c r="F117" s="308">
        <v>7703286115101</v>
      </c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</row>
    <row r="118" spans="1:28">
      <c r="A118" s="69" t="s">
        <v>249</v>
      </c>
      <c r="B118" s="14">
        <v>1</v>
      </c>
      <c r="C118" s="105">
        <v>0</v>
      </c>
      <c r="D118" s="14" t="s">
        <v>250</v>
      </c>
      <c r="E118" s="71" t="s">
        <v>251</v>
      </c>
      <c r="F118" s="71">
        <v>7702057015336</v>
      </c>
    </row>
    <row r="119" spans="1:28">
      <c r="A119" s="13" t="s">
        <v>252</v>
      </c>
      <c r="B119" s="12">
        <v>1</v>
      </c>
      <c r="C119" s="59">
        <v>0</v>
      </c>
      <c r="D119" s="12" t="s">
        <v>250</v>
      </c>
      <c r="E119" s="12" t="s">
        <v>253</v>
      </c>
      <c r="F119" s="12">
        <v>7702057013585</v>
      </c>
    </row>
    <row r="120" spans="1:28" ht="30">
      <c r="A120" s="384" t="s">
        <v>254</v>
      </c>
      <c r="B120" s="384">
        <v>4</v>
      </c>
      <c r="C120" s="385">
        <v>0</v>
      </c>
      <c r="D120" s="384" t="s">
        <v>38</v>
      </c>
      <c r="E120" s="383" t="s">
        <v>255</v>
      </c>
      <c r="F120" s="384">
        <v>7501125176531</v>
      </c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</row>
    <row r="121" spans="1:28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spans="1:28" ht="15">
      <c r="A122" s="24" t="s">
        <v>256</v>
      </c>
      <c r="B122" s="8">
        <v>1</v>
      </c>
      <c r="C122" s="9">
        <v>0</v>
      </c>
      <c r="D122" s="8" t="s">
        <v>257</v>
      </c>
      <c r="E122" s="7" t="s">
        <v>258</v>
      </c>
      <c r="F122" s="63">
        <v>7703038067429</v>
      </c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8" ht="30">
      <c r="A123" s="73" t="s">
        <v>259</v>
      </c>
      <c r="B123" s="17">
        <v>2</v>
      </c>
      <c r="C123" s="124">
        <v>0</v>
      </c>
      <c r="D123" s="17" t="s">
        <v>32</v>
      </c>
      <c r="E123" s="35" t="s">
        <v>260</v>
      </c>
      <c r="F123" s="17">
        <v>7702184020319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23"/>
      <c r="AA123" s="117"/>
      <c r="AB123" s="117"/>
    </row>
    <row r="124" spans="1:28" ht="15">
      <c r="A124" t="s">
        <v>96</v>
      </c>
      <c r="B124" s="39">
        <v>3</v>
      </c>
      <c r="C124" s="40">
        <v>0</v>
      </c>
      <c r="D124" s="94" t="s">
        <v>97</v>
      </c>
      <c r="E124" t="s">
        <v>98</v>
      </c>
      <c r="F124">
        <v>7703712030275</v>
      </c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8" ht="15">
      <c r="A125" s="13" t="s">
        <v>261</v>
      </c>
      <c r="B125" s="12">
        <v>1</v>
      </c>
      <c r="C125" s="80">
        <v>0</v>
      </c>
      <c r="D125" s="12" t="s">
        <v>262</v>
      </c>
      <c r="E125" s="13" t="s">
        <v>263</v>
      </c>
      <c r="F125" s="15">
        <v>7702195072093</v>
      </c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</row>
    <row r="126" spans="1:28" ht="15">
      <c r="A126" s="16" t="s">
        <v>264</v>
      </c>
      <c r="B126" s="32">
        <v>1</v>
      </c>
      <c r="C126" s="55">
        <v>0</v>
      </c>
      <c r="D126" s="225" t="s">
        <v>191</v>
      </c>
      <c r="E126" s="32" t="s">
        <v>265</v>
      </c>
      <c r="F126" s="18">
        <v>7702870071502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>
      <c r="A127" s="22" t="s">
        <v>266</v>
      </c>
      <c r="B127" s="23">
        <v>2</v>
      </c>
      <c r="C127" s="51">
        <v>0</v>
      </c>
      <c r="D127" s="172" t="s">
        <v>267</v>
      </c>
      <c r="E127" s="39" t="s">
        <v>268</v>
      </c>
      <c r="F127">
        <v>7707186901376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8" ht="15">
      <c r="A128" s="73" t="s">
        <v>269</v>
      </c>
      <c r="B128" s="32">
        <v>1</v>
      </c>
      <c r="C128" s="124">
        <v>0</v>
      </c>
      <c r="D128" s="17" t="s">
        <v>270</v>
      </c>
      <c r="E128" s="73" t="s">
        <v>101</v>
      </c>
      <c r="F128" s="32">
        <v>650240031267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5">
      <c r="A129" s="73" t="s">
        <v>271</v>
      </c>
      <c r="B129" s="32">
        <v>4</v>
      </c>
      <c r="C129" s="72">
        <v>0</v>
      </c>
      <c r="D129" s="83" t="s">
        <v>272</v>
      </c>
      <c r="E129" s="73" t="s">
        <v>273</v>
      </c>
      <c r="F129" s="371">
        <v>7703432422237</v>
      </c>
      <c r="G129" s="32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9"/>
      <c r="AB129" s="19"/>
    </row>
    <row r="130" spans="1:28" ht="15">
      <c r="A130" s="73" t="s">
        <v>271</v>
      </c>
      <c r="B130" s="32">
        <v>2</v>
      </c>
      <c r="C130" s="72">
        <v>0</v>
      </c>
      <c r="D130" s="83" t="s">
        <v>272</v>
      </c>
      <c r="E130" s="73" t="s">
        <v>273</v>
      </c>
      <c r="F130" s="371">
        <v>7703432422237</v>
      </c>
      <c r="G130" s="32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9"/>
      <c r="AB130" s="19"/>
    </row>
    <row r="131" spans="1:28" ht="28.5">
      <c r="A131" t="s">
        <v>274</v>
      </c>
      <c r="B131">
        <v>3</v>
      </c>
      <c r="C131">
        <v>0</v>
      </c>
      <c r="D131" t="s">
        <v>53</v>
      </c>
      <c r="E131" s="22" t="s">
        <v>107</v>
      </c>
      <c r="F131">
        <v>7703712030855</v>
      </c>
    </row>
    <row r="132" spans="1:28" ht="28.5">
      <c r="A132" s="28" t="s">
        <v>275</v>
      </c>
      <c r="B132" s="14">
        <v>1</v>
      </c>
      <c r="C132" s="105">
        <v>0</v>
      </c>
      <c r="D132" s="14" t="s">
        <v>276</v>
      </c>
      <c r="E132" s="24" t="s">
        <v>277</v>
      </c>
      <c r="F132" s="63">
        <v>7703445040015</v>
      </c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28" ht="15">
      <c r="A133" s="28" t="s">
        <v>278</v>
      </c>
      <c r="B133" s="8">
        <v>1</v>
      </c>
      <c r="C133" s="209">
        <v>0</v>
      </c>
      <c r="D133" s="209" t="s">
        <v>279</v>
      </c>
      <c r="E133" s="28" t="s">
        <v>280</v>
      </c>
      <c r="F133" s="28">
        <v>7702195713507</v>
      </c>
      <c r="AA133" s="19"/>
      <c r="AB133" s="19"/>
    </row>
    <row r="134" spans="1:28" ht="15">
      <c r="A134" s="53" t="s">
        <v>281</v>
      </c>
      <c r="B134" s="153">
        <v>1</v>
      </c>
      <c r="C134" s="55">
        <v>0</v>
      </c>
      <c r="D134" s="153" t="s">
        <v>282</v>
      </c>
      <c r="E134" s="56" t="s">
        <v>283</v>
      </c>
      <c r="F134">
        <v>7703153040611</v>
      </c>
    </row>
    <row r="135" spans="1:28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spans="1:28" ht="15">
      <c r="A136" s="117" t="s">
        <v>284</v>
      </c>
      <c r="B136" s="117">
        <v>4</v>
      </c>
      <c r="C136" s="117">
        <v>0</v>
      </c>
      <c r="D136" s="117" t="s">
        <v>285</v>
      </c>
      <c r="E136" s="117" t="s">
        <v>286</v>
      </c>
      <c r="F136" s="117">
        <v>7702605106523</v>
      </c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9"/>
      <c r="AB136" s="19"/>
    </row>
    <row r="137" spans="1:28" ht="30">
      <c r="A137" s="73" t="s">
        <v>287</v>
      </c>
      <c r="B137" s="32">
        <v>6</v>
      </c>
      <c r="C137" s="89">
        <v>0</v>
      </c>
      <c r="D137" s="90" t="s">
        <v>10</v>
      </c>
      <c r="E137" s="73" t="s">
        <v>288</v>
      </c>
      <c r="F137" s="20">
        <v>7730766003382</v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19"/>
      <c r="AA137" s="19"/>
      <c r="AB137" s="19"/>
    </row>
    <row r="138" spans="1:2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spans="1:28" ht="15">
      <c r="A139" s="19" t="s">
        <v>289</v>
      </c>
      <c r="B139" s="117">
        <v>4</v>
      </c>
      <c r="C139" s="19">
        <v>0</v>
      </c>
      <c r="D139" s="19" t="s">
        <v>290</v>
      </c>
      <c r="E139" s="19" t="s">
        <v>291</v>
      </c>
      <c r="F139" s="19">
        <v>6916119062652</v>
      </c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5">
      <c r="A140" t="s">
        <v>292</v>
      </c>
      <c r="B140" s="39">
        <v>1</v>
      </c>
      <c r="C140" s="133">
        <v>0</v>
      </c>
      <c r="D140" s="134" t="s">
        <v>293</v>
      </c>
      <c r="E140" t="s">
        <v>294</v>
      </c>
      <c r="F140">
        <v>7705959885434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5">
      <c r="A141" s="53" t="s">
        <v>295</v>
      </c>
      <c r="B141" s="153">
        <v>2</v>
      </c>
      <c r="C141" s="55">
        <v>0</v>
      </c>
      <c r="D141" s="225" t="s">
        <v>227</v>
      </c>
      <c r="E141" s="56" t="s">
        <v>296</v>
      </c>
      <c r="F141" s="226">
        <v>7706569000439</v>
      </c>
    </row>
    <row r="142" spans="1:28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28.5">
      <c r="A143" s="22" t="s">
        <v>297</v>
      </c>
      <c r="B143" s="22">
        <v>20</v>
      </c>
      <c r="C143" s="175">
        <v>0.19</v>
      </c>
      <c r="D143" s="326" t="s">
        <v>298</v>
      </c>
      <c r="E143" s="22" t="s">
        <v>299</v>
      </c>
      <c r="F143" s="22">
        <v>7707346260053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8" ht="28.5">
      <c r="A144" t="s">
        <v>300</v>
      </c>
      <c r="B144">
        <v>1</v>
      </c>
      <c r="C144">
        <v>0</v>
      </c>
      <c r="D144" t="s">
        <v>301</v>
      </c>
      <c r="E144" s="22" t="s">
        <v>302</v>
      </c>
      <c r="F144">
        <v>7612797029909</v>
      </c>
    </row>
    <row r="145" spans="1:28" ht="15">
      <c r="A145" s="19" t="s">
        <v>303</v>
      </c>
      <c r="B145" s="117">
        <v>1</v>
      </c>
      <c r="C145" s="19">
        <v>0</v>
      </c>
      <c r="D145" s="19" t="s">
        <v>304</v>
      </c>
      <c r="E145" s="19" t="s">
        <v>305</v>
      </c>
      <c r="F145" s="19">
        <v>7707350411069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28.5">
      <c r="A146" s="69" t="s">
        <v>306</v>
      </c>
      <c r="B146" s="12">
        <v>3</v>
      </c>
      <c r="C146" s="206">
        <v>0.19</v>
      </c>
      <c r="D146" s="135" t="s">
        <v>307</v>
      </c>
      <c r="E146" s="69" t="s">
        <v>308</v>
      </c>
      <c r="F146" s="61">
        <v>7702057080044</v>
      </c>
      <c r="G146" s="71"/>
      <c r="H146" s="71"/>
      <c r="I146" s="71"/>
      <c r="J146" s="71"/>
      <c r="K146" s="71"/>
      <c r="L146" s="71"/>
      <c r="M146" s="71"/>
      <c r="N146" s="71"/>
      <c r="O146" s="71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30">
      <c r="A147" s="76" t="s">
        <v>237</v>
      </c>
      <c r="B147" s="74">
        <v>2</v>
      </c>
      <c r="C147" s="75">
        <v>0</v>
      </c>
      <c r="D147" s="91" t="s">
        <v>238</v>
      </c>
      <c r="E147" s="76" t="s">
        <v>239</v>
      </c>
      <c r="F147" s="74">
        <v>7703038754541</v>
      </c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117"/>
      <c r="AA147" s="117"/>
      <c r="AB147" s="117"/>
    </row>
    <row r="148" spans="1:28" ht="28.5">
      <c r="A148" s="24" t="s">
        <v>309</v>
      </c>
      <c r="B148" s="8">
        <v>1</v>
      </c>
      <c r="C148" s="9">
        <v>0.19</v>
      </c>
      <c r="D148" s="203" t="s">
        <v>310</v>
      </c>
      <c r="E148" s="24" t="s">
        <v>311</v>
      </c>
      <c r="F148" s="63">
        <v>7794640171710</v>
      </c>
    </row>
    <row r="149" spans="1:28" ht="28.5">
      <c r="A149" s="24" t="s">
        <v>312</v>
      </c>
      <c r="B149" s="8">
        <v>2</v>
      </c>
      <c r="C149" s="9">
        <v>0.19</v>
      </c>
      <c r="D149" s="203" t="s">
        <v>313</v>
      </c>
      <c r="E149" s="24" t="s">
        <v>311</v>
      </c>
      <c r="F149" s="63">
        <v>7794640171734</v>
      </c>
    </row>
    <row r="150" spans="1:28" ht="15">
      <c r="A150" s="76" t="s">
        <v>314</v>
      </c>
      <c r="B150" s="74">
        <v>1</v>
      </c>
      <c r="C150" s="164">
        <v>0</v>
      </c>
      <c r="D150" s="349" t="s">
        <v>315</v>
      </c>
      <c r="E150" s="76" t="s">
        <v>316</v>
      </c>
      <c r="F150" s="46">
        <v>7702057712396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5">
      <c r="A151" s="117" t="s">
        <v>317</v>
      </c>
      <c r="B151" s="117">
        <v>2</v>
      </c>
      <c r="C151" s="345">
        <v>0.19</v>
      </c>
      <c r="D151" s="119" t="s">
        <v>318</v>
      </c>
      <c r="E151" s="112" t="s">
        <v>319</v>
      </c>
      <c r="F151" s="117">
        <v>7707165900161</v>
      </c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8">
      <c r="A152" t="s">
        <v>320</v>
      </c>
      <c r="B152" s="39">
        <v>3</v>
      </c>
      <c r="C152" s="40">
        <v>0</v>
      </c>
      <c r="D152" s="39" t="s">
        <v>321</v>
      </c>
      <c r="E152" t="s">
        <v>322</v>
      </c>
      <c r="F152">
        <v>6921875013176</v>
      </c>
    </row>
    <row r="153" spans="1:28">
      <c r="A153" s="28" t="s">
        <v>323</v>
      </c>
      <c r="B153" s="28">
        <v>2</v>
      </c>
      <c r="C153" s="192">
        <v>0</v>
      </c>
      <c r="D153" s="98" t="s">
        <v>91</v>
      </c>
      <c r="E153" s="28" t="s">
        <v>324</v>
      </c>
      <c r="F153" s="28">
        <v>7703186030283</v>
      </c>
    </row>
    <row r="154" spans="1:28" ht="30">
      <c r="A154" s="73" t="s">
        <v>325</v>
      </c>
      <c r="B154" s="32">
        <v>3</v>
      </c>
      <c r="C154" s="72">
        <v>0</v>
      </c>
      <c r="D154" s="32" t="s">
        <v>188</v>
      </c>
      <c r="E154" s="73" t="s">
        <v>326</v>
      </c>
      <c r="F154" s="379">
        <v>7702057012007</v>
      </c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9"/>
      <c r="AB154" s="19"/>
    </row>
    <row r="155" spans="1:28">
      <c r="A155" s="24" t="s">
        <v>327</v>
      </c>
      <c r="B155" s="30">
        <v>2</v>
      </c>
      <c r="C155" s="31">
        <v>0</v>
      </c>
      <c r="D155" s="30" t="s">
        <v>328</v>
      </c>
      <c r="E155" s="7" t="s">
        <v>329</v>
      </c>
      <c r="F155" s="28">
        <v>7708943944476</v>
      </c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28">
      <c r="A156" s="28" t="s">
        <v>330</v>
      </c>
      <c r="B156">
        <v>3</v>
      </c>
      <c r="C156" s="133">
        <v>0</v>
      </c>
      <c r="D156" s="23" t="s">
        <v>331</v>
      </c>
      <c r="E156" s="7" t="s">
        <v>332</v>
      </c>
      <c r="F156" s="28">
        <v>7702057075057</v>
      </c>
    </row>
    <row r="157" spans="1:28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spans="1:28" ht="30">
      <c r="A158" s="16" t="s">
        <v>333</v>
      </c>
      <c r="B158" s="18">
        <v>1</v>
      </c>
      <c r="C158" s="184">
        <v>0</v>
      </c>
      <c r="D158" s="204" t="s">
        <v>276</v>
      </c>
      <c r="E158" s="73" t="s">
        <v>334</v>
      </c>
      <c r="F158" s="18">
        <v>7702195004681</v>
      </c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28" ht="15">
      <c r="A159" s="13" t="s">
        <v>335</v>
      </c>
      <c r="B159" s="12">
        <v>1</v>
      </c>
      <c r="C159" s="105">
        <v>0</v>
      </c>
      <c r="D159" s="135" t="s">
        <v>241</v>
      </c>
      <c r="E159" s="12" t="s">
        <v>336</v>
      </c>
      <c r="F159" s="28">
        <v>4042809179408</v>
      </c>
      <c r="G159" s="28"/>
      <c r="AA159" s="19"/>
      <c r="AB159" s="19"/>
    </row>
    <row r="160" spans="1:28" ht="28.5">
      <c r="A160" s="7" t="s">
        <v>337</v>
      </c>
      <c r="B160" s="8">
        <v>2</v>
      </c>
      <c r="C160" s="9">
        <v>0</v>
      </c>
      <c r="D160" s="10" t="s">
        <v>338</v>
      </c>
      <c r="E160" s="7" t="s">
        <v>339</v>
      </c>
      <c r="F160" s="8">
        <v>7702057102203</v>
      </c>
    </row>
    <row r="161" spans="1:28" ht="28.5">
      <c r="A161" s="24" t="s">
        <v>340</v>
      </c>
      <c r="B161" s="30">
        <v>1</v>
      </c>
      <c r="C161" s="31">
        <v>0</v>
      </c>
      <c r="D161" s="98" t="s">
        <v>214</v>
      </c>
      <c r="E161" s="7" t="s">
        <v>341</v>
      </c>
      <c r="F161" s="28">
        <v>7702870070611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8" ht="30">
      <c r="A162" s="73" t="s">
        <v>164</v>
      </c>
      <c r="B162" s="74">
        <v>3</v>
      </c>
      <c r="C162" s="75">
        <v>0</v>
      </c>
      <c r="D162" s="74" t="s">
        <v>85</v>
      </c>
      <c r="E162" s="73" t="s">
        <v>165</v>
      </c>
      <c r="F162" s="379">
        <v>7501033961557</v>
      </c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9"/>
      <c r="AB162" s="19"/>
    </row>
    <row r="163" spans="1:28" ht="28.5">
      <c r="A163" s="24" t="s">
        <v>342</v>
      </c>
      <c r="B163" s="30">
        <v>1</v>
      </c>
      <c r="C163" s="31">
        <v>0.19</v>
      </c>
      <c r="D163" s="30" t="s">
        <v>343</v>
      </c>
      <c r="E163" s="24" t="s">
        <v>344</v>
      </c>
      <c r="F163" s="142">
        <v>7705028809194</v>
      </c>
      <c r="G163" s="28"/>
    </row>
    <row r="164" spans="1:28" ht="30">
      <c r="A164" s="117" t="s">
        <v>345</v>
      </c>
      <c r="B164" s="117">
        <v>6</v>
      </c>
      <c r="C164" s="117">
        <v>0</v>
      </c>
      <c r="D164" s="117" t="s">
        <v>74</v>
      </c>
      <c r="E164" s="112" t="s">
        <v>346</v>
      </c>
      <c r="F164" s="117">
        <v>7707996059205</v>
      </c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</row>
    <row r="165" spans="1:28" ht="30">
      <c r="A165" s="32" t="s">
        <v>347</v>
      </c>
      <c r="B165" s="32">
        <v>1</v>
      </c>
      <c r="C165" s="72">
        <v>0</v>
      </c>
      <c r="D165" s="32" t="s">
        <v>348</v>
      </c>
      <c r="E165" s="73" t="s">
        <v>349</v>
      </c>
      <c r="F165" s="32">
        <v>650240067884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8" ht="15">
      <c r="A166" s="74" t="s">
        <v>350</v>
      </c>
      <c r="B166" s="74">
        <v>2</v>
      </c>
      <c r="C166" s="75">
        <v>0</v>
      </c>
      <c r="D166" s="74" t="s">
        <v>318</v>
      </c>
      <c r="E166" s="74" t="s">
        <v>351</v>
      </c>
      <c r="F166" s="74">
        <v>7707035560037</v>
      </c>
      <c r="G166" s="74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9"/>
      <c r="AB166" s="19"/>
    </row>
    <row r="167" spans="1:28" ht="28.5">
      <c r="A167" t="s">
        <v>352</v>
      </c>
      <c r="B167">
        <v>2</v>
      </c>
      <c r="C167" s="133">
        <v>0</v>
      </c>
      <c r="D167" t="s">
        <v>353</v>
      </c>
      <c r="E167" s="22" t="s">
        <v>107</v>
      </c>
      <c r="F167">
        <v>7702057710262</v>
      </c>
    </row>
    <row r="168" spans="1:28" ht="28.5">
      <c r="A168" s="22" t="s">
        <v>354</v>
      </c>
      <c r="B168" s="39">
        <v>1</v>
      </c>
      <c r="C168" s="39">
        <v>0</v>
      </c>
      <c r="D168" s="39" t="s">
        <v>355</v>
      </c>
      <c r="E168" s="22" t="s">
        <v>356</v>
      </c>
      <c r="F168">
        <v>7707355059365</v>
      </c>
    </row>
    <row r="169" spans="1:28">
      <c r="A169" s="22" t="s">
        <v>357</v>
      </c>
      <c r="B169" s="23">
        <v>1</v>
      </c>
      <c r="C169" s="51">
        <v>0.19</v>
      </c>
      <c r="D169" s="172" t="s">
        <v>358</v>
      </c>
      <c r="E169" t="s">
        <v>359</v>
      </c>
      <c r="F169">
        <v>17707270361229</v>
      </c>
    </row>
    <row r="170" spans="1:28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spans="1:28" ht="15">
      <c r="A171" s="96" t="s">
        <v>360</v>
      </c>
      <c r="B171" s="96">
        <v>4</v>
      </c>
      <c r="C171" s="97">
        <v>0</v>
      </c>
      <c r="D171" s="96" t="s">
        <v>257</v>
      </c>
      <c r="E171" s="96" t="s">
        <v>361</v>
      </c>
      <c r="F171" s="369">
        <v>7703038067214</v>
      </c>
      <c r="G171" s="96"/>
      <c r="H171" s="96"/>
      <c r="I171" s="96"/>
      <c r="J171" s="96"/>
      <c r="K171" s="96"/>
      <c r="L171" s="96"/>
      <c r="M171" s="96"/>
      <c r="N171" s="96"/>
      <c r="O171" s="96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117"/>
      <c r="AA171" s="117"/>
      <c r="AB171" s="117"/>
    </row>
    <row r="172" spans="1:28" ht="28.5">
      <c r="A172" s="69" t="s">
        <v>362</v>
      </c>
      <c r="B172" s="12">
        <v>1</v>
      </c>
      <c r="C172" s="59">
        <v>0.19</v>
      </c>
      <c r="D172" s="111" t="s">
        <v>363</v>
      </c>
      <c r="E172" s="13" t="s">
        <v>364</v>
      </c>
      <c r="F172" s="211">
        <v>7794640170133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19"/>
      <c r="AA172" s="19"/>
      <c r="AB172" s="19"/>
    </row>
    <row r="173" spans="1:28" ht="30">
      <c r="A173" s="117" t="s">
        <v>365</v>
      </c>
      <c r="B173" s="117">
        <v>5</v>
      </c>
      <c r="C173" s="345">
        <v>0.19</v>
      </c>
      <c r="D173" s="117" t="s">
        <v>366</v>
      </c>
      <c r="E173" s="112" t="s">
        <v>367</v>
      </c>
      <c r="F173" s="117">
        <v>7707242970575</v>
      </c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</row>
    <row r="174" spans="1:28" ht="15">
      <c r="A174" s="76" t="s">
        <v>368</v>
      </c>
      <c r="B174" s="74">
        <v>2</v>
      </c>
      <c r="C174" s="75">
        <v>0</v>
      </c>
      <c r="D174" s="336" t="s">
        <v>38</v>
      </c>
      <c r="E174" s="74" t="s">
        <v>369</v>
      </c>
      <c r="F174" s="378">
        <v>7703712032002</v>
      </c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8" ht="30">
      <c r="A175" s="32" t="s">
        <v>370</v>
      </c>
      <c r="B175" s="74">
        <v>1</v>
      </c>
      <c r="C175" s="75">
        <v>0</v>
      </c>
      <c r="D175" s="336" t="s">
        <v>85</v>
      </c>
      <c r="E175" s="73" t="s">
        <v>165</v>
      </c>
      <c r="F175" s="32">
        <v>7501033957376</v>
      </c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8" ht="30">
      <c r="A176" s="73" t="s">
        <v>371</v>
      </c>
      <c r="B176" s="32">
        <v>1</v>
      </c>
      <c r="C176" s="72">
        <v>0</v>
      </c>
      <c r="D176" s="83" t="s">
        <v>85</v>
      </c>
      <c r="E176" s="73" t="s">
        <v>251</v>
      </c>
      <c r="F176" s="321">
        <v>7702057010874</v>
      </c>
      <c r="G176" s="32"/>
      <c r="H176" s="32"/>
      <c r="I176" s="32"/>
      <c r="J176" s="32"/>
      <c r="K176" s="32"/>
      <c r="L176" s="32"/>
      <c r="M176" s="32"/>
      <c r="N176" s="32"/>
      <c r="O176" s="32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8" ht="15">
      <c r="A177" s="117" t="s">
        <v>372</v>
      </c>
      <c r="B177" s="117">
        <v>4</v>
      </c>
      <c r="C177" s="356">
        <v>0</v>
      </c>
      <c r="D177" s="357" t="s">
        <v>10</v>
      </c>
      <c r="E177" s="117" t="s">
        <v>373</v>
      </c>
      <c r="F177" s="117">
        <v>7704412000162</v>
      </c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8" ht="28.5">
      <c r="A178" t="s">
        <v>374</v>
      </c>
      <c r="B178">
        <v>6</v>
      </c>
      <c r="C178" s="133">
        <v>0.19</v>
      </c>
      <c r="D178" t="s">
        <v>375</v>
      </c>
      <c r="E178" s="22" t="s">
        <v>376</v>
      </c>
      <c r="F178">
        <v>7707271202531</v>
      </c>
    </row>
    <row r="179" spans="1:28">
      <c r="A179" t="s">
        <v>377</v>
      </c>
      <c r="B179">
        <v>3</v>
      </c>
      <c r="C179" s="218">
        <v>0</v>
      </c>
      <c r="D179" s="218" t="s">
        <v>378</v>
      </c>
      <c r="E179" t="s">
        <v>379</v>
      </c>
      <c r="F179">
        <v>7704412118898</v>
      </c>
    </row>
    <row r="180" spans="1:28" ht="15">
      <c r="A180" s="69" t="s">
        <v>380</v>
      </c>
      <c r="B180" s="12">
        <v>1</v>
      </c>
      <c r="C180" s="59">
        <v>0</v>
      </c>
      <c r="D180" s="111" t="s">
        <v>381</v>
      </c>
      <c r="E180" s="12" t="s">
        <v>382</v>
      </c>
      <c r="F180" s="71">
        <v>7501298220185</v>
      </c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8">
      <c r="A181" t="s">
        <v>383</v>
      </c>
      <c r="B181">
        <v>1</v>
      </c>
      <c r="C181">
        <v>0</v>
      </c>
      <c r="D181" t="s">
        <v>384</v>
      </c>
      <c r="E181" t="s">
        <v>385</v>
      </c>
      <c r="F181">
        <v>7707336091346</v>
      </c>
    </row>
    <row r="182" spans="1:28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spans="1:28" ht="15">
      <c r="A183" s="74" t="s">
        <v>217</v>
      </c>
      <c r="B183" s="74">
        <v>4</v>
      </c>
      <c r="C183" s="75">
        <v>0</v>
      </c>
      <c r="D183" s="336" t="s">
        <v>386</v>
      </c>
      <c r="E183" s="74" t="s">
        <v>218</v>
      </c>
      <c r="F183" s="74">
        <v>7707019379464</v>
      </c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 spans="1:28">
      <c r="A184" s="141" t="s">
        <v>387</v>
      </c>
      <c r="B184" s="147">
        <v>2</v>
      </c>
      <c r="C184" s="234">
        <v>0</v>
      </c>
      <c r="D184" s="246" t="s">
        <v>388</v>
      </c>
      <c r="E184" s="146" t="s">
        <v>389</v>
      </c>
      <c r="F184">
        <v>7702026183271</v>
      </c>
    </row>
    <row r="185" spans="1:28">
      <c r="A185" t="s">
        <v>390</v>
      </c>
      <c r="B185">
        <v>2</v>
      </c>
      <c r="C185">
        <v>0</v>
      </c>
      <c r="D185" t="s">
        <v>29</v>
      </c>
      <c r="E185" t="s">
        <v>391</v>
      </c>
      <c r="F185">
        <v>7707035565834</v>
      </c>
    </row>
    <row r="186" spans="1:28" ht="28.5">
      <c r="A186" t="s">
        <v>392</v>
      </c>
      <c r="B186">
        <v>2</v>
      </c>
      <c r="C186">
        <v>0</v>
      </c>
      <c r="D186" t="s">
        <v>393</v>
      </c>
      <c r="E186" s="22" t="s">
        <v>394</v>
      </c>
      <c r="F186">
        <v>7706569000231</v>
      </c>
    </row>
    <row r="187" spans="1:28" ht="15">
      <c r="A187" s="19" t="s">
        <v>395</v>
      </c>
      <c r="B187" s="117">
        <v>2</v>
      </c>
      <c r="C187" s="345">
        <v>0</v>
      </c>
      <c r="D187" s="345" t="s">
        <v>103</v>
      </c>
      <c r="E187" s="19" t="s">
        <v>396</v>
      </c>
      <c r="F187" s="19">
        <v>7707355059686</v>
      </c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5">
      <c r="A188" s="19" t="s">
        <v>395</v>
      </c>
      <c r="B188" s="117">
        <v>1</v>
      </c>
      <c r="C188" s="345">
        <v>0</v>
      </c>
      <c r="D188" s="345" t="s">
        <v>103</v>
      </c>
      <c r="E188" s="19" t="s">
        <v>396</v>
      </c>
      <c r="F188" s="19">
        <v>7707355059686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30">
      <c r="A189" s="76" t="s">
        <v>397</v>
      </c>
      <c r="B189" s="74">
        <v>1</v>
      </c>
      <c r="C189" s="75">
        <v>0</v>
      </c>
      <c r="D189" s="91" t="s">
        <v>310</v>
      </c>
      <c r="E189" s="76" t="s">
        <v>398</v>
      </c>
      <c r="F189" s="74">
        <v>7707232099354</v>
      </c>
      <c r="G189" s="74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8" ht="30">
      <c r="A190" s="45" t="s">
        <v>399</v>
      </c>
      <c r="B190" s="74">
        <v>1</v>
      </c>
      <c r="C190" s="75">
        <v>0</v>
      </c>
      <c r="D190" s="91" t="s">
        <v>14</v>
      </c>
      <c r="E190" s="45" t="s">
        <v>400</v>
      </c>
      <c r="F190" s="46">
        <v>7707019334203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8" ht="29.25">
      <c r="A191" s="24" t="s">
        <v>401</v>
      </c>
      <c r="B191" s="8">
        <v>1</v>
      </c>
      <c r="C191" s="9">
        <v>0</v>
      </c>
      <c r="D191" s="85" t="s">
        <v>402</v>
      </c>
      <c r="E191" s="24" t="s">
        <v>403</v>
      </c>
      <c r="F191" s="63">
        <v>7707019334302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30">
      <c r="A192" s="16" t="s">
        <v>404</v>
      </c>
      <c r="B192" s="32">
        <v>2</v>
      </c>
      <c r="C192" s="17">
        <v>0</v>
      </c>
      <c r="D192" s="204" t="s">
        <v>405</v>
      </c>
      <c r="E192" s="16" t="s">
        <v>406</v>
      </c>
      <c r="F192" s="18">
        <v>7702027424038</v>
      </c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ht="15">
      <c r="A193" t="s">
        <v>407</v>
      </c>
      <c r="B193">
        <v>1</v>
      </c>
      <c r="C193" s="173">
        <v>0</v>
      </c>
      <c r="D193" s="30" t="s">
        <v>408</v>
      </c>
      <c r="E193" t="s">
        <v>409</v>
      </c>
      <c r="F193">
        <v>7703038518747</v>
      </c>
      <c r="AA193" s="19"/>
      <c r="AB193" s="19"/>
    </row>
    <row r="194" spans="1:28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spans="1:28" ht="30">
      <c r="A195" s="18" t="s">
        <v>410</v>
      </c>
      <c r="B195" s="17">
        <v>1</v>
      </c>
      <c r="C195" s="33">
        <v>0</v>
      </c>
      <c r="D195" s="202" t="s">
        <v>411</v>
      </c>
      <c r="E195" s="73" t="s">
        <v>412</v>
      </c>
      <c r="F195" s="18">
        <v>7702057162436</v>
      </c>
    </row>
    <row r="196" spans="1:28" ht="30">
      <c r="A196" s="16" t="s">
        <v>333</v>
      </c>
      <c r="B196" s="18">
        <v>1</v>
      </c>
      <c r="C196" s="184">
        <v>0</v>
      </c>
      <c r="D196" s="204" t="s">
        <v>276</v>
      </c>
      <c r="E196" s="73" t="s">
        <v>334</v>
      </c>
      <c r="F196" s="18">
        <v>7702195004681</v>
      </c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28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spans="1:28" ht="15">
      <c r="A198" s="39" t="s">
        <v>413</v>
      </c>
      <c r="B198" s="39">
        <v>4</v>
      </c>
      <c r="C198" s="40">
        <v>0</v>
      </c>
      <c r="D198" s="94" t="s">
        <v>414</v>
      </c>
      <c r="E198" s="39" t="s">
        <v>415</v>
      </c>
      <c r="F198" s="39">
        <v>7702605105625</v>
      </c>
      <c r="G198" s="8"/>
      <c r="H198" s="8"/>
      <c r="I198" s="8"/>
      <c r="J198" s="8"/>
      <c r="K198" s="8"/>
      <c r="L198" s="8"/>
      <c r="M198" s="8"/>
      <c r="N198" s="8"/>
      <c r="O198" s="8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117"/>
    </row>
    <row r="199" spans="1:28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spans="1:28" ht="28.5">
      <c r="A200" s="22" t="s">
        <v>416</v>
      </c>
      <c r="B200">
        <v>2</v>
      </c>
      <c r="C200" s="133">
        <v>0</v>
      </c>
      <c r="D200" s="183" t="s">
        <v>112</v>
      </c>
      <c r="E200" s="22" t="s">
        <v>417</v>
      </c>
      <c r="F200">
        <v>7702560000102</v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 spans="1:28" ht="28.5">
      <c r="A201" s="13" t="s">
        <v>418</v>
      </c>
      <c r="B201" s="12">
        <v>4</v>
      </c>
      <c r="C201" s="59">
        <v>0</v>
      </c>
      <c r="D201" s="111" t="s">
        <v>23</v>
      </c>
      <c r="E201" s="13" t="s">
        <v>419</v>
      </c>
      <c r="F201" s="12">
        <v>7703712035485</v>
      </c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28" ht="15">
      <c r="A202" s="73" t="s">
        <v>420</v>
      </c>
      <c r="B202" s="32">
        <v>1</v>
      </c>
      <c r="C202" s="72">
        <v>0</v>
      </c>
      <c r="D202" s="83" t="s">
        <v>421</v>
      </c>
      <c r="E202" s="73" t="s">
        <v>422</v>
      </c>
      <c r="F202" s="371">
        <v>7703153040628</v>
      </c>
      <c r="G202" s="32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</row>
    <row r="203" spans="1:28" ht="15">
      <c r="A203" s="53" t="s">
        <v>423</v>
      </c>
      <c r="B203" s="96">
        <v>1</v>
      </c>
      <c r="C203" s="97">
        <v>0</v>
      </c>
      <c r="D203" s="97" t="s">
        <v>424</v>
      </c>
      <c r="E203" s="56" t="s">
        <v>425</v>
      </c>
      <c r="F203" s="53">
        <v>7703038050261</v>
      </c>
    </row>
    <row r="204" spans="1:28">
      <c r="A204" s="24" t="s">
        <v>426</v>
      </c>
      <c r="B204" s="30">
        <v>1</v>
      </c>
      <c r="C204" s="31">
        <v>0</v>
      </c>
      <c r="D204" s="98" t="s">
        <v>427</v>
      </c>
      <c r="E204" s="7" t="s">
        <v>428</v>
      </c>
      <c r="F204" s="28">
        <v>7703038050360</v>
      </c>
      <c r="G204" s="28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8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26"/>
  <sheetViews>
    <sheetView topLeftCell="A623" workbookViewId="0">
      <pane xSplit="1" topLeftCell="B1" activePane="topRight" state="frozen"/>
      <selection pane="topRight" activeCell="A2" sqref="A2:F625"/>
    </sheetView>
  </sheetViews>
  <sheetFormatPr baseColWidth="10" defaultColWidth="9.125" defaultRowHeight="14.25"/>
  <cols>
    <col min="1" max="1" width="50.875" customWidth="1"/>
    <col min="2" max="3" width="15.875" style="39" customWidth="1"/>
    <col min="4" max="4" width="15.25" style="39" customWidth="1"/>
    <col min="5" max="5" width="30.375" customWidth="1"/>
    <col min="6" max="6" width="19.125" customWidth="1"/>
  </cols>
  <sheetData>
    <row r="1" spans="1:28" ht="32.25" customHeight="1">
      <c r="A1" s="1" t="s">
        <v>0</v>
      </c>
      <c r="B1" s="78" t="s">
        <v>1</v>
      </c>
      <c r="C1" s="79" t="s">
        <v>2</v>
      </c>
      <c r="D1" s="79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6"/>
    </row>
    <row r="2" spans="1:28" ht="15">
      <c r="A2" s="8" t="s">
        <v>429</v>
      </c>
      <c r="B2" s="8">
        <v>1</v>
      </c>
      <c r="C2" s="9">
        <v>0</v>
      </c>
      <c r="D2" s="203" t="s">
        <v>430</v>
      </c>
      <c r="E2" s="8" t="s">
        <v>431</v>
      </c>
      <c r="F2" s="8">
        <v>7703038050056</v>
      </c>
      <c r="G2" s="8"/>
      <c r="H2" s="8"/>
      <c r="I2" s="8"/>
      <c r="J2" s="8"/>
      <c r="K2" s="8"/>
      <c r="L2" s="8" t="s">
        <v>432</v>
      </c>
      <c r="M2" s="8" t="s">
        <v>432</v>
      </c>
      <c r="N2" s="8" t="s">
        <v>432</v>
      </c>
      <c r="O2" s="8" t="s">
        <v>432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117"/>
      <c r="AB2" s="117"/>
    </row>
    <row r="3" spans="1:28" ht="15">
      <c r="A3" s="8" t="s">
        <v>433</v>
      </c>
      <c r="B3" s="8">
        <v>1</v>
      </c>
      <c r="C3" s="9">
        <v>0.19</v>
      </c>
      <c r="D3" s="203" t="s">
        <v>74</v>
      </c>
      <c r="E3" s="8" t="s">
        <v>434</v>
      </c>
      <c r="F3" s="8">
        <v>4005808850839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117"/>
      <c r="AB3" s="117"/>
    </row>
    <row r="4" spans="1:28" ht="15">
      <c r="A4" s="12" t="s">
        <v>76</v>
      </c>
      <c r="B4" s="12">
        <v>1</v>
      </c>
      <c r="C4" s="59">
        <v>0</v>
      </c>
      <c r="D4" s="12" t="s">
        <v>435</v>
      </c>
      <c r="E4" s="12" t="s">
        <v>78</v>
      </c>
      <c r="F4" s="12">
        <v>7460536554324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39"/>
      <c r="AA4" s="117"/>
      <c r="AB4" s="117"/>
    </row>
    <row r="5" spans="1:28" ht="15">
      <c r="A5" s="74" t="s">
        <v>144</v>
      </c>
      <c r="B5" s="74">
        <v>4</v>
      </c>
      <c r="C5" s="75">
        <v>0</v>
      </c>
      <c r="D5" s="74" t="s">
        <v>145</v>
      </c>
      <c r="E5" s="74" t="s">
        <v>146</v>
      </c>
      <c r="F5" s="74">
        <v>7702605103294</v>
      </c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</row>
    <row r="6" spans="1:28" ht="15">
      <c r="A6" s="440"/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0"/>
      <c r="T6" s="440"/>
      <c r="U6" s="440"/>
      <c r="V6" s="440"/>
      <c r="W6" s="440"/>
      <c r="X6" s="440"/>
      <c r="Y6" s="440"/>
      <c r="Z6" s="440"/>
      <c r="AA6" s="440"/>
      <c r="AB6" s="440"/>
    </row>
    <row r="7" spans="1:28" ht="15">
      <c r="A7" s="74" t="s">
        <v>436</v>
      </c>
      <c r="B7" s="74">
        <v>1</v>
      </c>
      <c r="C7" s="75">
        <v>0</v>
      </c>
      <c r="D7" s="336" t="s">
        <v>437</v>
      </c>
      <c r="E7" s="74" t="s">
        <v>438</v>
      </c>
      <c r="F7" s="378">
        <v>4104480705151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</row>
    <row r="8" spans="1:28" ht="15">
      <c r="A8" s="74" t="s">
        <v>439</v>
      </c>
      <c r="B8" s="74">
        <v>6</v>
      </c>
      <c r="C8" s="352">
        <v>0</v>
      </c>
      <c r="D8" s="352" t="s">
        <v>80</v>
      </c>
      <c r="E8" s="74" t="s">
        <v>332</v>
      </c>
      <c r="F8" s="74">
        <v>7705451000069</v>
      </c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117"/>
      <c r="AB8" s="117"/>
    </row>
    <row r="9" spans="1:28" ht="15">
      <c r="A9" s="65" t="s">
        <v>440</v>
      </c>
      <c r="B9" s="65">
        <v>1</v>
      </c>
      <c r="C9" s="66">
        <v>0</v>
      </c>
      <c r="D9" s="65" t="s">
        <v>441</v>
      </c>
      <c r="E9" s="65" t="s">
        <v>116</v>
      </c>
      <c r="F9" s="443">
        <v>7707288820254</v>
      </c>
      <c r="G9" s="8"/>
      <c r="H9" s="8"/>
      <c r="I9" s="8"/>
      <c r="J9" s="8"/>
      <c r="K9" s="8"/>
      <c r="L9" s="8"/>
      <c r="M9" s="8"/>
      <c r="N9" s="8"/>
      <c r="O9" s="8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</row>
    <row r="10" spans="1:28" ht="15">
      <c r="A10" s="92" t="s">
        <v>114</v>
      </c>
      <c r="B10" s="92">
        <v>1</v>
      </c>
      <c r="C10" s="93">
        <v>0</v>
      </c>
      <c r="D10" s="92" t="s">
        <v>442</v>
      </c>
      <c r="E10" s="92" t="s">
        <v>116</v>
      </c>
      <c r="F10" s="92">
        <v>8904159631646</v>
      </c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</row>
    <row r="11" spans="1:28" ht="15">
      <c r="A11" s="168" t="s">
        <v>149</v>
      </c>
      <c r="B11" s="168">
        <v>2</v>
      </c>
      <c r="C11" s="170">
        <v>0</v>
      </c>
      <c r="D11" s="168" t="s">
        <v>150</v>
      </c>
      <c r="E11" s="168" t="s">
        <v>151</v>
      </c>
      <c r="F11" s="444">
        <v>736085132069</v>
      </c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</row>
    <row r="12" spans="1:28" ht="15">
      <c r="A12" s="96" t="s">
        <v>360</v>
      </c>
      <c r="B12" s="96">
        <v>2</v>
      </c>
      <c r="C12" s="97">
        <v>0</v>
      </c>
      <c r="D12" s="96" t="s">
        <v>257</v>
      </c>
      <c r="E12" s="96" t="s">
        <v>361</v>
      </c>
      <c r="F12" s="369">
        <v>7703038067214</v>
      </c>
      <c r="G12" s="96"/>
      <c r="H12" s="96"/>
      <c r="I12" s="96"/>
      <c r="J12" s="96"/>
      <c r="K12" s="96"/>
      <c r="L12" s="96"/>
      <c r="M12" s="96"/>
      <c r="N12" s="96"/>
      <c r="O12" s="96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117"/>
      <c r="AA12" s="117"/>
      <c r="AB12" s="117"/>
    </row>
    <row r="13" spans="1:28" ht="15">
      <c r="A13" s="117" t="s">
        <v>443</v>
      </c>
      <c r="B13" s="117">
        <v>1</v>
      </c>
      <c r="C13" s="117">
        <v>0</v>
      </c>
      <c r="D13" s="117" t="s">
        <v>355</v>
      </c>
      <c r="E13" s="117" t="s">
        <v>444</v>
      </c>
      <c r="F13" s="117">
        <v>7702184014431</v>
      </c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</row>
    <row r="14" spans="1:28" ht="15">
      <c r="A14" s="8" t="s">
        <v>445</v>
      </c>
      <c r="B14" s="8">
        <v>3</v>
      </c>
      <c r="C14" s="167">
        <v>0</v>
      </c>
      <c r="D14" s="10" t="s">
        <v>59</v>
      </c>
      <c r="E14" s="8" t="s">
        <v>446</v>
      </c>
      <c r="F14" s="39">
        <v>7707364802167</v>
      </c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 spans="1:28" ht="15">
      <c r="A15" s="8" t="s">
        <v>447</v>
      </c>
      <c r="B15" s="8">
        <v>4</v>
      </c>
      <c r="C15" s="167">
        <v>0</v>
      </c>
      <c r="D15" s="10" t="s">
        <v>293</v>
      </c>
      <c r="E15" s="8" t="s">
        <v>448</v>
      </c>
      <c r="F15" s="39">
        <v>7707364802174</v>
      </c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</row>
    <row r="16" spans="1:28" ht="15">
      <c r="A16" s="32" t="s">
        <v>449</v>
      </c>
      <c r="B16" s="32">
        <v>1</v>
      </c>
      <c r="C16" s="82">
        <v>0</v>
      </c>
      <c r="D16" s="83" t="s">
        <v>450</v>
      </c>
      <c r="E16" s="32" t="s">
        <v>451</v>
      </c>
      <c r="F16" s="32">
        <v>7702814107564</v>
      </c>
      <c r="G16" s="117"/>
      <c r="H16" s="32"/>
      <c r="I16" s="32"/>
      <c r="J16" s="32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</row>
    <row r="17" spans="1:28" ht="15">
      <c r="A17" s="32" t="s">
        <v>452</v>
      </c>
      <c r="B17" s="32">
        <v>1</v>
      </c>
      <c r="C17" s="72">
        <v>0.19</v>
      </c>
      <c r="D17" s="32" t="s">
        <v>453</v>
      </c>
      <c r="E17" s="32" t="s">
        <v>454</v>
      </c>
      <c r="F17" s="32">
        <v>7709990384987</v>
      </c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117"/>
      <c r="AB17" s="117"/>
    </row>
    <row r="18" spans="1:28" ht="15">
      <c r="A18" s="440"/>
      <c r="B18" s="440"/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0"/>
      <c r="AA18" s="440"/>
      <c r="AB18" s="440"/>
    </row>
    <row r="19" spans="1:28">
      <c r="A19" s="8" t="s">
        <v>455</v>
      </c>
      <c r="B19" s="8">
        <v>3</v>
      </c>
      <c r="C19" s="9">
        <v>0</v>
      </c>
      <c r="D19" s="10" t="s">
        <v>7</v>
      </c>
      <c r="E19" s="8" t="s">
        <v>456</v>
      </c>
      <c r="F19" s="8">
        <v>7706659501709</v>
      </c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ht="15">
      <c r="A20" s="8" t="s">
        <v>111</v>
      </c>
      <c r="B20" s="8">
        <v>2</v>
      </c>
      <c r="C20" s="9">
        <v>0</v>
      </c>
      <c r="D20" s="8" t="s">
        <v>112</v>
      </c>
      <c r="E20" s="8" t="s">
        <v>113</v>
      </c>
      <c r="F20" s="447">
        <v>7703445050014</v>
      </c>
      <c r="G20" s="8"/>
      <c r="H20" s="8"/>
      <c r="I20" s="8"/>
      <c r="J20" s="8"/>
      <c r="K20" s="8"/>
      <c r="L20" s="8"/>
      <c r="M20" s="8"/>
      <c r="N20" s="8"/>
      <c r="O20" s="8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39"/>
      <c r="AB20" s="117"/>
    </row>
    <row r="21" spans="1:28" ht="15">
      <c r="A21" s="32" t="s">
        <v>457</v>
      </c>
      <c r="B21" s="32">
        <v>2</v>
      </c>
      <c r="C21" s="32">
        <v>0</v>
      </c>
      <c r="D21" s="32" t="s">
        <v>458</v>
      </c>
      <c r="E21" s="32" t="s">
        <v>459</v>
      </c>
      <c r="F21" s="371">
        <v>7705713400019</v>
      </c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</row>
    <row r="22" spans="1:28" ht="15">
      <c r="A22" s="12" t="s">
        <v>460</v>
      </c>
      <c r="B22" s="12">
        <v>2</v>
      </c>
      <c r="C22" s="70">
        <v>0</v>
      </c>
      <c r="D22" s="259" t="s">
        <v>133</v>
      </c>
      <c r="E22" s="12" t="s">
        <v>280</v>
      </c>
      <c r="F22" s="12">
        <v>7703038020103</v>
      </c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</row>
    <row r="23" spans="1:28" ht="15">
      <c r="A23" s="39" t="s">
        <v>461</v>
      </c>
      <c r="B23" s="39">
        <v>2</v>
      </c>
      <c r="C23" s="40">
        <v>0</v>
      </c>
      <c r="D23" s="39" t="s">
        <v>381</v>
      </c>
      <c r="E23" s="39" t="s">
        <v>462</v>
      </c>
      <c r="F23" s="39">
        <v>7707305850134</v>
      </c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</row>
    <row r="24" spans="1:28" ht="15">
      <c r="A24" s="440"/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40"/>
      <c r="AA24" s="440"/>
      <c r="AB24" s="440"/>
    </row>
    <row r="25" spans="1:28" ht="15">
      <c r="A25" s="117" t="s">
        <v>463</v>
      </c>
      <c r="B25" s="117">
        <v>2</v>
      </c>
      <c r="C25" s="345">
        <v>0</v>
      </c>
      <c r="D25" s="116" t="s">
        <v>464</v>
      </c>
      <c r="E25" s="117" t="s">
        <v>465</v>
      </c>
      <c r="F25" s="376">
        <v>7703153025120</v>
      </c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</row>
    <row r="26" spans="1:28" ht="15">
      <c r="A26" s="32" t="s">
        <v>466</v>
      </c>
      <c r="B26" s="32">
        <v>12</v>
      </c>
      <c r="C26" s="72">
        <v>0</v>
      </c>
      <c r="D26" s="32" t="s">
        <v>23</v>
      </c>
      <c r="E26" s="32" t="s">
        <v>467</v>
      </c>
      <c r="F26" s="321">
        <v>7702184030196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117"/>
      <c r="AA26" s="117"/>
      <c r="AB26" s="117"/>
    </row>
    <row r="27" spans="1:28" ht="15">
      <c r="A27" s="440"/>
      <c r="B27" s="440"/>
      <c r="C27" s="440"/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40"/>
      <c r="AA27" s="440"/>
      <c r="AB27" s="440"/>
    </row>
    <row r="28" spans="1:28" ht="15">
      <c r="A28" s="168" t="s">
        <v>468</v>
      </c>
      <c r="B28" s="168">
        <v>4</v>
      </c>
      <c r="C28" s="170">
        <v>0</v>
      </c>
      <c r="D28" s="157" t="s">
        <v>214</v>
      </c>
      <c r="E28" s="168" t="s">
        <v>469</v>
      </c>
      <c r="F28" s="168">
        <v>7702208146032</v>
      </c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</row>
    <row r="29" spans="1:28" ht="15">
      <c r="A29" s="39" t="s">
        <v>470</v>
      </c>
      <c r="B29" s="39">
        <v>2</v>
      </c>
      <c r="C29" s="40">
        <v>0</v>
      </c>
      <c r="D29" s="57" t="s">
        <v>471</v>
      </c>
      <c r="E29" s="39" t="s">
        <v>472</v>
      </c>
      <c r="F29" s="39">
        <v>7706127004183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117"/>
      <c r="AB29" s="117"/>
    </row>
    <row r="30" spans="1:28" ht="15">
      <c r="A30" s="96" t="s">
        <v>473</v>
      </c>
      <c r="B30" s="96">
        <v>1</v>
      </c>
      <c r="C30" s="97">
        <v>0</v>
      </c>
      <c r="D30" s="96" t="s">
        <v>156</v>
      </c>
      <c r="E30" s="96" t="s">
        <v>474</v>
      </c>
      <c r="F30" s="96">
        <v>7702195090479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117"/>
      <c r="AB30" s="117"/>
    </row>
    <row r="31" spans="1:28" ht="15">
      <c r="A31" s="117" t="s">
        <v>152</v>
      </c>
      <c r="B31" s="117">
        <v>6</v>
      </c>
      <c r="C31" s="345">
        <v>0</v>
      </c>
      <c r="D31" s="117" t="s">
        <v>153</v>
      </c>
      <c r="E31" s="117" t="s">
        <v>154</v>
      </c>
      <c r="F31" s="392">
        <v>7706569000958</v>
      </c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</row>
    <row r="32" spans="1:28" ht="15">
      <c r="A32" s="39" t="s">
        <v>190</v>
      </c>
      <c r="B32" s="39">
        <v>1</v>
      </c>
      <c r="C32" s="40">
        <v>0</v>
      </c>
      <c r="D32" s="39" t="s">
        <v>191</v>
      </c>
      <c r="E32" s="39" t="s">
        <v>192</v>
      </c>
      <c r="F32" s="39">
        <v>7702870004111</v>
      </c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</row>
    <row r="33" spans="1:28" ht="15">
      <c r="A33" s="200" t="s">
        <v>475</v>
      </c>
      <c r="B33" s="200">
        <v>4</v>
      </c>
      <c r="C33" s="360">
        <v>0</v>
      </c>
      <c r="D33" s="360" t="s">
        <v>476</v>
      </c>
      <c r="E33" s="200" t="s">
        <v>477</v>
      </c>
      <c r="F33" s="373">
        <v>7703712030695</v>
      </c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</row>
    <row r="34" spans="1:28" ht="15">
      <c r="A34" s="74" t="s">
        <v>478</v>
      </c>
      <c r="B34" s="74">
        <v>6</v>
      </c>
      <c r="C34" s="75">
        <v>0</v>
      </c>
      <c r="D34" s="74" t="s">
        <v>109</v>
      </c>
      <c r="E34" s="74" t="s">
        <v>479</v>
      </c>
      <c r="F34" s="74">
        <v>7708937097874</v>
      </c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</row>
    <row r="35" spans="1:28" ht="15">
      <c r="A35" s="440"/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</row>
    <row r="36" spans="1:28" ht="15">
      <c r="A36" s="74" t="s">
        <v>480</v>
      </c>
      <c r="B36" s="74">
        <v>1</v>
      </c>
      <c r="C36" s="75">
        <v>0</v>
      </c>
      <c r="D36" s="336" t="s">
        <v>481</v>
      </c>
      <c r="E36" s="74" t="s">
        <v>24</v>
      </c>
      <c r="F36" s="74">
        <v>7703445130181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117"/>
      <c r="AA36" s="117"/>
      <c r="AB36" s="117"/>
    </row>
    <row r="37" spans="1:28" ht="15">
      <c r="A37" s="39" t="s">
        <v>482</v>
      </c>
      <c r="B37" s="39">
        <v>2</v>
      </c>
      <c r="C37" s="40">
        <v>0</v>
      </c>
      <c r="D37" s="94" t="s">
        <v>38</v>
      </c>
      <c r="E37" s="39" t="s">
        <v>483</v>
      </c>
      <c r="F37" s="39">
        <v>7702560006395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117"/>
      <c r="AB37" s="117"/>
    </row>
    <row r="38" spans="1:28" ht="15">
      <c r="A38" s="12" t="s">
        <v>484</v>
      </c>
      <c r="B38" s="12">
        <v>3</v>
      </c>
      <c r="C38" s="59">
        <v>0</v>
      </c>
      <c r="D38" s="111" t="s">
        <v>485</v>
      </c>
      <c r="E38" s="12" t="s">
        <v>486</v>
      </c>
      <c r="F38" s="12">
        <v>7702208146018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17"/>
      <c r="AB38" s="117"/>
    </row>
    <row r="39" spans="1:28" ht="15">
      <c r="A39" s="168" t="s">
        <v>487</v>
      </c>
      <c r="B39" s="168">
        <v>3</v>
      </c>
      <c r="C39" s="170">
        <v>0</v>
      </c>
      <c r="D39" s="445" t="s">
        <v>488</v>
      </c>
      <c r="E39" s="168" t="s">
        <v>489</v>
      </c>
      <c r="F39" s="168">
        <v>7702208146001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117"/>
      <c r="AB39" s="117"/>
    </row>
    <row r="40" spans="1:28" ht="15">
      <c r="A40" s="8" t="s">
        <v>490</v>
      </c>
      <c r="B40" s="8">
        <v>1</v>
      </c>
      <c r="C40" s="9">
        <v>0</v>
      </c>
      <c r="D40" s="8" t="s">
        <v>491</v>
      </c>
      <c r="E40" s="8" t="s">
        <v>492</v>
      </c>
      <c r="F40" s="447">
        <v>77014542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117"/>
      <c r="AB40" s="117"/>
    </row>
    <row r="41" spans="1:28" ht="15">
      <c r="A41" s="117" t="s">
        <v>67</v>
      </c>
      <c r="B41" s="117">
        <v>1</v>
      </c>
      <c r="C41" s="345">
        <v>0</v>
      </c>
      <c r="D41" s="399" t="s">
        <v>458</v>
      </c>
      <c r="E41" s="117" t="s">
        <v>69</v>
      </c>
      <c r="F41" s="392">
        <v>7803510773319</v>
      </c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</row>
    <row r="42" spans="1:28" ht="15">
      <c r="A42" s="96" t="s">
        <v>493</v>
      </c>
      <c r="B42" s="96">
        <v>1</v>
      </c>
      <c r="C42" s="96">
        <v>0</v>
      </c>
      <c r="D42" s="95" t="s">
        <v>494</v>
      </c>
      <c r="E42" s="96" t="s">
        <v>495</v>
      </c>
      <c r="F42" s="96">
        <v>7795320051254</v>
      </c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</row>
    <row r="43" spans="1:28" ht="15">
      <c r="A43" s="39" t="s">
        <v>496</v>
      </c>
      <c r="B43" s="39">
        <v>2</v>
      </c>
      <c r="C43" s="40">
        <v>0</v>
      </c>
      <c r="D43" s="39" t="s">
        <v>497</v>
      </c>
      <c r="E43" s="39" t="s">
        <v>498</v>
      </c>
      <c r="F43" s="39">
        <v>7704588000416</v>
      </c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</row>
    <row r="44" spans="1:28" ht="15">
      <c r="A44" s="65" t="s">
        <v>499</v>
      </c>
      <c r="B44" s="65">
        <v>2</v>
      </c>
      <c r="C44" s="66">
        <v>0</v>
      </c>
      <c r="D44" s="65" t="s">
        <v>500</v>
      </c>
      <c r="E44" s="65" t="s">
        <v>501</v>
      </c>
      <c r="F44" s="443">
        <v>8437009433584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117"/>
      <c r="AA44" s="117"/>
      <c r="AB44" s="117"/>
    </row>
    <row r="45" spans="1:28" ht="15">
      <c r="A45" s="39" t="s">
        <v>502</v>
      </c>
      <c r="B45" s="39">
        <v>1</v>
      </c>
      <c r="C45" s="40">
        <v>0</v>
      </c>
      <c r="D45" s="39" t="s">
        <v>503</v>
      </c>
      <c r="E45" s="39" t="s">
        <v>504</v>
      </c>
      <c r="F45" s="39">
        <v>7702132011369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117"/>
      <c r="AB45" s="117"/>
    </row>
    <row r="46" spans="1:28" ht="15">
      <c r="A46" s="32" t="s">
        <v>505</v>
      </c>
      <c r="B46" s="32">
        <v>1</v>
      </c>
      <c r="C46" s="72">
        <v>0</v>
      </c>
      <c r="D46" s="83" t="s">
        <v>506</v>
      </c>
      <c r="E46" s="32" t="s">
        <v>507</v>
      </c>
      <c r="F46" s="32">
        <v>7707733979537</v>
      </c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 spans="1:28" ht="15">
      <c r="A47" s="440"/>
      <c r="B47" s="440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</row>
    <row r="48" spans="1:28" ht="15">
      <c r="A48" s="58" t="s">
        <v>508</v>
      </c>
      <c r="B48" s="12">
        <v>50</v>
      </c>
      <c r="C48" s="59">
        <v>0</v>
      </c>
      <c r="D48" s="60" t="s">
        <v>509</v>
      </c>
      <c r="E48" s="12" t="s">
        <v>280</v>
      </c>
      <c r="F48" s="308">
        <v>7702195116964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117"/>
      <c r="AA48" s="117"/>
      <c r="AB48" s="117"/>
    </row>
    <row r="49" spans="1:28" ht="15">
      <c r="A49" s="440"/>
      <c r="B49" s="440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40"/>
      <c r="Y49" s="440"/>
      <c r="Z49" s="440"/>
      <c r="AA49" s="440"/>
      <c r="AB49" s="440"/>
    </row>
    <row r="50" spans="1:28" ht="15">
      <c r="A50" s="32" t="s">
        <v>510</v>
      </c>
      <c r="B50" s="32">
        <v>6</v>
      </c>
      <c r="C50" s="72">
        <v>0</v>
      </c>
      <c r="D50" s="83" t="s">
        <v>293</v>
      </c>
      <c r="E50" s="32" t="s">
        <v>511</v>
      </c>
      <c r="F50" s="74">
        <v>7703038060994</v>
      </c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</row>
    <row r="51" spans="1:28" ht="15">
      <c r="A51" s="117" t="s">
        <v>512</v>
      </c>
      <c r="B51" s="74">
        <v>3</v>
      </c>
      <c r="C51" s="75">
        <v>0</v>
      </c>
      <c r="D51" s="91" t="s">
        <v>74</v>
      </c>
      <c r="E51" s="74" t="s">
        <v>513</v>
      </c>
      <c r="F51" s="378">
        <v>7709990202793</v>
      </c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</row>
    <row r="52" spans="1:28" ht="15">
      <c r="A52" s="32" t="s">
        <v>514</v>
      </c>
      <c r="B52" s="32">
        <v>1</v>
      </c>
      <c r="C52" s="72">
        <v>0</v>
      </c>
      <c r="D52" s="32" t="s">
        <v>515</v>
      </c>
      <c r="E52" s="32" t="s">
        <v>516</v>
      </c>
      <c r="F52" s="32">
        <v>7703202221282</v>
      </c>
      <c r="G52" s="74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</row>
    <row r="53" spans="1:28" ht="15">
      <c r="A53" s="117" t="s">
        <v>517</v>
      </c>
      <c r="B53" s="117">
        <v>6</v>
      </c>
      <c r="C53" s="345">
        <v>0</v>
      </c>
      <c r="D53" s="117" t="s">
        <v>103</v>
      </c>
      <c r="E53" s="117" t="s">
        <v>477</v>
      </c>
      <c r="F53" s="376">
        <v>7703712032705</v>
      </c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</row>
    <row r="54" spans="1:28" ht="15">
      <c r="A54" s="117" t="s">
        <v>518</v>
      </c>
      <c r="B54" s="117">
        <v>1</v>
      </c>
      <c r="C54" s="345">
        <v>0</v>
      </c>
      <c r="D54" s="117" t="s">
        <v>519</v>
      </c>
      <c r="E54" s="117" t="s">
        <v>520</v>
      </c>
      <c r="F54" s="117">
        <v>650240073199</v>
      </c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</row>
    <row r="55" spans="1:28" ht="15">
      <c r="A55" s="12" t="s">
        <v>521</v>
      </c>
      <c r="B55" s="12">
        <v>1</v>
      </c>
      <c r="C55" s="59">
        <v>0.05</v>
      </c>
      <c r="D55" s="111" t="s">
        <v>522</v>
      </c>
      <c r="E55" s="12" t="s">
        <v>523</v>
      </c>
      <c r="F55" s="308">
        <v>7703006086339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117"/>
      <c r="AB55" s="117"/>
    </row>
    <row r="56" spans="1:28" ht="15">
      <c r="A56" s="39" t="s">
        <v>413</v>
      </c>
      <c r="B56" s="39">
        <v>3</v>
      </c>
      <c r="C56" s="40">
        <v>0</v>
      </c>
      <c r="D56" s="94" t="s">
        <v>414</v>
      </c>
      <c r="E56" s="39" t="s">
        <v>415</v>
      </c>
      <c r="F56" s="39">
        <v>7702605105625</v>
      </c>
      <c r="G56" s="8"/>
      <c r="H56" s="8"/>
      <c r="I56" s="8"/>
      <c r="J56" s="8"/>
      <c r="K56" s="8"/>
      <c r="L56" s="8"/>
      <c r="M56" s="8"/>
      <c r="N56" s="8"/>
      <c r="O56" s="8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117"/>
    </row>
    <row r="57" spans="1:28" ht="15">
      <c r="A57" s="440"/>
      <c r="B57" s="440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  <c r="AB57" s="440"/>
    </row>
    <row r="58" spans="1:28" ht="15">
      <c r="A58" s="8" t="s">
        <v>524</v>
      </c>
      <c r="B58" s="8">
        <v>3</v>
      </c>
      <c r="C58" s="9">
        <v>0</v>
      </c>
      <c r="D58" s="203" t="s">
        <v>222</v>
      </c>
      <c r="E58" s="8" t="s">
        <v>525</v>
      </c>
      <c r="F58" s="8">
        <v>7707336090585</v>
      </c>
      <c r="G58" s="8"/>
      <c r="H58" s="8"/>
      <c r="I58" s="8"/>
      <c r="J58" s="8"/>
      <c r="K58" s="8"/>
      <c r="L58" s="8"/>
      <c r="M58" s="8"/>
      <c r="N58" s="8"/>
      <c r="O58" s="8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117"/>
      <c r="AA58" s="117"/>
      <c r="AB58" s="117"/>
    </row>
    <row r="59" spans="1:28" ht="15">
      <c r="A59" s="8" t="s">
        <v>526</v>
      </c>
      <c r="B59" s="8">
        <v>5</v>
      </c>
      <c r="C59" s="167">
        <v>0</v>
      </c>
      <c r="D59" s="8" t="s">
        <v>527</v>
      </c>
      <c r="E59" s="8" t="s">
        <v>528</v>
      </c>
      <c r="F59" s="8">
        <v>7702195057304</v>
      </c>
      <c r="G59" s="8"/>
      <c r="H59" s="8"/>
      <c r="I59" s="8"/>
      <c r="J59" s="8"/>
      <c r="K59" s="8"/>
      <c r="L59" s="8"/>
      <c r="M59" s="8"/>
      <c r="N59" s="8"/>
      <c r="O59" s="8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117"/>
      <c r="AB59" s="117"/>
    </row>
    <row r="60" spans="1:28" ht="15">
      <c r="A60" s="117" t="s">
        <v>529</v>
      </c>
      <c r="B60" s="117">
        <v>6</v>
      </c>
      <c r="C60" s="117">
        <v>0</v>
      </c>
      <c r="D60" s="117" t="s">
        <v>530</v>
      </c>
      <c r="E60" s="117" t="s">
        <v>513</v>
      </c>
      <c r="F60" s="117">
        <v>7703038065685</v>
      </c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39"/>
      <c r="AA60" s="117"/>
      <c r="AB60" s="117"/>
    </row>
    <row r="61" spans="1:28" ht="15">
      <c r="A61" s="32" t="s">
        <v>531</v>
      </c>
      <c r="B61" s="32">
        <v>3</v>
      </c>
      <c r="C61" s="72">
        <v>0</v>
      </c>
      <c r="D61" s="83" t="s">
        <v>91</v>
      </c>
      <c r="E61" s="32" t="s">
        <v>532</v>
      </c>
      <c r="F61" s="32">
        <v>7702896000364</v>
      </c>
      <c r="G61" s="74"/>
      <c r="H61" s="74"/>
      <c r="I61" s="74"/>
      <c r="J61" s="74"/>
      <c r="K61" s="74"/>
      <c r="L61" s="74"/>
      <c r="M61" s="74"/>
      <c r="N61" s="74"/>
      <c r="O61" s="74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</row>
    <row r="62" spans="1:28" ht="15">
      <c r="A62" s="12" t="s">
        <v>234</v>
      </c>
      <c r="B62" s="12">
        <v>1</v>
      </c>
      <c r="C62" s="59">
        <v>0</v>
      </c>
      <c r="D62" s="59" t="s">
        <v>235</v>
      </c>
      <c r="E62" s="12" t="s">
        <v>236</v>
      </c>
      <c r="F62" s="308">
        <v>7702057092344</v>
      </c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</row>
    <row r="63" spans="1:28" ht="15">
      <c r="A63" s="74" t="s">
        <v>533</v>
      </c>
      <c r="B63" s="74">
        <v>5</v>
      </c>
      <c r="C63" s="75">
        <v>0</v>
      </c>
      <c r="D63" s="336" t="s">
        <v>534</v>
      </c>
      <c r="E63" s="74" t="s">
        <v>535</v>
      </c>
      <c r="F63" s="74">
        <v>7703038594116</v>
      </c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117"/>
      <c r="AB63" s="117"/>
    </row>
    <row r="64" spans="1:28" ht="15">
      <c r="A64" s="32" t="s">
        <v>536</v>
      </c>
      <c r="B64" s="32">
        <v>1</v>
      </c>
      <c r="C64" s="72">
        <v>0</v>
      </c>
      <c r="D64" s="32" t="s">
        <v>115</v>
      </c>
      <c r="E64" s="32" t="s">
        <v>537</v>
      </c>
      <c r="F64" s="371">
        <v>7703153016050</v>
      </c>
      <c r="G64" s="74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</row>
    <row r="65" spans="1:28" ht="15">
      <c r="A65" s="440"/>
      <c r="B65" s="440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440"/>
      <c r="N65" s="440"/>
      <c r="O65" s="440"/>
      <c r="P65" s="440"/>
      <c r="Q65" s="440"/>
      <c r="R65" s="440"/>
      <c r="S65" s="440"/>
      <c r="T65" s="440"/>
      <c r="U65" s="440"/>
      <c r="V65" s="440"/>
      <c r="W65" s="440"/>
      <c r="X65" s="440"/>
      <c r="Y65" s="440"/>
      <c r="Z65" s="440"/>
      <c r="AA65" s="440"/>
      <c r="AB65" s="440"/>
    </row>
    <row r="66" spans="1:28" ht="15">
      <c r="A66" s="32" t="s">
        <v>538</v>
      </c>
      <c r="B66" s="32">
        <v>2</v>
      </c>
      <c r="C66" s="72">
        <v>0</v>
      </c>
      <c r="D66" s="32" t="s">
        <v>7</v>
      </c>
      <c r="E66" s="32" t="s">
        <v>539</v>
      </c>
      <c r="F66" s="321">
        <v>7702896001774</v>
      </c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</row>
    <row r="67" spans="1:28" ht="15">
      <c r="A67" s="117" t="s">
        <v>540</v>
      </c>
      <c r="B67" s="117">
        <v>2</v>
      </c>
      <c r="C67" s="117">
        <v>0</v>
      </c>
      <c r="D67" s="117" t="s">
        <v>427</v>
      </c>
      <c r="E67" s="117" t="s">
        <v>322</v>
      </c>
      <c r="F67" s="117">
        <v>7707019385175</v>
      </c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</row>
    <row r="68" spans="1:28" ht="15">
      <c r="A68" s="117" t="s">
        <v>541</v>
      </c>
      <c r="B68" s="117">
        <v>1</v>
      </c>
      <c r="C68" s="117">
        <v>0</v>
      </c>
      <c r="D68" s="117" t="s">
        <v>68</v>
      </c>
      <c r="E68" s="117" t="s">
        <v>542</v>
      </c>
      <c r="F68" s="117">
        <v>7703283163013</v>
      </c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</row>
    <row r="69" spans="1:28" ht="15">
      <c r="A69" s="117" t="s">
        <v>543</v>
      </c>
      <c r="B69" s="117">
        <v>1</v>
      </c>
      <c r="C69" s="117">
        <v>0</v>
      </c>
      <c r="D69" s="117" t="s">
        <v>544</v>
      </c>
      <c r="E69" s="117" t="s">
        <v>107</v>
      </c>
      <c r="F69" s="117">
        <v>7704163000855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</row>
    <row r="70" spans="1:28" ht="15">
      <c r="A70" s="440"/>
      <c r="B70" s="440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0"/>
      <c r="O70" s="440"/>
      <c r="P70" s="440"/>
      <c r="Q70" s="440"/>
      <c r="R70" s="440"/>
      <c r="S70" s="440"/>
      <c r="T70" s="440"/>
      <c r="U70" s="440"/>
      <c r="V70" s="440"/>
      <c r="W70" s="440"/>
      <c r="X70" s="440"/>
      <c r="Y70" s="440"/>
      <c r="Z70" s="440"/>
      <c r="AA70" s="440"/>
      <c r="AB70" s="440"/>
    </row>
    <row r="71" spans="1:28" ht="15">
      <c r="A71" s="8" t="s">
        <v>526</v>
      </c>
      <c r="B71" s="8">
        <v>4</v>
      </c>
      <c r="C71" s="167">
        <v>0</v>
      </c>
      <c r="D71" s="8" t="s">
        <v>527</v>
      </c>
      <c r="E71" s="8" t="s">
        <v>528</v>
      </c>
      <c r="F71" s="8">
        <v>7702195057304</v>
      </c>
      <c r="G71" s="8"/>
      <c r="H71" s="8"/>
      <c r="I71" s="8"/>
      <c r="J71" s="8"/>
      <c r="K71" s="8"/>
      <c r="L71" s="8"/>
      <c r="M71" s="8"/>
      <c r="N71" s="8"/>
      <c r="O71" s="8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117"/>
      <c r="AB71" s="117"/>
    </row>
    <row r="72" spans="1:28" ht="15">
      <c r="A72" s="39" t="s">
        <v>545</v>
      </c>
      <c r="B72" s="39">
        <v>2</v>
      </c>
      <c r="C72" s="40">
        <v>0.19</v>
      </c>
      <c r="D72" s="94" t="s">
        <v>546</v>
      </c>
      <c r="E72" s="39" t="s">
        <v>547</v>
      </c>
      <c r="F72" s="39">
        <v>7501035911376</v>
      </c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117"/>
      <c r="AB72" s="117"/>
    </row>
    <row r="73" spans="1:28" ht="15">
      <c r="A73" s="117" t="s">
        <v>548</v>
      </c>
      <c r="B73" s="117">
        <v>2</v>
      </c>
      <c r="C73" s="345">
        <v>0.19</v>
      </c>
      <c r="D73" s="117" t="s">
        <v>74</v>
      </c>
      <c r="E73" s="117" t="s">
        <v>549</v>
      </c>
      <c r="F73" s="117">
        <v>7509546653532</v>
      </c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</row>
    <row r="74" spans="1:28" ht="15">
      <c r="A74" s="96" t="s">
        <v>550</v>
      </c>
      <c r="B74" s="96">
        <v>2</v>
      </c>
      <c r="C74" s="97">
        <v>0.19</v>
      </c>
      <c r="D74" s="96" t="s">
        <v>7</v>
      </c>
      <c r="E74" s="96" t="s">
        <v>551</v>
      </c>
      <c r="F74" s="96">
        <v>7701684000043</v>
      </c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</row>
    <row r="75" spans="1:28">
      <c r="A75" s="8" t="s">
        <v>552</v>
      </c>
      <c r="B75" s="8">
        <v>2</v>
      </c>
      <c r="C75" s="9">
        <v>0.19</v>
      </c>
      <c r="D75" s="203" t="s">
        <v>553</v>
      </c>
      <c r="E75" s="8" t="s">
        <v>554</v>
      </c>
      <c r="F75" s="8">
        <v>7703286109506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39"/>
      <c r="AB75" s="39"/>
    </row>
    <row r="76" spans="1:28" ht="15">
      <c r="A76" s="440"/>
      <c r="B76" s="440"/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40"/>
      <c r="O76" s="440"/>
      <c r="P76" s="440"/>
      <c r="Q76" s="440"/>
      <c r="R76" s="440"/>
      <c r="S76" s="440"/>
      <c r="T76" s="440"/>
      <c r="U76" s="440"/>
      <c r="V76" s="440"/>
      <c r="W76" s="440"/>
      <c r="X76" s="440"/>
      <c r="Y76" s="440"/>
      <c r="Z76" s="440"/>
      <c r="AA76" s="440"/>
      <c r="AB76" s="440"/>
    </row>
    <row r="77" spans="1:28" ht="15">
      <c r="A77" s="117" t="s">
        <v>463</v>
      </c>
      <c r="B77" s="117">
        <v>2</v>
      </c>
      <c r="C77" s="345">
        <v>0</v>
      </c>
      <c r="D77" s="116" t="s">
        <v>464</v>
      </c>
      <c r="E77" s="117" t="s">
        <v>465</v>
      </c>
      <c r="F77" s="376">
        <v>7703153025120</v>
      </c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</row>
    <row r="78" spans="1:28" ht="15">
      <c r="A78" s="74" t="s">
        <v>555</v>
      </c>
      <c r="B78" s="74">
        <v>2</v>
      </c>
      <c r="C78" s="75">
        <v>0</v>
      </c>
      <c r="D78" s="74" t="s">
        <v>74</v>
      </c>
      <c r="E78" s="74" t="s">
        <v>556</v>
      </c>
      <c r="F78" s="378">
        <v>7707288826935</v>
      </c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</row>
    <row r="79" spans="1:28" ht="15">
      <c r="A79" s="440"/>
      <c r="B79" s="440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440"/>
      <c r="O79" s="440"/>
      <c r="P79" s="440"/>
      <c r="Q79" s="440"/>
      <c r="R79" s="440"/>
      <c r="S79" s="440"/>
      <c r="T79" s="440"/>
      <c r="U79" s="440"/>
      <c r="V79" s="440"/>
      <c r="W79" s="440"/>
      <c r="X79" s="440"/>
      <c r="Y79" s="440"/>
      <c r="Z79" s="440"/>
      <c r="AA79" s="440"/>
      <c r="AB79" s="440"/>
    </row>
    <row r="80" spans="1:28" ht="15">
      <c r="A80" s="74" t="s">
        <v>557</v>
      </c>
      <c r="B80" s="74">
        <v>1</v>
      </c>
      <c r="C80" s="75">
        <v>0</v>
      </c>
      <c r="D80" s="336" t="s">
        <v>348</v>
      </c>
      <c r="E80" s="74" t="s">
        <v>558</v>
      </c>
      <c r="F80" s="378">
        <v>7702132009748</v>
      </c>
      <c r="G80" s="74"/>
      <c r="H80" s="74"/>
      <c r="I80" s="74"/>
      <c r="J80" s="74"/>
      <c r="K80" s="74"/>
      <c r="L80" s="74"/>
      <c r="M80" s="74"/>
      <c r="N80" s="74"/>
      <c r="O80" s="74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</row>
    <row r="81" spans="1:28" ht="15">
      <c r="A81" s="12" t="s">
        <v>183</v>
      </c>
      <c r="B81" s="12">
        <v>3</v>
      </c>
      <c r="C81" s="59">
        <v>0</v>
      </c>
      <c r="D81" s="12" t="s">
        <v>118</v>
      </c>
      <c r="E81" s="12" t="s">
        <v>184</v>
      </c>
      <c r="F81" s="308">
        <v>7703712012097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17"/>
      <c r="AA81" s="117"/>
      <c r="AB81" s="117"/>
    </row>
    <row r="82" spans="1:28" ht="15">
      <c r="A82" s="39" t="s">
        <v>559</v>
      </c>
      <c r="B82" s="39">
        <v>1</v>
      </c>
      <c r="C82" s="39">
        <v>0</v>
      </c>
      <c r="D82" s="94" t="s">
        <v>464</v>
      </c>
      <c r="E82" s="39" t="s">
        <v>560</v>
      </c>
      <c r="F82" s="446">
        <v>7702057010317</v>
      </c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</row>
    <row r="83" spans="1:28" ht="15">
      <c r="A83" s="12" t="s">
        <v>561</v>
      </c>
      <c r="B83" s="12">
        <v>2</v>
      </c>
      <c r="C83" s="59">
        <v>0</v>
      </c>
      <c r="D83" s="59" t="s">
        <v>23</v>
      </c>
      <c r="E83" s="12" t="s">
        <v>562</v>
      </c>
      <c r="F83" s="308">
        <v>8710428018670</v>
      </c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117"/>
      <c r="AB83" s="117"/>
    </row>
    <row r="84" spans="1:28" ht="15">
      <c r="A84" s="117" t="s">
        <v>563</v>
      </c>
      <c r="B84" s="117">
        <v>2</v>
      </c>
      <c r="C84" s="117">
        <v>0</v>
      </c>
      <c r="D84" s="117" t="s">
        <v>564</v>
      </c>
      <c r="E84" s="12" t="s">
        <v>562</v>
      </c>
      <c r="F84" s="117">
        <v>8710428019561</v>
      </c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</row>
    <row r="85" spans="1:28" ht="15">
      <c r="A85" s="117" t="s">
        <v>565</v>
      </c>
      <c r="B85" s="117">
        <v>1</v>
      </c>
      <c r="C85" s="117">
        <v>0</v>
      </c>
      <c r="D85" s="117" t="s">
        <v>91</v>
      </c>
      <c r="E85" s="12" t="s">
        <v>562</v>
      </c>
      <c r="F85" s="117">
        <v>7703186031433</v>
      </c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</row>
    <row r="86" spans="1:28" ht="15">
      <c r="A86" s="74" t="s">
        <v>566</v>
      </c>
      <c r="B86" s="74">
        <v>2</v>
      </c>
      <c r="C86" s="75">
        <v>0</v>
      </c>
      <c r="D86" s="74" t="s">
        <v>567</v>
      </c>
      <c r="E86" s="74"/>
      <c r="F86" s="74">
        <v>7702057070205</v>
      </c>
      <c r="G86" s="74"/>
      <c r="H86" s="74"/>
      <c r="I86" s="74"/>
      <c r="J86" s="74"/>
      <c r="K86" s="74"/>
      <c r="L86" s="74"/>
      <c r="M86" s="74"/>
      <c r="N86" s="74"/>
      <c r="O86" s="74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 spans="1:28" ht="15">
      <c r="A87" s="117" t="s">
        <v>568</v>
      </c>
      <c r="B87" s="117">
        <v>1</v>
      </c>
      <c r="C87" s="345">
        <v>0</v>
      </c>
      <c r="D87" s="345" t="s">
        <v>569</v>
      </c>
      <c r="E87" s="117" t="s">
        <v>570</v>
      </c>
      <c r="F87" s="117">
        <v>751273778140</v>
      </c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 spans="1:28" ht="15">
      <c r="A88" s="32" t="s">
        <v>457</v>
      </c>
      <c r="B88" s="32">
        <v>2</v>
      </c>
      <c r="C88" s="32">
        <v>0</v>
      </c>
      <c r="D88" s="32" t="s">
        <v>458</v>
      </c>
      <c r="E88" s="32" t="s">
        <v>459</v>
      </c>
      <c r="F88" s="371">
        <v>7705713400019</v>
      </c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</row>
    <row r="89" spans="1:28" ht="15">
      <c r="A89" s="117" t="s">
        <v>571</v>
      </c>
      <c r="B89" s="117">
        <v>2</v>
      </c>
      <c r="C89" s="117">
        <v>0</v>
      </c>
      <c r="D89" s="117" t="s">
        <v>572</v>
      </c>
      <c r="E89" s="117" t="s">
        <v>573</v>
      </c>
      <c r="F89" s="117">
        <v>7702057074487</v>
      </c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</row>
    <row r="90" spans="1:28" ht="15">
      <c r="A90" s="8" t="s">
        <v>574</v>
      </c>
      <c r="B90" s="8">
        <v>1</v>
      </c>
      <c r="C90" s="9">
        <v>0</v>
      </c>
      <c r="D90" s="203" t="s">
        <v>575</v>
      </c>
      <c r="E90" s="8" t="s">
        <v>576</v>
      </c>
      <c r="F90" s="8">
        <v>7896261001572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117"/>
      <c r="AB90" s="117"/>
    </row>
    <row r="91" spans="1:28" ht="15">
      <c r="A91" s="168" t="s">
        <v>577</v>
      </c>
      <c r="B91" s="168">
        <v>4</v>
      </c>
      <c r="C91" s="319">
        <v>0</v>
      </c>
      <c r="D91" s="320" t="s">
        <v>578</v>
      </c>
      <c r="E91" s="168" t="s">
        <v>579</v>
      </c>
      <c r="F91" s="168">
        <v>7702057079642</v>
      </c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</row>
    <row r="92" spans="1:28" ht="15">
      <c r="A92" s="440"/>
      <c r="B92" s="440"/>
      <c r="C92" s="440"/>
      <c r="D92" s="440"/>
      <c r="E92" s="440"/>
      <c r="F92" s="440"/>
      <c r="G92" s="440"/>
      <c r="H92" s="440"/>
      <c r="I92" s="440"/>
      <c r="J92" s="440"/>
      <c r="K92" s="440"/>
      <c r="L92" s="440"/>
      <c r="M92" s="440"/>
      <c r="N92" s="440"/>
      <c r="O92" s="440"/>
      <c r="P92" s="440"/>
      <c r="Q92" s="440"/>
      <c r="R92" s="440"/>
      <c r="S92" s="440"/>
      <c r="T92" s="440"/>
      <c r="U92" s="440"/>
      <c r="V92" s="440"/>
      <c r="W92" s="440"/>
      <c r="X92" s="440"/>
      <c r="Y92" s="440"/>
      <c r="Z92" s="440"/>
      <c r="AA92" s="440"/>
      <c r="AB92" s="440"/>
    </row>
    <row r="93" spans="1:28" ht="15">
      <c r="A93" s="74" t="s">
        <v>580</v>
      </c>
      <c r="B93" s="74">
        <v>1</v>
      </c>
      <c r="C93" s="75">
        <v>0.19</v>
      </c>
      <c r="D93" s="74" t="s">
        <v>91</v>
      </c>
      <c r="E93" s="74" t="s">
        <v>581</v>
      </c>
      <c r="F93" s="74">
        <v>650240007828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117"/>
      <c r="AB93" s="117"/>
    </row>
    <row r="94" spans="1:28" ht="15">
      <c r="A94" s="39" t="s">
        <v>582</v>
      </c>
      <c r="B94" s="39">
        <v>1</v>
      </c>
      <c r="C94" s="40">
        <v>0.19</v>
      </c>
      <c r="D94" s="39" t="s">
        <v>14</v>
      </c>
      <c r="E94" s="39" t="s">
        <v>583</v>
      </c>
      <c r="F94" s="39">
        <v>650240035401</v>
      </c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117"/>
      <c r="AB94" s="117"/>
    </row>
    <row r="95" spans="1:28" ht="15">
      <c r="A95" s="168" t="s">
        <v>584</v>
      </c>
      <c r="B95" s="168">
        <v>6</v>
      </c>
      <c r="C95" s="170">
        <v>0</v>
      </c>
      <c r="D95" s="168" t="s">
        <v>585</v>
      </c>
      <c r="E95" s="168" t="s">
        <v>586</v>
      </c>
      <c r="F95" s="168">
        <v>7703712030930</v>
      </c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</row>
    <row r="96" spans="1:28" ht="15">
      <c r="A96" s="440"/>
      <c r="B96" s="440"/>
      <c r="C96" s="440"/>
      <c r="D96" s="440"/>
      <c r="E96" s="440"/>
      <c r="F96" s="440"/>
      <c r="G96" s="440"/>
      <c r="H96" s="440"/>
      <c r="I96" s="440"/>
      <c r="J96" s="440"/>
      <c r="K96" s="440"/>
      <c r="L96" s="440"/>
      <c r="M96" s="440"/>
      <c r="N96" s="440"/>
      <c r="O96" s="440"/>
      <c r="P96" s="440"/>
      <c r="Q96" s="440"/>
      <c r="R96" s="440"/>
      <c r="S96" s="440"/>
      <c r="T96" s="440"/>
      <c r="U96" s="440"/>
      <c r="V96" s="440"/>
      <c r="W96" s="440"/>
      <c r="X96" s="440"/>
      <c r="Y96" s="440"/>
      <c r="Z96" s="440"/>
      <c r="AA96" s="440"/>
      <c r="AB96" s="440"/>
    </row>
    <row r="97" spans="1:28">
      <c r="A97" s="8" t="s">
        <v>42</v>
      </c>
      <c r="B97" s="8">
        <v>6</v>
      </c>
      <c r="C97" s="9">
        <v>0</v>
      </c>
      <c r="D97" s="8" t="s">
        <v>587</v>
      </c>
      <c r="E97" s="8" t="s">
        <v>44</v>
      </c>
      <c r="F97" s="8">
        <v>7702870004425</v>
      </c>
      <c r="G97" s="8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>
      <c r="A98" s="39" t="s">
        <v>588</v>
      </c>
      <c r="B98" s="39">
        <v>1</v>
      </c>
      <c r="C98" s="40">
        <v>0</v>
      </c>
      <c r="D98" s="84" t="s">
        <v>589</v>
      </c>
      <c r="E98" s="39" t="s">
        <v>590</v>
      </c>
      <c r="F98" s="446">
        <v>7703202221305</v>
      </c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15">
      <c r="A99" s="12" t="s">
        <v>591</v>
      </c>
      <c r="B99" s="12">
        <v>1</v>
      </c>
      <c r="C99" s="59">
        <v>0</v>
      </c>
      <c r="D99" s="111" t="s">
        <v>592</v>
      </c>
      <c r="E99" s="12" t="s">
        <v>454</v>
      </c>
      <c r="F99" s="12">
        <v>7703153011468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117"/>
      <c r="AB99" s="117"/>
    </row>
    <row r="100" spans="1:28" ht="15">
      <c r="A100" s="74" t="s">
        <v>160</v>
      </c>
      <c r="B100" s="74">
        <v>4</v>
      </c>
      <c r="C100" s="75">
        <v>0</v>
      </c>
      <c r="D100" s="75" t="s">
        <v>14</v>
      </c>
      <c r="E100" s="74" t="s">
        <v>161</v>
      </c>
      <c r="F100" s="74">
        <v>7704412118546</v>
      </c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</row>
    <row r="101" spans="1:28" ht="15">
      <c r="A101" s="117" t="s">
        <v>593</v>
      </c>
      <c r="B101" s="117">
        <v>5</v>
      </c>
      <c r="C101" s="345">
        <v>0</v>
      </c>
      <c r="D101" s="116" t="s">
        <v>118</v>
      </c>
      <c r="E101" s="117" t="s">
        <v>594</v>
      </c>
      <c r="F101" s="117">
        <v>7709930569436</v>
      </c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</row>
    <row r="102" spans="1:28" ht="15">
      <c r="A102" s="12" t="s">
        <v>595</v>
      </c>
      <c r="B102" s="12">
        <v>2</v>
      </c>
      <c r="C102" s="59">
        <v>0</v>
      </c>
      <c r="D102" s="12" t="s">
        <v>596</v>
      </c>
      <c r="E102" s="12" t="s">
        <v>597</v>
      </c>
      <c r="F102" s="308">
        <v>8027950200245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</row>
    <row r="103" spans="1:28" ht="15">
      <c r="A103" s="32" t="s">
        <v>598</v>
      </c>
      <c r="B103" s="32" t="s">
        <v>599</v>
      </c>
      <c r="C103" s="72">
        <v>0</v>
      </c>
      <c r="D103" s="72" t="s">
        <v>600</v>
      </c>
      <c r="E103" s="32" t="s">
        <v>601</v>
      </c>
      <c r="F103" s="321">
        <v>7702003985812</v>
      </c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</row>
    <row r="104" spans="1:28">
      <c r="A104" s="8" t="s">
        <v>602</v>
      </c>
      <c r="B104" s="8">
        <v>1</v>
      </c>
      <c r="C104" s="9">
        <v>0.19</v>
      </c>
      <c r="D104" s="8" t="s">
        <v>603</v>
      </c>
      <c r="E104" s="8" t="s">
        <v>604</v>
      </c>
      <c r="F104" s="447">
        <v>7702123012108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39"/>
      <c r="AA104" s="39"/>
      <c r="AB104" s="39"/>
    </row>
    <row r="105" spans="1:28" ht="15">
      <c r="A105" s="440"/>
      <c r="B105" s="440"/>
      <c r="C105" s="440"/>
      <c r="D105" s="440"/>
      <c r="E105" s="440"/>
      <c r="F105" s="440"/>
      <c r="G105" s="440"/>
      <c r="H105" s="440"/>
      <c r="I105" s="440"/>
      <c r="J105" s="440"/>
      <c r="K105" s="440"/>
      <c r="L105" s="440"/>
      <c r="M105" s="440"/>
      <c r="N105" s="440"/>
      <c r="O105" s="440"/>
      <c r="P105" s="440"/>
      <c r="Q105" s="440"/>
      <c r="R105" s="440"/>
      <c r="S105" s="440"/>
      <c r="T105" s="440"/>
      <c r="U105" s="440"/>
      <c r="V105" s="440"/>
      <c r="W105" s="440"/>
      <c r="X105" s="440"/>
      <c r="Y105" s="440"/>
      <c r="Z105" s="440"/>
      <c r="AA105" s="440"/>
      <c r="AB105" s="440"/>
    </row>
    <row r="106" spans="1:28" ht="15">
      <c r="A106" s="96" t="s">
        <v>605</v>
      </c>
      <c r="B106" s="96">
        <v>3</v>
      </c>
      <c r="C106" s="97">
        <v>0</v>
      </c>
      <c r="D106" s="96" t="s">
        <v>91</v>
      </c>
      <c r="E106" s="96" t="s">
        <v>606</v>
      </c>
      <c r="F106" s="375">
        <v>7703451000010</v>
      </c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</row>
    <row r="107" spans="1:28" ht="15">
      <c r="A107" s="200" t="s">
        <v>607</v>
      </c>
      <c r="B107" s="200">
        <v>2</v>
      </c>
      <c r="C107" s="360">
        <v>0</v>
      </c>
      <c r="D107" s="361" t="s">
        <v>608</v>
      </c>
      <c r="E107" s="200" t="s">
        <v>609</v>
      </c>
      <c r="F107" s="382">
        <v>7702123001423</v>
      </c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</row>
    <row r="108" spans="1:28" ht="15">
      <c r="A108" s="65" t="s">
        <v>610</v>
      </c>
      <c r="B108" s="65">
        <v>3</v>
      </c>
      <c r="C108" s="66">
        <v>0</v>
      </c>
      <c r="D108" s="67" t="s">
        <v>491</v>
      </c>
      <c r="E108" s="65" t="s">
        <v>611</v>
      </c>
      <c r="F108" s="448">
        <v>8901117251175</v>
      </c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</row>
    <row r="109" spans="1:28" ht="15">
      <c r="A109" s="168" t="s">
        <v>612</v>
      </c>
      <c r="B109" s="168">
        <v>2</v>
      </c>
      <c r="C109" s="170">
        <v>0</v>
      </c>
      <c r="D109" s="171" t="s">
        <v>88</v>
      </c>
      <c r="E109" s="168" t="s">
        <v>613</v>
      </c>
      <c r="F109" s="168">
        <v>7706309000132</v>
      </c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</row>
    <row r="110" spans="1:28" ht="15">
      <c r="A110" s="39" t="s">
        <v>614</v>
      </c>
      <c r="B110" s="39">
        <v>4</v>
      </c>
      <c r="C110" s="40">
        <v>0</v>
      </c>
      <c r="D110" s="39" t="s">
        <v>29</v>
      </c>
      <c r="E110" s="39" t="s">
        <v>615</v>
      </c>
      <c r="F110" s="39">
        <v>7702057075231</v>
      </c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</row>
    <row r="111" spans="1:28" ht="15">
      <c r="A111" s="65" t="s">
        <v>616</v>
      </c>
      <c r="B111" s="65">
        <v>3</v>
      </c>
      <c r="C111" s="66">
        <v>0</v>
      </c>
      <c r="D111" s="65" t="s">
        <v>617</v>
      </c>
      <c r="E111" s="65" t="s">
        <v>618</v>
      </c>
      <c r="F111" s="443">
        <v>7702870071465</v>
      </c>
      <c r="G111" s="65"/>
      <c r="H111" s="65"/>
      <c r="I111" s="65"/>
      <c r="J111" s="65"/>
      <c r="K111" s="65"/>
      <c r="L111" s="65"/>
      <c r="M111" s="65"/>
      <c r="N111" s="65"/>
      <c r="O111" s="65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</row>
    <row r="112" spans="1:28">
      <c r="A112" s="39" t="s">
        <v>619</v>
      </c>
      <c r="B112" s="39">
        <v>1</v>
      </c>
      <c r="C112" s="40">
        <v>0.19</v>
      </c>
      <c r="D112" s="94" t="s">
        <v>88</v>
      </c>
      <c r="E112" s="39" t="s">
        <v>620</v>
      </c>
      <c r="F112" s="39">
        <v>7703286100626</v>
      </c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 ht="15">
      <c r="A113" s="117" t="s">
        <v>621</v>
      </c>
      <c r="B113" s="117">
        <v>1</v>
      </c>
      <c r="C113" s="345">
        <v>0.19</v>
      </c>
      <c r="D113" s="117" t="s">
        <v>622</v>
      </c>
      <c r="E113" s="117" t="s">
        <v>623</v>
      </c>
      <c r="F113" s="117">
        <v>8411135009684</v>
      </c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</row>
    <row r="114" spans="1:28" ht="15">
      <c r="A114" s="117" t="s">
        <v>624</v>
      </c>
      <c r="B114" s="117">
        <v>2</v>
      </c>
      <c r="C114" s="345">
        <v>0.19</v>
      </c>
      <c r="D114" s="117" t="s">
        <v>625</v>
      </c>
      <c r="E114" s="117" t="s">
        <v>626</v>
      </c>
      <c r="F114" s="117">
        <v>8411135009639</v>
      </c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 spans="1:28" ht="15">
      <c r="A115" s="117" t="s">
        <v>627</v>
      </c>
      <c r="B115" s="117">
        <v>1</v>
      </c>
      <c r="C115" s="345">
        <v>0.19</v>
      </c>
      <c r="D115" s="117" t="s">
        <v>26</v>
      </c>
      <c r="E115" s="117" t="s">
        <v>628</v>
      </c>
      <c r="F115" s="117">
        <v>8411135009677</v>
      </c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 spans="1:28" ht="15">
      <c r="A116" s="117" t="s">
        <v>629</v>
      </c>
      <c r="B116" s="117">
        <v>3</v>
      </c>
      <c r="C116" s="117">
        <v>0</v>
      </c>
      <c r="D116" s="117" t="s">
        <v>38</v>
      </c>
      <c r="E116" s="117" t="s">
        <v>630</v>
      </c>
      <c r="F116" s="117">
        <v>7702057075101</v>
      </c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</row>
    <row r="117" spans="1:28" ht="15">
      <c r="A117" s="440"/>
      <c r="B117" s="440"/>
      <c r="C117" s="440"/>
      <c r="D117" s="440"/>
      <c r="E117" s="440"/>
      <c r="F117" s="440"/>
      <c r="G117" s="440"/>
      <c r="H117" s="440"/>
      <c r="I117" s="440"/>
      <c r="J117" s="440"/>
      <c r="K117" s="440"/>
      <c r="L117" s="440"/>
      <c r="M117" s="440"/>
      <c r="N117" s="440"/>
      <c r="O117" s="440"/>
      <c r="P117" s="440"/>
      <c r="Q117" s="440"/>
      <c r="R117" s="440"/>
      <c r="S117" s="440"/>
      <c r="T117" s="440"/>
      <c r="U117" s="440"/>
      <c r="V117" s="440"/>
      <c r="W117" s="440"/>
      <c r="X117" s="440"/>
      <c r="Y117" s="440"/>
      <c r="Z117" s="440"/>
      <c r="AA117" s="440"/>
      <c r="AB117" s="440"/>
    </row>
    <row r="118" spans="1:28" ht="15">
      <c r="A118" s="117" t="s">
        <v>631</v>
      </c>
      <c r="B118" s="117">
        <v>1</v>
      </c>
      <c r="C118" s="97">
        <v>0</v>
      </c>
      <c r="D118" s="120" t="s">
        <v>453</v>
      </c>
      <c r="E118" s="117" t="s">
        <v>632</v>
      </c>
      <c r="F118" s="117">
        <v>7703038065470</v>
      </c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</row>
    <row r="119" spans="1:28" ht="15">
      <c r="A119" s="8" t="s">
        <v>633</v>
      </c>
      <c r="B119" s="8">
        <v>2</v>
      </c>
      <c r="C119" s="9">
        <v>0</v>
      </c>
      <c r="D119" s="8" t="s">
        <v>293</v>
      </c>
      <c r="E119" s="8" t="s">
        <v>634</v>
      </c>
      <c r="F119" s="447">
        <v>7702626211770</v>
      </c>
      <c r="G119" s="8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</row>
    <row r="120" spans="1:28" ht="15">
      <c r="A120" s="117" t="s">
        <v>631</v>
      </c>
      <c r="B120" s="117">
        <v>3</v>
      </c>
      <c r="C120" s="97">
        <v>0</v>
      </c>
      <c r="D120" s="120" t="s">
        <v>453</v>
      </c>
      <c r="E120" s="117" t="s">
        <v>632</v>
      </c>
      <c r="F120" s="117">
        <v>7703038065470</v>
      </c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</row>
    <row r="121" spans="1:28" ht="15">
      <c r="A121" s="8" t="s">
        <v>635</v>
      </c>
      <c r="B121" s="8">
        <v>3</v>
      </c>
      <c r="C121" s="9">
        <v>0</v>
      </c>
      <c r="D121" s="8" t="s">
        <v>318</v>
      </c>
      <c r="E121" s="8" t="s">
        <v>636</v>
      </c>
      <c r="F121" s="447">
        <v>7703038062431</v>
      </c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</row>
    <row r="122" spans="1:28" ht="15">
      <c r="A122" s="440"/>
      <c r="B122" s="440"/>
      <c r="C122" s="440"/>
      <c r="D122" s="440"/>
      <c r="E122" s="440"/>
      <c r="F122" s="440"/>
      <c r="G122" s="440"/>
      <c r="H122" s="440"/>
      <c r="I122" s="440"/>
      <c r="J122" s="440"/>
      <c r="K122" s="440"/>
      <c r="L122" s="440"/>
      <c r="M122" s="440"/>
      <c r="N122" s="440"/>
      <c r="O122" s="440"/>
      <c r="P122" s="440"/>
      <c r="Q122" s="440"/>
      <c r="R122" s="440"/>
      <c r="S122" s="440"/>
      <c r="T122" s="440"/>
      <c r="U122" s="440"/>
      <c r="V122" s="440"/>
      <c r="W122" s="440"/>
      <c r="X122" s="440"/>
      <c r="Y122" s="440"/>
      <c r="Z122" s="440"/>
      <c r="AA122" s="440"/>
      <c r="AB122" s="440"/>
    </row>
    <row r="123" spans="1:28" ht="15">
      <c r="A123" s="168" t="s">
        <v>637</v>
      </c>
      <c r="B123" s="168">
        <v>1</v>
      </c>
      <c r="C123" s="59">
        <v>0</v>
      </c>
      <c r="D123" s="60" t="s">
        <v>638</v>
      </c>
      <c r="E123" s="168" t="s">
        <v>639</v>
      </c>
      <c r="F123" s="444">
        <v>7701684000135</v>
      </c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 spans="1:28" ht="15">
      <c r="A124" s="12" t="s">
        <v>640</v>
      </c>
      <c r="B124" s="12">
        <v>1</v>
      </c>
      <c r="C124" s="59">
        <v>0</v>
      </c>
      <c r="D124" s="111" t="s">
        <v>293</v>
      </c>
      <c r="E124" s="12" t="s">
        <v>641</v>
      </c>
      <c r="F124" s="39">
        <v>7702560026577</v>
      </c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</row>
    <row r="125" spans="1:28" ht="15">
      <c r="A125" s="8" t="s">
        <v>642</v>
      </c>
      <c r="B125" s="8">
        <v>3</v>
      </c>
      <c r="C125" s="167">
        <v>0</v>
      </c>
      <c r="D125" s="10" t="s">
        <v>7</v>
      </c>
      <c r="E125" s="8" t="s">
        <v>643</v>
      </c>
      <c r="F125" s="39">
        <v>7707364802198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117"/>
      <c r="AB125" s="117"/>
    </row>
    <row r="126" spans="1:28" ht="15">
      <c r="A126" s="168" t="s">
        <v>644</v>
      </c>
      <c r="B126" s="168">
        <v>2</v>
      </c>
      <c r="C126" s="170">
        <v>0.19</v>
      </c>
      <c r="D126" s="168" t="s">
        <v>645</v>
      </c>
      <c r="E126" s="168" t="s">
        <v>646</v>
      </c>
      <c r="F126" s="168">
        <v>650240033902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117"/>
      <c r="AB126" s="117"/>
    </row>
    <row r="127" spans="1:28" ht="15">
      <c r="A127" s="32" t="s">
        <v>647</v>
      </c>
      <c r="B127" s="32">
        <v>3</v>
      </c>
      <c r="C127" s="72">
        <v>0</v>
      </c>
      <c r="D127" s="32" t="s">
        <v>38</v>
      </c>
      <c r="E127" s="32" t="s">
        <v>648</v>
      </c>
      <c r="F127" s="32">
        <v>7702560009525</v>
      </c>
      <c r="G127" s="8"/>
      <c r="H127" s="8"/>
      <c r="I127" s="8"/>
      <c r="J127" s="8"/>
      <c r="K127" s="8"/>
      <c r="L127" s="8"/>
      <c r="M127" s="8"/>
      <c r="N127" s="8"/>
      <c r="O127" s="8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117"/>
      <c r="AB127" s="117"/>
    </row>
    <row r="128" spans="1:28" ht="15">
      <c r="A128" s="32" t="s">
        <v>649</v>
      </c>
      <c r="B128" s="32">
        <v>1</v>
      </c>
      <c r="C128" s="72">
        <v>0</v>
      </c>
      <c r="D128" s="32" t="s">
        <v>59</v>
      </c>
      <c r="E128" s="8" t="s">
        <v>650</v>
      </c>
      <c r="F128" s="32">
        <v>7707232097220</v>
      </c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9"/>
      <c r="AA128" s="117"/>
      <c r="AB128" s="117"/>
    </row>
    <row r="129" spans="1:28" ht="15">
      <c r="A129" s="440"/>
      <c r="B129" s="440"/>
      <c r="C129" s="440"/>
      <c r="D129" s="440"/>
      <c r="E129" s="440"/>
      <c r="F129" s="440"/>
      <c r="G129" s="440"/>
      <c r="H129" s="440"/>
      <c r="I129" s="440"/>
      <c r="J129" s="440"/>
      <c r="K129" s="440"/>
      <c r="L129" s="440"/>
      <c r="M129" s="440"/>
      <c r="N129" s="440"/>
      <c r="O129" s="440"/>
      <c r="P129" s="440"/>
      <c r="Q129" s="440"/>
      <c r="R129" s="440"/>
      <c r="S129" s="440"/>
      <c r="T129" s="440"/>
      <c r="U129" s="440"/>
      <c r="V129" s="440"/>
      <c r="W129" s="440"/>
      <c r="X129" s="440"/>
      <c r="Y129" s="440"/>
      <c r="Z129" s="440"/>
      <c r="AA129" s="440"/>
      <c r="AB129" s="440"/>
    </row>
    <row r="130" spans="1:28" ht="15">
      <c r="A130" s="117" t="s">
        <v>651</v>
      </c>
      <c r="B130" s="117">
        <v>1</v>
      </c>
      <c r="C130" s="117">
        <v>0</v>
      </c>
      <c r="D130" s="117" t="s">
        <v>652</v>
      </c>
      <c r="E130" s="117" t="s">
        <v>653</v>
      </c>
      <c r="F130" s="117">
        <v>7703763002184</v>
      </c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</row>
    <row r="131" spans="1:28" ht="15">
      <c r="A131" s="117" t="s">
        <v>211</v>
      </c>
      <c r="B131" s="117">
        <v>6</v>
      </c>
      <c r="C131" s="345">
        <v>0</v>
      </c>
      <c r="D131" s="119" t="s">
        <v>109</v>
      </c>
      <c r="E131" s="117" t="s">
        <v>212</v>
      </c>
      <c r="F131" s="117">
        <v>7703038878728</v>
      </c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</row>
    <row r="132" spans="1:28" ht="15">
      <c r="A132" s="8" t="s">
        <v>654</v>
      </c>
      <c r="B132" s="8">
        <v>1</v>
      </c>
      <c r="C132" s="9">
        <v>0.19</v>
      </c>
      <c r="D132" s="203" t="s">
        <v>655</v>
      </c>
      <c r="E132" s="8" t="s">
        <v>656</v>
      </c>
      <c r="F132" s="447">
        <v>7702026174156</v>
      </c>
      <c r="G132" s="8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</row>
    <row r="133" spans="1:28" ht="15">
      <c r="A133" s="117" t="s">
        <v>657</v>
      </c>
      <c r="B133" s="117">
        <v>3</v>
      </c>
      <c r="C133" s="117">
        <v>0</v>
      </c>
      <c r="D133" s="117" t="s">
        <v>85</v>
      </c>
      <c r="E133" s="117" t="s">
        <v>658</v>
      </c>
      <c r="F133" s="117">
        <v>7707188720036</v>
      </c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</row>
    <row r="134" spans="1:28" ht="15">
      <c r="A134" s="32" t="s">
        <v>659</v>
      </c>
      <c r="B134" s="32">
        <v>4</v>
      </c>
      <c r="C134" s="72">
        <v>0</v>
      </c>
      <c r="D134" s="83" t="s">
        <v>32</v>
      </c>
      <c r="E134" s="32" t="s">
        <v>660</v>
      </c>
      <c r="F134" s="321">
        <v>7704412186057</v>
      </c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</row>
    <row r="135" spans="1:28" ht="15">
      <c r="A135" s="440"/>
      <c r="B135" s="440"/>
      <c r="C135" s="440"/>
      <c r="D135" s="440"/>
      <c r="E135" s="440"/>
      <c r="F135" s="440"/>
      <c r="G135" s="440"/>
      <c r="H135" s="440"/>
      <c r="I135" s="440"/>
      <c r="J135" s="440"/>
      <c r="K135" s="440"/>
      <c r="L135" s="440"/>
      <c r="M135" s="440"/>
      <c r="N135" s="440"/>
      <c r="O135" s="440"/>
      <c r="P135" s="440"/>
      <c r="Q135" s="440"/>
      <c r="R135" s="440"/>
      <c r="S135" s="440"/>
      <c r="T135" s="440"/>
      <c r="U135" s="440"/>
      <c r="V135" s="440"/>
      <c r="W135" s="440"/>
      <c r="X135" s="440"/>
      <c r="Y135" s="440"/>
      <c r="Z135" s="440"/>
      <c r="AA135" s="440"/>
      <c r="AB135" s="440"/>
    </row>
    <row r="136" spans="1:28" ht="15">
      <c r="A136" s="39" t="s">
        <v>661</v>
      </c>
      <c r="B136" s="39">
        <v>1</v>
      </c>
      <c r="C136" s="40">
        <v>0.19</v>
      </c>
      <c r="D136" s="39" t="s">
        <v>23</v>
      </c>
      <c r="E136" s="39" t="s">
        <v>662</v>
      </c>
      <c r="F136" s="39">
        <v>7707223662536</v>
      </c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</row>
    <row r="137" spans="1:28" ht="15">
      <c r="A137" s="8" t="s">
        <v>663</v>
      </c>
      <c r="B137" s="8">
        <v>6</v>
      </c>
      <c r="C137" s="167">
        <v>0</v>
      </c>
      <c r="D137" s="10" t="s">
        <v>664</v>
      </c>
      <c r="E137" s="8" t="s">
        <v>665</v>
      </c>
      <c r="F137" s="8">
        <v>7703712032309</v>
      </c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117"/>
      <c r="AB137" s="117"/>
    </row>
    <row r="138" spans="1:28">
      <c r="A138" s="8" t="s">
        <v>87</v>
      </c>
      <c r="B138" s="8">
        <v>4</v>
      </c>
      <c r="C138" s="9">
        <v>0</v>
      </c>
      <c r="D138" s="8" t="s">
        <v>88</v>
      </c>
      <c r="E138" s="8" t="s">
        <v>89</v>
      </c>
      <c r="F138" s="447">
        <v>7896116865618</v>
      </c>
      <c r="G138" s="8"/>
      <c r="H138" s="8"/>
      <c r="I138" s="8"/>
      <c r="J138" s="8"/>
      <c r="K138" s="8"/>
      <c r="L138" s="8"/>
      <c r="M138" s="8"/>
      <c r="N138" s="8"/>
      <c r="O138" s="8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15">
      <c r="A139" s="117" t="s">
        <v>666</v>
      </c>
      <c r="B139" s="117">
        <v>4</v>
      </c>
      <c r="C139" s="117">
        <v>0</v>
      </c>
      <c r="D139" s="117" t="s">
        <v>519</v>
      </c>
      <c r="E139" s="117" t="s">
        <v>667</v>
      </c>
      <c r="F139" s="117">
        <v>7707355052243</v>
      </c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 spans="1:28" ht="15">
      <c r="A140" s="440"/>
      <c r="B140" s="440"/>
      <c r="C140" s="440"/>
      <c r="D140" s="440"/>
      <c r="E140" s="440"/>
      <c r="F140" s="440"/>
      <c r="G140" s="440"/>
      <c r="H140" s="440"/>
      <c r="I140" s="440"/>
      <c r="J140" s="440"/>
      <c r="K140" s="440"/>
      <c r="L140" s="440"/>
      <c r="M140" s="440"/>
      <c r="N140" s="440"/>
      <c r="O140" s="440"/>
      <c r="P140" s="440"/>
      <c r="Q140" s="440"/>
      <c r="R140" s="440"/>
      <c r="S140" s="440"/>
      <c r="T140" s="440"/>
      <c r="U140" s="440"/>
      <c r="V140" s="440"/>
      <c r="W140" s="440"/>
      <c r="X140" s="440"/>
      <c r="Y140" s="440"/>
      <c r="Z140" s="440"/>
      <c r="AA140" s="440"/>
      <c r="AB140" s="440"/>
    </row>
    <row r="141" spans="1:28">
      <c r="A141" s="65" t="s">
        <v>616</v>
      </c>
      <c r="B141" s="65">
        <v>4</v>
      </c>
      <c r="C141" s="66">
        <v>0</v>
      </c>
      <c r="D141" s="65" t="s">
        <v>617</v>
      </c>
      <c r="E141" s="65" t="s">
        <v>618</v>
      </c>
      <c r="F141" s="443">
        <v>7702870071465</v>
      </c>
      <c r="G141" s="65"/>
      <c r="H141" s="65"/>
      <c r="I141" s="65"/>
      <c r="J141" s="65"/>
      <c r="K141" s="65"/>
      <c r="L141" s="65"/>
      <c r="M141" s="65"/>
      <c r="N141" s="65"/>
      <c r="O141" s="65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5">
      <c r="A142" s="12" t="s">
        <v>246</v>
      </c>
      <c r="B142" s="12">
        <v>1</v>
      </c>
      <c r="C142" s="59">
        <v>0.19</v>
      </c>
      <c r="D142" s="111" t="s">
        <v>247</v>
      </c>
      <c r="E142" s="12" t="s">
        <v>248</v>
      </c>
      <c r="F142" s="308">
        <v>7703286115101</v>
      </c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</row>
    <row r="143" spans="1:28" ht="15">
      <c r="A143" s="117" t="s">
        <v>243</v>
      </c>
      <c r="B143" s="117">
        <v>1</v>
      </c>
      <c r="C143" s="345">
        <v>0.19</v>
      </c>
      <c r="D143" s="119" t="s">
        <v>244</v>
      </c>
      <c r="E143" s="117" t="s">
        <v>245</v>
      </c>
      <c r="F143" s="117">
        <v>7703286112407</v>
      </c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</row>
    <row r="144" spans="1:28" ht="15">
      <c r="A144" s="8" t="s">
        <v>668</v>
      </c>
      <c r="B144" s="8">
        <v>3</v>
      </c>
      <c r="C144" s="9">
        <v>0</v>
      </c>
      <c r="D144" s="8" t="s">
        <v>38</v>
      </c>
      <c r="E144" s="32" t="s">
        <v>121</v>
      </c>
      <c r="F144" s="8">
        <v>7501125176456</v>
      </c>
      <c r="G144" s="8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117"/>
      <c r="AB144" s="117"/>
    </row>
    <row r="145" spans="1:28" ht="15">
      <c r="A145" s="32" t="s">
        <v>120</v>
      </c>
      <c r="B145" s="32">
        <v>3</v>
      </c>
      <c r="C145" s="72">
        <v>0</v>
      </c>
      <c r="D145" s="72" t="s">
        <v>38</v>
      </c>
      <c r="E145" s="32" t="s">
        <v>121</v>
      </c>
      <c r="F145" s="32">
        <v>7501125176548</v>
      </c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 spans="1:28" ht="15">
      <c r="A146" s="39" t="s">
        <v>614</v>
      </c>
      <c r="B146" s="39">
        <v>3</v>
      </c>
      <c r="C146" s="40">
        <v>0</v>
      </c>
      <c r="D146" s="39" t="s">
        <v>29</v>
      </c>
      <c r="E146" s="39" t="s">
        <v>615</v>
      </c>
      <c r="F146" s="39">
        <v>7702057075231</v>
      </c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</row>
    <row r="147" spans="1:28" ht="15">
      <c r="A147" s="384" t="s">
        <v>669</v>
      </c>
      <c r="B147" s="384">
        <v>6</v>
      </c>
      <c r="C147" s="449">
        <v>0</v>
      </c>
      <c r="D147" s="450" t="s">
        <v>232</v>
      </c>
      <c r="E147" s="384" t="s">
        <v>670</v>
      </c>
      <c r="F147" s="384">
        <v>7703153022402</v>
      </c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117"/>
      <c r="AA147" s="117"/>
      <c r="AB147" s="117"/>
    </row>
    <row r="148" spans="1:28" ht="15">
      <c r="A148" s="384" t="s">
        <v>125</v>
      </c>
      <c r="B148" s="384">
        <v>3</v>
      </c>
      <c r="C148" s="385">
        <v>0</v>
      </c>
      <c r="D148" s="384" t="s">
        <v>126</v>
      </c>
      <c r="E148" s="384" t="s">
        <v>127</v>
      </c>
      <c r="F148" s="384">
        <v>7702870071526</v>
      </c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117"/>
      <c r="AA148" s="117"/>
      <c r="AB148" s="117"/>
    </row>
    <row r="149" spans="1:28" ht="15">
      <c r="A149" s="8" t="s">
        <v>671</v>
      </c>
      <c r="B149" s="8">
        <v>1</v>
      </c>
      <c r="C149" s="9">
        <v>0</v>
      </c>
      <c r="D149" s="203" t="s">
        <v>188</v>
      </c>
      <c r="E149" s="8" t="s">
        <v>672</v>
      </c>
      <c r="F149" s="8">
        <v>7707062800625</v>
      </c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117"/>
      <c r="AB149" s="117"/>
    </row>
    <row r="150" spans="1:28" ht="15">
      <c r="A150" s="74" t="s">
        <v>566</v>
      </c>
      <c r="B150" s="74">
        <v>3</v>
      </c>
      <c r="C150" s="75">
        <v>0</v>
      </c>
      <c r="D150" s="74" t="s">
        <v>567</v>
      </c>
      <c r="E150" s="117" t="s">
        <v>615</v>
      </c>
      <c r="F150" s="74">
        <v>7702057070205</v>
      </c>
      <c r="G150" s="74"/>
      <c r="H150" s="74"/>
      <c r="I150" s="74"/>
      <c r="J150" s="74"/>
      <c r="K150" s="74"/>
      <c r="L150" s="74"/>
      <c r="M150" s="74"/>
      <c r="N150" s="74"/>
      <c r="O150" s="74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</row>
    <row r="151" spans="1:28" ht="15">
      <c r="A151" s="117" t="s">
        <v>673</v>
      </c>
      <c r="B151" s="117">
        <v>2</v>
      </c>
      <c r="C151" s="117">
        <v>0</v>
      </c>
      <c r="D151" s="117" t="s">
        <v>674</v>
      </c>
      <c r="E151" s="117" t="s">
        <v>615</v>
      </c>
      <c r="F151" s="117">
        <v>7702057074784</v>
      </c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</row>
    <row r="152" spans="1:28" ht="15">
      <c r="A152" s="117" t="s">
        <v>568</v>
      </c>
      <c r="B152" s="117">
        <v>1</v>
      </c>
      <c r="C152" s="345">
        <v>0</v>
      </c>
      <c r="D152" s="345" t="s">
        <v>569</v>
      </c>
      <c r="E152" s="117" t="s">
        <v>570</v>
      </c>
      <c r="F152" s="117">
        <v>751273778140</v>
      </c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 spans="1:28" ht="28.5">
      <c r="A153" s="28" t="s">
        <v>675</v>
      </c>
      <c r="B153" s="8">
        <v>1</v>
      </c>
      <c r="C153" s="9">
        <v>0</v>
      </c>
      <c r="D153" s="8" t="s">
        <v>676</v>
      </c>
      <c r="E153" s="25" t="s">
        <v>677</v>
      </c>
      <c r="F153" s="129">
        <v>7707035580233</v>
      </c>
    </row>
    <row r="154" spans="1:28" ht="15">
      <c r="A154" s="440"/>
      <c r="B154" s="440"/>
      <c r="C154" s="440"/>
      <c r="D154" s="440"/>
      <c r="E154" s="440"/>
      <c r="F154" s="440"/>
      <c r="G154" s="440"/>
      <c r="H154" s="440"/>
      <c r="I154" s="440"/>
      <c r="J154" s="440"/>
      <c r="K154" s="440"/>
      <c r="L154" s="440"/>
      <c r="M154" s="440"/>
      <c r="N154" s="440"/>
      <c r="O154" s="440"/>
      <c r="P154" s="440"/>
      <c r="Q154" s="440"/>
      <c r="R154" s="440"/>
      <c r="S154" s="440"/>
      <c r="T154" s="440"/>
      <c r="U154" s="440"/>
      <c r="V154" s="440"/>
      <c r="W154" s="440"/>
      <c r="X154" s="440"/>
      <c r="Y154" s="440"/>
      <c r="Z154" s="440"/>
      <c r="AA154" s="440"/>
      <c r="AB154" s="440"/>
    </row>
    <row r="155" spans="1:28" ht="15">
      <c r="A155" s="76" t="s">
        <v>678</v>
      </c>
      <c r="B155" s="74">
        <v>4</v>
      </c>
      <c r="C155" s="75">
        <v>0</v>
      </c>
      <c r="D155" s="74" t="s">
        <v>10</v>
      </c>
      <c r="E155" s="74" t="s">
        <v>679</v>
      </c>
      <c r="F155" s="74">
        <v>7705137100113</v>
      </c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8" ht="28.5">
      <c r="A156" s="141" t="s">
        <v>680</v>
      </c>
      <c r="B156" s="168">
        <v>2</v>
      </c>
      <c r="C156" s="170">
        <v>0.19</v>
      </c>
      <c r="D156" s="168" t="s">
        <v>681</v>
      </c>
      <c r="E156" s="146" t="s">
        <v>682</v>
      </c>
      <c r="F156" s="141">
        <v>650240029158</v>
      </c>
    </row>
    <row r="157" spans="1:28">
      <c r="A157" s="12" t="s">
        <v>683</v>
      </c>
      <c r="B157" s="12">
        <v>1</v>
      </c>
      <c r="C157" s="59">
        <v>0</v>
      </c>
      <c r="D157" s="111" t="s">
        <v>684</v>
      </c>
      <c r="E157" s="13" t="s">
        <v>685</v>
      </c>
      <c r="F157" s="12">
        <v>7703038066996</v>
      </c>
      <c r="G157" s="28"/>
    </row>
    <row r="158" spans="1:28" ht="15">
      <c r="A158" s="112" t="s">
        <v>686</v>
      </c>
      <c r="B158" s="117">
        <v>5</v>
      </c>
      <c r="C158" s="345">
        <v>0</v>
      </c>
      <c r="D158" s="117" t="s">
        <v>10</v>
      </c>
      <c r="E158" s="117" t="s">
        <v>687</v>
      </c>
      <c r="F158" s="117">
        <v>7702184020258</v>
      </c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8" ht="15">
      <c r="A159" s="56" t="s">
        <v>360</v>
      </c>
      <c r="B159" s="96">
        <v>2</v>
      </c>
      <c r="C159" s="97">
        <v>0</v>
      </c>
      <c r="D159" s="96" t="s">
        <v>257</v>
      </c>
      <c r="E159" s="56" t="s">
        <v>361</v>
      </c>
      <c r="F159" s="226">
        <v>7703038067214</v>
      </c>
      <c r="G159" s="53"/>
      <c r="H159" s="53"/>
      <c r="I159" s="53"/>
      <c r="J159" s="53"/>
      <c r="K159" s="53"/>
      <c r="L159" s="53"/>
      <c r="M159" s="53"/>
      <c r="N159" s="53"/>
      <c r="O159" s="5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19"/>
    </row>
    <row r="160" spans="1:28" ht="15">
      <c r="A160" s="92" t="s">
        <v>114</v>
      </c>
      <c r="B160" s="92">
        <v>2</v>
      </c>
      <c r="C160" s="93">
        <v>0</v>
      </c>
      <c r="D160" s="92" t="s">
        <v>115</v>
      </c>
      <c r="E160" s="92" t="s">
        <v>116</v>
      </c>
      <c r="F160" s="92">
        <v>8904159631646</v>
      </c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</row>
    <row r="161" spans="1:28" ht="15">
      <c r="A161" s="440"/>
      <c r="B161" s="440"/>
      <c r="C161" s="440"/>
      <c r="D161" s="440"/>
      <c r="E161" s="440"/>
      <c r="F161" s="440"/>
      <c r="G161" s="440"/>
      <c r="H161" s="440"/>
      <c r="I161" s="440"/>
      <c r="J161" s="440"/>
      <c r="K161" s="440"/>
      <c r="L161" s="440"/>
      <c r="M161" s="440"/>
      <c r="N161" s="440"/>
      <c r="O161" s="440"/>
      <c r="P161" s="440"/>
      <c r="Q161" s="440"/>
      <c r="R161" s="440"/>
      <c r="S161" s="440"/>
      <c r="T161" s="440"/>
      <c r="U161" s="440"/>
      <c r="V161" s="440"/>
      <c r="W161" s="440"/>
      <c r="X161" s="440"/>
      <c r="Y161" s="440"/>
      <c r="Z161" s="440"/>
      <c r="AA161" s="440"/>
      <c r="AB161" s="440"/>
    </row>
    <row r="162" spans="1:28" ht="30">
      <c r="A162" s="181" t="s">
        <v>688</v>
      </c>
      <c r="B162" s="347">
        <v>6</v>
      </c>
      <c r="C162" s="395">
        <v>0</v>
      </c>
      <c r="D162" s="347" t="s">
        <v>91</v>
      </c>
      <c r="E162" s="181" t="s">
        <v>689</v>
      </c>
      <c r="F162" s="396">
        <v>7707321982093</v>
      </c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9"/>
      <c r="AB162" s="19"/>
    </row>
    <row r="163" spans="1:28" ht="29.25">
      <c r="A163" s="41" t="s">
        <v>690</v>
      </c>
      <c r="B163" s="39">
        <v>6</v>
      </c>
      <c r="C163" s="40">
        <v>0</v>
      </c>
      <c r="D163" s="39" t="s">
        <v>691</v>
      </c>
      <c r="E163" s="41" t="s">
        <v>692</v>
      </c>
      <c r="F163" s="273">
        <v>7707274721206</v>
      </c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5">
      <c r="A164" s="440"/>
      <c r="B164" s="440"/>
      <c r="C164" s="440"/>
      <c r="D164" s="440"/>
      <c r="E164" s="440"/>
      <c r="F164" s="440"/>
      <c r="G164" s="440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440"/>
      <c r="T164" s="440"/>
      <c r="U164" s="440"/>
      <c r="V164" s="440"/>
      <c r="W164" s="440"/>
      <c r="X164" s="440"/>
      <c r="Y164" s="440"/>
      <c r="Z164" s="440"/>
      <c r="AA164" s="440"/>
      <c r="AB164" s="440"/>
    </row>
    <row r="165" spans="1:28" ht="15">
      <c r="A165" s="76" t="s">
        <v>693</v>
      </c>
      <c r="B165" s="32">
        <v>4</v>
      </c>
      <c r="C165" s="72">
        <v>0</v>
      </c>
      <c r="D165" s="81" t="s">
        <v>694</v>
      </c>
      <c r="E165" s="74" t="s">
        <v>695</v>
      </c>
      <c r="F165" s="378">
        <v>7707274721053</v>
      </c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</row>
    <row r="166" spans="1:28" ht="15">
      <c r="A166" s="76" t="s">
        <v>693</v>
      </c>
      <c r="B166" s="32">
        <v>2</v>
      </c>
      <c r="C166" s="72">
        <v>0</v>
      </c>
      <c r="D166" s="81" t="s">
        <v>694</v>
      </c>
      <c r="E166" s="74" t="s">
        <v>695</v>
      </c>
      <c r="F166" s="378">
        <v>7707274721053</v>
      </c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</row>
    <row r="167" spans="1:28" ht="42.75">
      <c r="A167" s="22" t="s">
        <v>696</v>
      </c>
      <c r="B167" s="39">
        <v>1</v>
      </c>
      <c r="C167" s="40">
        <v>0</v>
      </c>
      <c r="D167" s="57" t="s">
        <v>697</v>
      </c>
      <c r="E167" s="22" t="s">
        <v>698</v>
      </c>
      <c r="F167">
        <v>7707397792510</v>
      </c>
    </row>
    <row r="168" spans="1:28" ht="15">
      <c r="A168" s="117" t="s">
        <v>226</v>
      </c>
      <c r="B168" s="117">
        <v>4</v>
      </c>
      <c r="C168" s="345">
        <v>0</v>
      </c>
      <c r="D168" s="117" t="s">
        <v>227</v>
      </c>
      <c r="E168" s="117" t="s">
        <v>228</v>
      </c>
      <c r="F168" s="117">
        <v>7703038067023</v>
      </c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9"/>
      <c r="AB168" s="19"/>
    </row>
    <row r="169" spans="1:28">
      <c r="A169" s="22" t="s">
        <v>699</v>
      </c>
      <c r="B169" s="39">
        <v>1</v>
      </c>
      <c r="C169" s="40">
        <v>0</v>
      </c>
      <c r="D169" s="94" t="s">
        <v>262</v>
      </c>
      <c r="E169" t="s">
        <v>700</v>
      </c>
      <c r="F169" s="42">
        <v>7703712035317</v>
      </c>
    </row>
    <row r="170" spans="1:28" ht="30">
      <c r="A170" s="32" t="s">
        <v>701</v>
      </c>
      <c r="B170" s="32">
        <v>4</v>
      </c>
      <c r="C170" s="72">
        <v>0</v>
      </c>
      <c r="D170" s="32" t="s">
        <v>702</v>
      </c>
      <c r="E170" s="73" t="s">
        <v>151</v>
      </c>
      <c r="F170" s="32">
        <v>7702896001347</v>
      </c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117"/>
      <c r="AA170" s="117"/>
      <c r="AB170" s="117"/>
    </row>
    <row r="171" spans="1:28" ht="28.5">
      <c r="A171" s="22" t="s">
        <v>703</v>
      </c>
      <c r="B171" s="39">
        <v>1</v>
      </c>
      <c r="C171" s="39">
        <v>0</v>
      </c>
      <c r="D171" s="39" t="s">
        <v>704</v>
      </c>
      <c r="E171" s="22" t="s">
        <v>705</v>
      </c>
      <c r="F171">
        <v>7500435204569</v>
      </c>
    </row>
    <row r="172" spans="1:28" ht="15">
      <c r="A172" s="24" t="s">
        <v>706</v>
      </c>
      <c r="B172" s="8">
        <v>5</v>
      </c>
      <c r="C172" s="9">
        <v>0</v>
      </c>
      <c r="D172" s="203" t="s">
        <v>707</v>
      </c>
      <c r="E172" s="7" t="s">
        <v>708</v>
      </c>
      <c r="F172" s="63">
        <v>7707019340907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117"/>
      <c r="AA172" s="117"/>
      <c r="AB172" s="117"/>
    </row>
    <row r="173" spans="1:28" ht="15">
      <c r="A173" s="117" t="s">
        <v>709</v>
      </c>
      <c r="B173" s="117">
        <v>6</v>
      </c>
      <c r="C173" s="345">
        <v>0</v>
      </c>
      <c r="D173" s="119" t="s">
        <v>38</v>
      </c>
      <c r="E173" s="117" t="s">
        <v>611</v>
      </c>
      <c r="F173" s="117">
        <v>8901117247888</v>
      </c>
      <c r="G173" s="74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9"/>
      <c r="AB173" s="19"/>
    </row>
    <row r="174" spans="1:28" ht="15">
      <c r="A174" s="141" t="s">
        <v>710</v>
      </c>
      <c r="B174" s="39">
        <v>3</v>
      </c>
      <c r="C174" s="40">
        <v>0</v>
      </c>
      <c r="D174" s="39" t="s">
        <v>38</v>
      </c>
      <c r="E174" s="141" t="s">
        <v>711</v>
      </c>
      <c r="F174" s="141">
        <v>7707177970633</v>
      </c>
      <c r="AA174" s="19"/>
      <c r="AB174" s="19"/>
    </row>
    <row r="175" spans="1:28" ht="15">
      <c r="A175" s="117" t="s">
        <v>317</v>
      </c>
      <c r="B175" s="117">
        <v>4</v>
      </c>
      <c r="C175" s="345">
        <v>0.19</v>
      </c>
      <c r="D175" s="119" t="s">
        <v>10</v>
      </c>
      <c r="E175" s="112" t="s">
        <v>319</v>
      </c>
      <c r="F175" s="117">
        <v>7707165900161</v>
      </c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8" ht="15">
      <c r="A176" s="73" t="s">
        <v>712</v>
      </c>
      <c r="B176" s="117">
        <v>3</v>
      </c>
      <c r="C176" s="89">
        <v>0.19</v>
      </c>
      <c r="D176" s="90" t="s">
        <v>118</v>
      </c>
      <c r="E176" s="73" t="s">
        <v>713</v>
      </c>
      <c r="F176" s="321">
        <v>7707165900178</v>
      </c>
      <c r="G176" s="74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8">
      <c r="A177" s="24" t="s">
        <v>714</v>
      </c>
      <c r="B177" s="8">
        <v>2</v>
      </c>
      <c r="C177" s="9">
        <v>0</v>
      </c>
      <c r="D177" s="8" t="s">
        <v>715</v>
      </c>
      <c r="E177" s="8" t="s">
        <v>716</v>
      </c>
      <c r="F177" s="63">
        <v>650240069932</v>
      </c>
    </row>
    <row r="178" spans="1:28" ht="15">
      <c r="A178" s="440"/>
      <c r="B178" s="440"/>
      <c r="C178" s="440"/>
      <c r="D178" s="440"/>
      <c r="E178" s="440"/>
      <c r="F178" s="440"/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440"/>
      <c r="T178" s="440"/>
      <c r="U178" s="440"/>
      <c r="V178" s="440"/>
      <c r="W178" s="440"/>
      <c r="X178" s="440"/>
      <c r="Y178" s="440"/>
      <c r="Z178" s="440"/>
      <c r="AA178" s="440"/>
      <c r="AB178" s="440"/>
    </row>
    <row r="179" spans="1:28" ht="28.5">
      <c r="A179" s="22" t="s">
        <v>717</v>
      </c>
      <c r="B179" s="41">
        <v>3</v>
      </c>
      <c r="C179" s="269">
        <v>0</v>
      </c>
      <c r="D179" s="310" t="s">
        <v>718</v>
      </c>
      <c r="E179" s="22" t="s">
        <v>63</v>
      </c>
      <c r="F179">
        <v>7704412376328</v>
      </c>
    </row>
    <row r="180" spans="1:28" ht="15">
      <c r="A180" s="440"/>
      <c r="B180" s="440"/>
      <c r="C180" s="440"/>
      <c r="D180" s="440"/>
      <c r="E180" s="440"/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440"/>
      <c r="T180" s="440"/>
      <c r="U180" s="440"/>
      <c r="V180" s="440"/>
      <c r="W180" s="440"/>
      <c r="X180" s="440"/>
      <c r="Y180" s="440"/>
      <c r="Z180" s="440"/>
      <c r="AA180" s="440"/>
      <c r="AB180" s="440"/>
    </row>
    <row r="181" spans="1:28" ht="15">
      <c r="A181" s="141" t="s">
        <v>710</v>
      </c>
      <c r="B181" s="39">
        <v>3</v>
      </c>
      <c r="C181" s="40">
        <v>0</v>
      </c>
      <c r="D181" s="39" t="s">
        <v>38</v>
      </c>
      <c r="E181" s="141" t="s">
        <v>711</v>
      </c>
      <c r="F181" s="141">
        <v>7707177970633</v>
      </c>
      <c r="AA181" s="19"/>
      <c r="AB181" s="19"/>
    </row>
    <row r="182" spans="1:28" ht="15">
      <c r="A182" s="73" t="s">
        <v>271</v>
      </c>
      <c r="B182" s="32">
        <v>4</v>
      </c>
      <c r="C182" s="72">
        <v>0</v>
      </c>
      <c r="D182" s="83" t="s">
        <v>272</v>
      </c>
      <c r="E182" s="73" t="s">
        <v>273</v>
      </c>
      <c r="F182" s="371">
        <v>7703432422237</v>
      </c>
      <c r="G182" s="32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9"/>
      <c r="AB182" s="19"/>
    </row>
    <row r="183" spans="1:28" ht="15">
      <c r="A183" s="73" t="s">
        <v>271</v>
      </c>
      <c r="B183" s="32">
        <v>2</v>
      </c>
      <c r="C183" s="72">
        <v>0</v>
      </c>
      <c r="D183" s="83" t="s">
        <v>272</v>
      </c>
      <c r="E183" s="73" t="s">
        <v>273</v>
      </c>
      <c r="F183" s="371">
        <v>7703432422237</v>
      </c>
      <c r="G183" s="32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9"/>
      <c r="AB183" s="19"/>
    </row>
    <row r="184" spans="1:28" ht="28.5">
      <c r="A184" s="22" t="s">
        <v>719</v>
      </c>
      <c r="B184" s="39">
        <v>2</v>
      </c>
      <c r="C184" s="39">
        <v>0</v>
      </c>
      <c r="D184" s="39" t="s">
        <v>720</v>
      </c>
      <c r="E184" t="s">
        <v>721</v>
      </c>
      <c r="F184">
        <v>7703432258102</v>
      </c>
    </row>
    <row r="185" spans="1:28" ht="30">
      <c r="A185" s="73" t="s">
        <v>325</v>
      </c>
      <c r="B185" s="32">
        <v>3</v>
      </c>
      <c r="C185" s="72">
        <v>0</v>
      </c>
      <c r="D185" s="32" t="s">
        <v>188</v>
      </c>
      <c r="E185" s="73" t="s">
        <v>326</v>
      </c>
      <c r="F185" s="379">
        <v>7702057012007</v>
      </c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9"/>
      <c r="AB185" s="19"/>
    </row>
    <row r="186" spans="1:28" ht="30">
      <c r="A186" s="32" t="s">
        <v>722</v>
      </c>
      <c r="B186" s="32">
        <v>1</v>
      </c>
      <c r="C186" s="72">
        <v>0</v>
      </c>
      <c r="D186" s="32" t="s">
        <v>723</v>
      </c>
      <c r="E186" s="73" t="s">
        <v>724</v>
      </c>
      <c r="F186" s="321">
        <v>300651431483</v>
      </c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9"/>
      <c r="AB186" s="19"/>
    </row>
    <row r="187" spans="1:28" ht="15">
      <c r="A187" s="440"/>
      <c r="B187" s="440"/>
      <c r="C187" s="440"/>
      <c r="D187" s="440"/>
      <c r="E187" s="440"/>
      <c r="F187" s="440"/>
      <c r="G187" s="440"/>
      <c r="H187" s="440"/>
      <c r="I187" s="440"/>
      <c r="J187" s="440"/>
      <c r="K187" s="440"/>
      <c r="L187" s="440"/>
      <c r="M187" s="440"/>
      <c r="N187" s="440"/>
      <c r="O187" s="440"/>
      <c r="P187" s="440"/>
      <c r="Q187" s="440"/>
      <c r="R187" s="440"/>
      <c r="S187" s="440"/>
      <c r="T187" s="440"/>
      <c r="U187" s="440"/>
      <c r="V187" s="440"/>
      <c r="W187" s="440"/>
      <c r="X187" s="440"/>
      <c r="Y187" s="440"/>
      <c r="Z187" s="440"/>
      <c r="AA187" s="440"/>
      <c r="AB187" s="440"/>
    </row>
    <row r="188" spans="1:28" ht="42.75">
      <c r="A188" t="s">
        <v>725</v>
      </c>
      <c r="B188" s="39">
        <v>1</v>
      </c>
      <c r="C188" s="39">
        <v>0</v>
      </c>
      <c r="D188" s="39" t="s">
        <v>250</v>
      </c>
      <c r="E188" s="22" t="s">
        <v>726</v>
      </c>
      <c r="F188">
        <v>7703153040468</v>
      </c>
    </row>
    <row r="189" spans="1:28" ht="15">
      <c r="A189" t="s">
        <v>96</v>
      </c>
      <c r="B189" s="39">
        <v>2</v>
      </c>
      <c r="C189" s="40">
        <v>0</v>
      </c>
      <c r="D189" s="94" t="s">
        <v>97</v>
      </c>
      <c r="E189" t="s">
        <v>98</v>
      </c>
      <c r="F189">
        <v>7703712030275</v>
      </c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8" ht="28.5">
      <c r="A190" s="64" t="s">
        <v>727</v>
      </c>
      <c r="B190" s="65">
        <v>3</v>
      </c>
      <c r="C190" s="457">
        <v>0</v>
      </c>
      <c r="D190" s="458" t="s">
        <v>23</v>
      </c>
      <c r="E190" s="64" t="s">
        <v>75</v>
      </c>
      <c r="F190" s="68">
        <v>7707355053363</v>
      </c>
    </row>
    <row r="191" spans="1:28" ht="28.5">
      <c r="A191" s="64" t="s">
        <v>727</v>
      </c>
      <c r="B191" s="65">
        <v>1</v>
      </c>
      <c r="C191" s="457">
        <v>0</v>
      </c>
      <c r="D191" s="458" t="s">
        <v>23</v>
      </c>
      <c r="E191" s="64" t="s">
        <v>75</v>
      </c>
      <c r="F191" s="68">
        <v>7707355053363</v>
      </c>
    </row>
    <row r="192" spans="1:28" ht="28.5">
      <c r="A192" s="64" t="s">
        <v>728</v>
      </c>
      <c r="B192" s="65">
        <v>1</v>
      </c>
      <c r="C192" s="66">
        <v>0</v>
      </c>
      <c r="D192" s="67" t="s">
        <v>729</v>
      </c>
      <c r="E192" s="64" t="s">
        <v>730</v>
      </c>
      <c r="F192" s="68">
        <v>7702896000562</v>
      </c>
      <c r="G192" s="65"/>
    </row>
    <row r="193" spans="1:28" ht="15">
      <c r="A193" s="112" t="s">
        <v>731</v>
      </c>
      <c r="B193" s="117">
        <v>1</v>
      </c>
      <c r="C193" s="345">
        <v>0</v>
      </c>
      <c r="D193" s="119" t="s">
        <v>59</v>
      </c>
      <c r="E193" s="112" t="s">
        <v>60</v>
      </c>
      <c r="F193" s="392">
        <v>7706127006361</v>
      </c>
      <c r="G193" s="392">
        <v>7706263200630</v>
      </c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8" ht="42.75">
      <c r="A194" t="s">
        <v>732</v>
      </c>
      <c r="B194" s="39">
        <v>3</v>
      </c>
      <c r="C194" s="40">
        <v>19</v>
      </c>
      <c r="D194" s="39" t="s">
        <v>733</v>
      </c>
      <c r="E194" s="22" t="s">
        <v>734</v>
      </c>
      <c r="F194">
        <v>7707336091131</v>
      </c>
    </row>
    <row r="195" spans="1:28" ht="15">
      <c r="A195" s="440"/>
      <c r="B195" s="440"/>
      <c r="C195" s="440"/>
      <c r="D195" s="440"/>
      <c r="E195" s="440"/>
      <c r="F195" s="440"/>
      <c r="G195" s="440"/>
      <c r="H195" s="440"/>
      <c r="I195" s="440"/>
      <c r="J195" s="440"/>
      <c r="K195" s="440"/>
      <c r="L195" s="440"/>
      <c r="M195" s="440"/>
      <c r="N195" s="440"/>
      <c r="O195" s="440"/>
      <c r="P195" s="440"/>
      <c r="Q195" s="440"/>
      <c r="R195" s="440"/>
      <c r="S195" s="440"/>
      <c r="T195" s="440"/>
      <c r="U195" s="440"/>
      <c r="V195" s="440"/>
      <c r="W195" s="440"/>
      <c r="X195" s="440"/>
      <c r="Y195" s="440"/>
      <c r="Z195" s="440"/>
      <c r="AA195" s="440"/>
      <c r="AB195" s="440"/>
    </row>
    <row r="196" spans="1:28" ht="30">
      <c r="A196" s="73" t="s">
        <v>735</v>
      </c>
      <c r="B196" s="32">
        <v>6</v>
      </c>
      <c r="C196" s="72">
        <v>0</v>
      </c>
      <c r="D196" s="83" t="s">
        <v>80</v>
      </c>
      <c r="E196" s="73" t="s">
        <v>81</v>
      </c>
      <c r="F196" s="321">
        <v>7501125132056</v>
      </c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117"/>
      <c r="AA196" s="19"/>
      <c r="AB196" s="19"/>
    </row>
    <row r="197" spans="1:28">
      <c r="A197" s="22" t="s">
        <v>736</v>
      </c>
      <c r="B197" s="39">
        <v>1</v>
      </c>
      <c r="C197" s="40">
        <v>0</v>
      </c>
      <c r="D197" s="39" t="s">
        <v>26</v>
      </c>
      <c r="E197" t="s">
        <v>737</v>
      </c>
      <c r="F197">
        <v>7703546421157</v>
      </c>
    </row>
    <row r="198" spans="1:28" ht="30">
      <c r="A198" s="112" t="s">
        <v>738</v>
      </c>
      <c r="B198" s="117">
        <v>1</v>
      </c>
      <c r="C198" s="117">
        <v>0</v>
      </c>
      <c r="D198" s="117" t="s">
        <v>74</v>
      </c>
      <c r="E198" s="112" t="s">
        <v>18</v>
      </c>
      <c r="F198" s="117">
        <v>7707355058153</v>
      </c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9"/>
      <c r="AB198" s="19"/>
    </row>
    <row r="199" spans="1:28" ht="30">
      <c r="A199" s="112" t="s">
        <v>738</v>
      </c>
      <c r="B199" s="117">
        <v>1</v>
      </c>
      <c r="C199" s="117">
        <v>0</v>
      </c>
      <c r="D199" s="117" t="s">
        <v>74</v>
      </c>
      <c r="E199" s="112" t="s">
        <v>18</v>
      </c>
      <c r="F199" s="117">
        <v>7707355058153</v>
      </c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9"/>
      <c r="AB199" s="19"/>
    </row>
    <row r="200" spans="1:28" ht="30">
      <c r="A200" s="112" t="s">
        <v>738</v>
      </c>
      <c r="B200" s="39">
        <v>6</v>
      </c>
      <c r="C200" s="117">
        <v>0</v>
      </c>
      <c r="D200" s="117" t="s">
        <v>74</v>
      </c>
      <c r="E200" s="112" t="s">
        <v>18</v>
      </c>
      <c r="F200" s="117">
        <v>7707355058153</v>
      </c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9"/>
      <c r="AB200" s="19"/>
    </row>
    <row r="201" spans="1:28">
      <c r="A201" s="22" t="s">
        <v>739</v>
      </c>
      <c r="B201" s="39">
        <v>3</v>
      </c>
      <c r="C201" s="40">
        <v>0</v>
      </c>
      <c r="D201" s="39" t="s">
        <v>740</v>
      </c>
      <c r="E201" t="s">
        <v>741</v>
      </c>
      <c r="F201">
        <v>7703038020097</v>
      </c>
    </row>
    <row r="202" spans="1:28" ht="15">
      <c r="A202" s="56" t="s">
        <v>360</v>
      </c>
      <c r="B202" s="96">
        <v>2</v>
      </c>
      <c r="C202" s="97">
        <v>0</v>
      </c>
      <c r="D202" s="96" t="s">
        <v>257</v>
      </c>
      <c r="E202" s="56" t="s">
        <v>361</v>
      </c>
      <c r="F202" s="226">
        <v>7703038067214</v>
      </c>
      <c r="G202" s="53"/>
      <c r="H202" s="53"/>
      <c r="I202" s="53"/>
      <c r="J202" s="53"/>
      <c r="K202" s="53"/>
      <c r="L202" s="53"/>
      <c r="M202" s="53"/>
      <c r="N202" s="53"/>
      <c r="O202" s="5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19"/>
    </row>
    <row r="203" spans="1:28">
      <c r="A203" s="22" t="s">
        <v>739</v>
      </c>
      <c r="B203" s="39">
        <v>1</v>
      </c>
      <c r="C203" s="40">
        <v>0</v>
      </c>
      <c r="D203" s="39" t="s">
        <v>740</v>
      </c>
      <c r="E203" t="s">
        <v>741</v>
      </c>
      <c r="F203">
        <v>7703038020097</v>
      </c>
    </row>
    <row r="204" spans="1:28" ht="15">
      <c r="A204" s="24" t="s">
        <v>742</v>
      </c>
      <c r="B204" s="13">
        <v>2</v>
      </c>
      <c r="C204" s="97">
        <v>0</v>
      </c>
      <c r="D204" s="95" t="s">
        <v>14</v>
      </c>
      <c r="E204" s="24" t="s">
        <v>743</v>
      </c>
      <c r="F204" s="24">
        <v>7703763334018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8" ht="15">
      <c r="A205" s="440"/>
      <c r="B205" s="440"/>
      <c r="C205" s="440"/>
      <c r="D205" s="440"/>
      <c r="E205" s="440"/>
      <c r="F205" s="440"/>
      <c r="G205" s="440"/>
      <c r="H205" s="440"/>
      <c r="I205" s="440"/>
      <c r="J205" s="440"/>
      <c r="K205" s="440"/>
      <c r="L205" s="440"/>
      <c r="M205" s="440"/>
      <c r="N205" s="440"/>
      <c r="O205" s="440"/>
      <c r="P205" s="440"/>
      <c r="Q205" s="440"/>
      <c r="R205" s="440"/>
      <c r="S205" s="440"/>
      <c r="T205" s="440"/>
      <c r="U205" s="440"/>
      <c r="V205" s="440"/>
      <c r="W205" s="440"/>
      <c r="X205" s="440"/>
      <c r="Y205" s="440"/>
      <c r="Z205" s="440"/>
      <c r="AA205" s="440"/>
      <c r="AB205" s="440"/>
    </row>
    <row r="206" spans="1:28" ht="30">
      <c r="A206" s="73" t="s">
        <v>84</v>
      </c>
      <c r="B206" s="32">
        <v>5</v>
      </c>
      <c r="C206" s="72">
        <v>0</v>
      </c>
      <c r="D206" s="83" t="s">
        <v>85</v>
      </c>
      <c r="E206" s="73" t="s">
        <v>86</v>
      </c>
      <c r="F206" s="321">
        <v>7709990383621</v>
      </c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9"/>
      <c r="AB206" s="19"/>
    </row>
    <row r="207" spans="1:28">
      <c r="A207" s="22" t="s">
        <v>699</v>
      </c>
      <c r="B207" s="39">
        <v>1</v>
      </c>
      <c r="C207" s="40">
        <v>0</v>
      </c>
      <c r="D207" s="94" t="s">
        <v>262</v>
      </c>
      <c r="E207" t="s">
        <v>700</v>
      </c>
      <c r="F207" s="42">
        <v>7703712035317</v>
      </c>
    </row>
    <row r="208" spans="1:28" ht="42.75">
      <c r="A208" s="22" t="s">
        <v>744</v>
      </c>
      <c r="B208" s="39">
        <v>4</v>
      </c>
      <c r="C208" s="40">
        <v>0.19</v>
      </c>
      <c r="D208" s="57" t="s">
        <v>293</v>
      </c>
      <c r="E208" s="22" t="s">
        <v>745</v>
      </c>
      <c r="F208">
        <v>7705471701212</v>
      </c>
    </row>
    <row r="209" spans="1:28" ht="15">
      <c r="A209" s="440"/>
      <c r="B209" s="440"/>
      <c r="C209" s="440"/>
      <c r="D209" s="440"/>
      <c r="E209" s="440"/>
      <c r="F209" s="440"/>
      <c r="G209" s="440"/>
      <c r="H209" s="440"/>
      <c r="I209" s="440"/>
      <c r="J209" s="440"/>
      <c r="K209" s="440"/>
      <c r="L209" s="440"/>
      <c r="M209" s="440"/>
      <c r="N209" s="440"/>
      <c r="O209" s="440"/>
      <c r="P209" s="440"/>
      <c r="Q209" s="440"/>
      <c r="R209" s="440"/>
      <c r="S209" s="440"/>
      <c r="T209" s="440"/>
      <c r="U209" s="440"/>
      <c r="V209" s="440"/>
      <c r="W209" s="440"/>
      <c r="X209" s="440"/>
      <c r="Y209" s="440"/>
      <c r="Z209" s="440"/>
      <c r="AA209" s="440"/>
      <c r="AB209" s="440"/>
    </row>
    <row r="210" spans="1:28" ht="15">
      <c r="A210" s="43" t="s">
        <v>746</v>
      </c>
      <c r="B210" s="92">
        <v>4</v>
      </c>
      <c r="C210" s="93">
        <v>0</v>
      </c>
      <c r="D210" s="92" t="s">
        <v>747</v>
      </c>
      <c r="E210" s="49" t="s">
        <v>748</v>
      </c>
      <c r="F210" s="49">
        <v>7702896002313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8" ht="30">
      <c r="A211" s="45" t="s">
        <v>399</v>
      </c>
      <c r="B211" s="74">
        <v>2</v>
      </c>
      <c r="C211" s="75">
        <v>0</v>
      </c>
      <c r="D211" s="91" t="s">
        <v>14</v>
      </c>
      <c r="E211" s="45" t="s">
        <v>400</v>
      </c>
      <c r="F211" s="46">
        <v>7707019334203</v>
      </c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8" ht="29.25">
      <c r="A212" s="24" t="s">
        <v>401</v>
      </c>
      <c r="B212" s="8">
        <v>1</v>
      </c>
      <c r="C212" s="9">
        <v>0</v>
      </c>
      <c r="D212" s="85" t="s">
        <v>402</v>
      </c>
      <c r="E212" s="24" t="s">
        <v>403</v>
      </c>
      <c r="F212" s="63">
        <v>7707019334302</v>
      </c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28.5">
      <c r="A213" s="64" t="s">
        <v>727</v>
      </c>
      <c r="B213" s="65">
        <v>2</v>
      </c>
      <c r="C213" s="457">
        <v>0</v>
      </c>
      <c r="D213" s="458" t="s">
        <v>23</v>
      </c>
      <c r="E213" s="64" t="s">
        <v>75</v>
      </c>
      <c r="F213" s="68">
        <v>7707355053363</v>
      </c>
    </row>
    <row r="214" spans="1:28" ht="28.5">
      <c r="A214" s="64" t="s">
        <v>727</v>
      </c>
      <c r="B214" s="65">
        <v>2</v>
      </c>
      <c r="C214" s="457">
        <v>0</v>
      </c>
      <c r="D214" s="458" t="s">
        <v>23</v>
      </c>
      <c r="E214" s="64" t="s">
        <v>75</v>
      </c>
      <c r="F214" s="68">
        <v>7707355053363</v>
      </c>
    </row>
    <row r="215" spans="1:28" ht="15">
      <c r="A215" s="195" t="s">
        <v>749</v>
      </c>
      <c r="B215" s="200">
        <v>1</v>
      </c>
      <c r="C215" s="360">
        <v>0</v>
      </c>
      <c r="D215" s="361" t="s">
        <v>750</v>
      </c>
      <c r="E215" s="428" t="s">
        <v>751</v>
      </c>
      <c r="F215" s="451">
        <v>7709770902318</v>
      </c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19"/>
    </row>
    <row r="216" spans="1:28" ht="30">
      <c r="A216" s="117" t="s">
        <v>752</v>
      </c>
      <c r="B216" s="117">
        <v>2</v>
      </c>
      <c r="C216" s="117">
        <v>0</v>
      </c>
      <c r="D216" s="117" t="s">
        <v>427</v>
      </c>
      <c r="E216" s="112" t="s">
        <v>653</v>
      </c>
      <c r="F216" s="117">
        <v>7707019385175</v>
      </c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 spans="1:28" ht="15">
      <c r="A217" s="440"/>
      <c r="B217" s="440"/>
      <c r="C217" s="440"/>
      <c r="D217" s="440"/>
      <c r="E217" s="440"/>
      <c r="F217" s="440"/>
      <c r="G217" s="440"/>
      <c r="H217" s="440"/>
      <c r="I217" s="440"/>
      <c r="J217" s="440"/>
      <c r="K217" s="440"/>
      <c r="L217" s="440"/>
      <c r="M217" s="440"/>
      <c r="N217" s="440"/>
      <c r="O217" s="440"/>
      <c r="P217" s="440"/>
      <c r="Q217" s="440"/>
      <c r="R217" s="440"/>
      <c r="S217" s="440"/>
      <c r="T217" s="440"/>
      <c r="U217" s="440"/>
      <c r="V217" s="440"/>
      <c r="W217" s="440"/>
      <c r="X217" s="440"/>
      <c r="Y217" s="440"/>
      <c r="Z217" s="440"/>
      <c r="AA217" s="440"/>
      <c r="AB217" s="440"/>
    </row>
    <row r="218" spans="1:28" ht="29.25">
      <c r="A218" s="22" t="s">
        <v>753</v>
      </c>
      <c r="B218" s="39">
        <v>3</v>
      </c>
      <c r="C218" s="40">
        <v>0</v>
      </c>
      <c r="D218" s="94" t="s">
        <v>262</v>
      </c>
      <c r="E218" s="22" t="s">
        <v>754</v>
      </c>
      <c r="F218">
        <v>8903726224403</v>
      </c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</row>
    <row r="219" spans="1:28" ht="28.5">
      <c r="A219" s="146" t="s">
        <v>755</v>
      </c>
      <c r="B219" s="168">
        <v>1</v>
      </c>
      <c r="C219" s="168">
        <v>0</v>
      </c>
      <c r="D219" s="157" t="s">
        <v>756</v>
      </c>
      <c r="E219" s="146" t="s">
        <v>757</v>
      </c>
      <c r="F219" s="141">
        <v>7706263200388</v>
      </c>
      <c r="G219" s="141"/>
    </row>
    <row r="220" spans="1:28" ht="29.25">
      <c r="A220" s="22" t="s">
        <v>758</v>
      </c>
      <c r="B220" s="39">
        <v>1</v>
      </c>
      <c r="C220" s="39">
        <v>0</v>
      </c>
      <c r="D220" s="94" t="s">
        <v>759</v>
      </c>
      <c r="E220" s="41" t="s">
        <v>760</v>
      </c>
      <c r="F220" s="273">
        <v>7707173600091</v>
      </c>
      <c r="AA220" s="117"/>
      <c r="AB220" s="117"/>
    </row>
    <row r="221" spans="1:28" ht="30">
      <c r="A221" s="53" t="s">
        <v>761</v>
      </c>
      <c r="B221" s="96">
        <v>3</v>
      </c>
      <c r="C221" s="97">
        <v>0</v>
      </c>
      <c r="D221" s="72" t="s">
        <v>38</v>
      </c>
      <c r="E221" s="112" t="s">
        <v>121</v>
      </c>
      <c r="F221" s="53">
        <v>7501125176487</v>
      </c>
    </row>
    <row r="222" spans="1:28" ht="30">
      <c r="A222" s="384" t="s">
        <v>762</v>
      </c>
      <c r="B222" s="384">
        <v>3</v>
      </c>
      <c r="C222" s="385">
        <v>0</v>
      </c>
      <c r="D222" s="384" t="s">
        <v>38</v>
      </c>
      <c r="E222" s="383" t="s">
        <v>121</v>
      </c>
      <c r="F222" s="384">
        <v>7501125184864</v>
      </c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  <c r="AA222" s="117"/>
      <c r="AB222" s="117"/>
    </row>
    <row r="223" spans="1:28" ht="30">
      <c r="A223" s="384" t="s">
        <v>763</v>
      </c>
      <c r="B223" s="384">
        <v>3</v>
      </c>
      <c r="C223" s="385">
        <v>0</v>
      </c>
      <c r="D223" s="384" t="s">
        <v>38</v>
      </c>
      <c r="E223" s="383" t="s">
        <v>121</v>
      </c>
      <c r="F223" s="384">
        <v>7501125176494</v>
      </c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</row>
    <row r="224" spans="1:28" ht="30">
      <c r="A224" s="32" t="s">
        <v>764</v>
      </c>
      <c r="B224" s="32">
        <v>3</v>
      </c>
      <c r="C224" s="72">
        <v>0</v>
      </c>
      <c r="D224" s="72" t="s">
        <v>38</v>
      </c>
      <c r="E224" s="76" t="s">
        <v>121</v>
      </c>
      <c r="F224" s="32">
        <v>7501125184277</v>
      </c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8" ht="30">
      <c r="A225" s="18" t="s">
        <v>765</v>
      </c>
      <c r="B225" s="32">
        <v>3</v>
      </c>
      <c r="C225" s="32">
        <v>0</v>
      </c>
      <c r="D225" s="72" t="s">
        <v>38</v>
      </c>
      <c r="E225" s="16" t="s">
        <v>255</v>
      </c>
      <c r="F225" s="18">
        <v>7501125176500</v>
      </c>
    </row>
    <row r="226" spans="1:28" ht="30">
      <c r="A226" s="16" t="s">
        <v>766</v>
      </c>
      <c r="B226" s="32">
        <v>3</v>
      </c>
      <c r="C226" s="72">
        <v>0</v>
      </c>
      <c r="D226" s="72" t="s">
        <v>38</v>
      </c>
      <c r="E226" s="16" t="s">
        <v>121</v>
      </c>
      <c r="F226" s="18">
        <v>7501125176548</v>
      </c>
    </row>
    <row r="227" spans="1:28" ht="43.5">
      <c r="A227" s="22" t="s">
        <v>767</v>
      </c>
      <c r="B227" s="39">
        <v>1</v>
      </c>
      <c r="C227" s="40">
        <v>0.19</v>
      </c>
      <c r="D227" s="111" t="s">
        <v>768</v>
      </c>
      <c r="E227" s="22" t="s">
        <v>769</v>
      </c>
      <c r="F227" s="52">
        <v>7707056200035</v>
      </c>
      <c r="G227" s="28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117"/>
      <c r="AB227" s="117"/>
    </row>
    <row r="228" spans="1:28" ht="30">
      <c r="A228" s="32" t="s">
        <v>370</v>
      </c>
      <c r="B228" s="74">
        <v>3</v>
      </c>
      <c r="C228" s="75">
        <v>0</v>
      </c>
      <c r="D228" s="336" t="s">
        <v>85</v>
      </c>
      <c r="E228" s="73" t="s">
        <v>165</v>
      </c>
      <c r="F228" s="32">
        <v>7501033957376</v>
      </c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9"/>
      <c r="AB228" s="19"/>
    </row>
    <row r="229" spans="1:28" ht="30">
      <c r="A229" s="53" t="s">
        <v>770</v>
      </c>
      <c r="B229" s="96">
        <v>3</v>
      </c>
      <c r="C229" s="97">
        <v>0</v>
      </c>
      <c r="D229" s="83" t="s">
        <v>85</v>
      </c>
      <c r="E229" s="152" t="s">
        <v>165</v>
      </c>
      <c r="F229" s="155">
        <v>7501033957369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30">
      <c r="A230" s="53" t="s">
        <v>771</v>
      </c>
      <c r="B230" s="96">
        <v>3</v>
      </c>
      <c r="C230" s="97">
        <v>0</v>
      </c>
      <c r="D230" s="120" t="s">
        <v>85</v>
      </c>
      <c r="E230" s="56" t="s">
        <v>165</v>
      </c>
      <c r="F230" s="53">
        <v>7501033957413</v>
      </c>
      <c r="G230" s="53"/>
      <c r="H230" s="53"/>
      <c r="I230" s="53"/>
      <c r="J230" s="53"/>
      <c r="K230" s="53"/>
      <c r="L230" s="53"/>
      <c r="M230" s="53"/>
      <c r="N230" s="53"/>
      <c r="O230" s="53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28.5">
      <c r="A231" s="13" t="s">
        <v>772</v>
      </c>
      <c r="B231" s="12">
        <v>1</v>
      </c>
      <c r="C231" s="59">
        <v>0</v>
      </c>
      <c r="D231" s="12" t="s">
        <v>773</v>
      </c>
      <c r="E231" s="13" t="s">
        <v>774</v>
      </c>
      <c r="F231" s="15">
        <v>7704588003011</v>
      </c>
    </row>
    <row r="232" spans="1:28" ht="15">
      <c r="A232" s="440"/>
      <c r="B232" s="440"/>
      <c r="C232" s="440"/>
      <c r="D232" s="440"/>
      <c r="E232" s="440"/>
      <c r="F232" s="440"/>
      <c r="G232" s="440"/>
      <c r="H232" s="440"/>
      <c r="I232" s="440"/>
      <c r="J232" s="440"/>
      <c r="K232" s="440"/>
      <c r="L232" s="440"/>
      <c r="M232" s="440"/>
      <c r="N232" s="440"/>
      <c r="O232" s="440"/>
      <c r="P232" s="440"/>
      <c r="Q232" s="440"/>
      <c r="R232" s="440"/>
      <c r="S232" s="440"/>
      <c r="T232" s="440"/>
      <c r="U232" s="440"/>
      <c r="V232" s="440"/>
      <c r="W232" s="440"/>
      <c r="X232" s="440"/>
      <c r="Y232" s="440"/>
      <c r="Z232" s="440"/>
      <c r="AA232" s="440"/>
      <c r="AB232" s="440"/>
    </row>
    <row r="233" spans="1:28">
      <c r="A233" t="s">
        <v>775</v>
      </c>
      <c r="B233" s="39">
        <v>1</v>
      </c>
      <c r="C233" s="40">
        <v>0</v>
      </c>
      <c r="D233" s="39" t="s">
        <v>103</v>
      </c>
      <c r="E233" t="s">
        <v>776</v>
      </c>
      <c r="F233">
        <v>7703038862031</v>
      </c>
    </row>
    <row r="234" spans="1:28" ht="15">
      <c r="A234" s="96" t="s">
        <v>777</v>
      </c>
      <c r="B234" s="96">
        <v>1</v>
      </c>
      <c r="C234" s="97">
        <v>0.19</v>
      </c>
      <c r="D234" s="120" t="s">
        <v>702</v>
      </c>
      <c r="E234" s="152" t="s">
        <v>583</v>
      </c>
      <c r="F234" s="375">
        <v>650240036965</v>
      </c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8" ht="15">
      <c r="A235" s="76" t="s">
        <v>778</v>
      </c>
      <c r="B235" s="74">
        <v>1</v>
      </c>
      <c r="C235" s="75">
        <v>0</v>
      </c>
      <c r="D235" s="91" t="s">
        <v>238</v>
      </c>
      <c r="E235" s="74" t="s">
        <v>779</v>
      </c>
      <c r="F235" s="74">
        <v>7703038131663</v>
      </c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117"/>
      <c r="AA235" s="117"/>
      <c r="AB235" s="117"/>
    </row>
    <row r="236" spans="1:28" ht="15">
      <c r="A236" s="8" t="s">
        <v>780</v>
      </c>
      <c r="B236" s="8">
        <v>3</v>
      </c>
      <c r="C236" s="9">
        <v>0</v>
      </c>
      <c r="D236" s="203" t="s">
        <v>781</v>
      </c>
      <c r="E236" s="7" t="s">
        <v>431</v>
      </c>
      <c r="F236" s="63">
        <v>7702057712938</v>
      </c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</row>
    <row r="237" spans="1:28" ht="15">
      <c r="A237" s="440"/>
      <c r="B237" s="440"/>
      <c r="C237" s="440"/>
      <c r="D237" s="440"/>
      <c r="E237" s="440"/>
      <c r="F237" s="440"/>
      <c r="G237" s="440"/>
      <c r="H237" s="440"/>
      <c r="I237" s="440"/>
      <c r="J237" s="440"/>
      <c r="K237" s="440"/>
      <c r="L237" s="440"/>
      <c r="M237" s="440"/>
      <c r="N237" s="440"/>
      <c r="O237" s="440"/>
      <c r="P237" s="440"/>
      <c r="Q237" s="440"/>
      <c r="R237" s="440"/>
      <c r="S237" s="440"/>
      <c r="T237" s="440"/>
      <c r="U237" s="440"/>
      <c r="V237" s="440"/>
      <c r="W237" s="440"/>
      <c r="X237" s="440"/>
      <c r="Y237" s="440"/>
      <c r="Z237" s="440"/>
      <c r="AA237" s="440"/>
      <c r="AB237" s="440"/>
    </row>
    <row r="238" spans="1:28" ht="15">
      <c r="A238" s="117" t="s">
        <v>782</v>
      </c>
      <c r="B238" s="117">
        <v>6</v>
      </c>
      <c r="C238" s="117">
        <v>0</v>
      </c>
      <c r="D238" s="117" t="s">
        <v>697</v>
      </c>
      <c r="E238" s="117" t="s">
        <v>783</v>
      </c>
      <c r="F238" s="117">
        <v>7707282990052</v>
      </c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8">
      <c r="A239" s="22" t="s">
        <v>784</v>
      </c>
      <c r="B239" s="39">
        <v>6</v>
      </c>
      <c r="C239" s="40">
        <v>0</v>
      </c>
      <c r="D239" s="57" t="s">
        <v>697</v>
      </c>
      <c r="E239" t="s">
        <v>785</v>
      </c>
      <c r="F239">
        <v>7708528899030</v>
      </c>
    </row>
    <row r="240" spans="1:28">
      <c r="A240" s="28" t="s">
        <v>786</v>
      </c>
      <c r="B240" s="8">
        <v>1</v>
      </c>
      <c r="C240" s="9">
        <v>0.19</v>
      </c>
      <c r="D240" s="203" t="s">
        <v>787</v>
      </c>
      <c r="E240" s="28" t="s">
        <v>210</v>
      </c>
      <c r="F240" s="28">
        <v>7702027479724</v>
      </c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28" ht="28.5">
      <c r="A241" s="69" t="s">
        <v>788</v>
      </c>
      <c r="B241" s="12">
        <v>6</v>
      </c>
      <c r="C241" s="59">
        <v>0</v>
      </c>
      <c r="D241" s="111" t="s">
        <v>293</v>
      </c>
      <c r="E241" s="13" t="s">
        <v>789</v>
      </c>
      <c r="F241" s="61">
        <v>7705366102063</v>
      </c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30">
      <c r="A242" s="19" t="s">
        <v>790</v>
      </c>
      <c r="B242" s="117">
        <v>2</v>
      </c>
      <c r="C242" s="117">
        <v>0</v>
      </c>
      <c r="D242" s="117" t="s">
        <v>652</v>
      </c>
      <c r="E242" s="43" t="s">
        <v>791</v>
      </c>
      <c r="F242" s="19">
        <v>7707019380606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28.5">
      <c r="A243" t="s">
        <v>792</v>
      </c>
      <c r="B243" s="39">
        <v>3</v>
      </c>
      <c r="C243" s="39">
        <v>0</v>
      </c>
      <c r="D243" s="39" t="s">
        <v>156</v>
      </c>
      <c r="E243" s="22" t="s">
        <v>204</v>
      </c>
      <c r="F243">
        <v>7703432425214</v>
      </c>
    </row>
    <row r="244" spans="1:28" ht="30">
      <c r="A244" s="73" t="s">
        <v>287</v>
      </c>
      <c r="B244" s="32">
        <v>6</v>
      </c>
      <c r="C244" s="89">
        <v>0</v>
      </c>
      <c r="D244" s="90" t="s">
        <v>10</v>
      </c>
      <c r="E244" s="73" t="s">
        <v>288</v>
      </c>
      <c r="F244" s="20">
        <v>7730766003382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19"/>
      <c r="AA244" s="19"/>
      <c r="AB244" s="19"/>
    </row>
    <row r="245" spans="1:28" ht="15">
      <c r="A245" s="440"/>
      <c r="B245" s="440"/>
      <c r="C245" s="440"/>
      <c r="D245" s="440"/>
      <c r="E245" s="440"/>
      <c r="F245" s="440"/>
      <c r="G245" s="440"/>
      <c r="H245" s="440"/>
      <c r="I245" s="440"/>
      <c r="J245" s="440"/>
      <c r="K245" s="440"/>
      <c r="L245" s="440"/>
      <c r="M245" s="440"/>
      <c r="N245" s="440"/>
      <c r="O245" s="440"/>
      <c r="P245" s="440"/>
      <c r="Q245" s="440"/>
      <c r="R245" s="440"/>
      <c r="S245" s="440"/>
      <c r="T245" s="440"/>
      <c r="U245" s="440"/>
      <c r="V245" s="440"/>
      <c r="W245" s="440"/>
      <c r="X245" s="440"/>
      <c r="Y245" s="440"/>
      <c r="Z245" s="440"/>
      <c r="AA245" s="440"/>
      <c r="AB245" s="440"/>
    </row>
    <row r="246" spans="1:28" ht="15">
      <c r="A246" s="112" t="s">
        <v>28</v>
      </c>
      <c r="B246" s="117">
        <v>1</v>
      </c>
      <c r="C246" s="345">
        <v>0</v>
      </c>
      <c r="D246" s="345" t="s">
        <v>29</v>
      </c>
      <c r="E246" s="117" t="s">
        <v>30</v>
      </c>
      <c r="F246" s="117">
        <v>7703546153508</v>
      </c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8" ht="28.5">
      <c r="A247" s="242" t="s">
        <v>793</v>
      </c>
      <c r="B247" s="248">
        <v>1</v>
      </c>
      <c r="C247" s="248">
        <v>0</v>
      </c>
      <c r="D247" s="248" t="s">
        <v>156</v>
      </c>
      <c r="E247" s="252" t="s">
        <v>653</v>
      </c>
      <c r="F247" s="242">
        <v>7707288820247</v>
      </c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242"/>
    </row>
    <row r="248" spans="1:28" ht="28.5">
      <c r="A248" s="242" t="s">
        <v>793</v>
      </c>
      <c r="B248" s="248">
        <v>1</v>
      </c>
      <c r="C248" s="248">
        <v>0</v>
      </c>
      <c r="D248" s="248" t="s">
        <v>156</v>
      </c>
      <c r="E248" s="252" t="s">
        <v>653</v>
      </c>
      <c r="F248" s="242">
        <v>7707288820247</v>
      </c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242"/>
    </row>
    <row r="249" spans="1:28" ht="15">
      <c r="A249" s="19" t="s">
        <v>794</v>
      </c>
      <c r="B249" s="117">
        <v>3</v>
      </c>
      <c r="C249" s="117">
        <v>0</v>
      </c>
      <c r="D249" s="117" t="s">
        <v>355</v>
      </c>
      <c r="E249" s="19" t="s">
        <v>795</v>
      </c>
      <c r="F249" s="19">
        <v>7702057233211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8">
      <c r="A250" s="22" t="s">
        <v>796</v>
      </c>
      <c r="B250" s="41">
        <v>2</v>
      </c>
      <c r="C250" s="269">
        <v>0</v>
      </c>
      <c r="D250" s="310" t="s">
        <v>222</v>
      </c>
      <c r="E250" s="22" t="s">
        <v>797</v>
      </c>
      <c r="F250">
        <v>7707019413816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8" ht="28.5">
      <c r="A251" t="s">
        <v>798</v>
      </c>
      <c r="B251" s="39">
        <v>1</v>
      </c>
      <c r="C251" s="40">
        <v>0.19</v>
      </c>
      <c r="D251" s="39" t="s">
        <v>799</v>
      </c>
      <c r="E251" s="22" t="s">
        <v>800</v>
      </c>
      <c r="F251">
        <v>7707232096186</v>
      </c>
    </row>
    <row r="252" spans="1:28">
      <c r="A252" s="24" t="s">
        <v>801</v>
      </c>
      <c r="B252" s="8">
        <v>1</v>
      </c>
      <c r="C252" s="9">
        <v>0.19</v>
      </c>
      <c r="D252" s="203" t="s">
        <v>802</v>
      </c>
      <c r="E252" s="8" t="s">
        <v>803</v>
      </c>
      <c r="F252" s="28">
        <v>7706849113460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8">
      <c r="A253" s="28" t="s">
        <v>804</v>
      </c>
      <c r="B253" s="8">
        <v>1</v>
      </c>
      <c r="C253" s="9">
        <v>0</v>
      </c>
      <c r="D253" s="8" t="s">
        <v>805</v>
      </c>
      <c r="E253" s="28" t="s">
        <v>806</v>
      </c>
      <c r="F253" s="28">
        <v>7707355050393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8">
      <c r="A254" s="22" t="s">
        <v>807</v>
      </c>
      <c r="B254" s="39">
        <v>3</v>
      </c>
      <c r="C254" s="84">
        <v>0</v>
      </c>
      <c r="D254" s="57" t="s">
        <v>808</v>
      </c>
      <c r="E254" t="s">
        <v>809</v>
      </c>
      <c r="F254">
        <v>8901175025558</v>
      </c>
    </row>
    <row r="255" spans="1:28">
      <c r="A255" s="22" t="s">
        <v>807</v>
      </c>
      <c r="B255" s="39">
        <v>1</v>
      </c>
      <c r="C255" s="84">
        <v>0</v>
      </c>
      <c r="D255" s="57" t="s">
        <v>808</v>
      </c>
      <c r="E255" t="s">
        <v>809</v>
      </c>
      <c r="F255">
        <v>8901175025558</v>
      </c>
    </row>
    <row r="256" spans="1:28" ht="15">
      <c r="A256" s="71" t="s">
        <v>810</v>
      </c>
      <c r="B256" s="12">
        <v>1</v>
      </c>
      <c r="C256" s="59">
        <v>0</v>
      </c>
      <c r="D256" s="59" t="s">
        <v>91</v>
      </c>
      <c r="E256" s="71" t="s">
        <v>811</v>
      </c>
      <c r="F256" s="71">
        <v>7704190272119</v>
      </c>
      <c r="AA256" s="117"/>
      <c r="AB256" s="117"/>
    </row>
    <row r="257" spans="1:28" ht="15">
      <c r="A257" t="s">
        <v>812</v>
      </c>
      <c r="B257" s="39">
        <v>3</v>
      </c>
      <c r="C257" s="40">
        <v>0</v>
      </c>
      <c r="D257" s="94" t="s">
        <v>519</v>
      </c>
      <c r="E257" t="s">
        <v>813</v>
      </c>
      <c r="F257">
        <v>7709805542861</v>
      </c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8" ht="30">
      <c r="A258" s="195" t="s">
        <v>197</v>
      </c>
      <c r="B258" s="200">
        <v>4</v>
      </c>
      <c r="C258" s="360">
        <v>0</v>
      </c>
      <c r="D258" s="200" t="s">
        <v>88</v>
      </c>
      <c r="E258" s="195" t="s">
        <v>198</v>
      </c>
      <c r="F258" s="373">
        <v>7709695236871</v>
      </c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117"/>
    </row>
    <row r="259" spans="1:28" ht="28.5">
      <c r="A259" s="64" t="s">
        <v>814</v>
      </c>
      <c r="B259" s="65">
        <v>4</v>
      </c>
      <c r="C259" s="65">
        <v>0</v>
      </c>
      <c r="D259" s="65" t="s">
        <v>88</v>
      </c>
      <c r="E259" s="64" t="s">
        <v>198</v>
      </c>
      <c r="F259" s="68">
        <v>7709695236826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 spans="1:28" ht="15">
      <c r="A260" s="8" t="s">
        <v>815</v>
      </c>
      <c r="B260" s="8">
        <v>1</v>
      </c>
      <c r="C260" s="167">
        <v>0</v>
      </c>
      <c r="D260" s="203" t="s">
        <v>808</v>
      </c>
      <c r="E260" s="7" t="s">
        <v>816</v>
      </c>
      <c r="F260" s="8">
        <v>8436024610949</v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5">
      <c r="A261" s="440"/>
      <c r="B261" s="440"/>
      <c r="C261" s="440"/>
      <c r="D261" s="440"/>
      <c r="E261" s="440"/>
      <c r="F261" s="440"/>
      <c r="G261" s="440"/>
      <c r="H261" s="440"/>
      <c r="I261" s="440"/>
      <c r="J261" s="440"/>
      <c r="K261" s="440"/>
      <c r="L261" s="440"/>
      <c r="M261" s="440"/>
      <c r="N261" s="440"/>
      <c r="O261" s="440"/>
      <c r="P261" s="440"/>
      <c r="Q261" s="440"/>
      <c r="R261" s="440"/>
      <c r="S261" s="440"/>
      <c r="T261" s="440"/>
      <c r="U261" s="440"/>
      <c r="V261" s="440"/>
      <c r="W261" s="440"/>
      <c r="X261" s="440"/>
      <c r="Y261" s="440"/>
      <c r="Z261" s="440"/>
      <c r="AA261" s="440"/>
      <c r="AB261" s="440"/>
    </row>
    <row r="262" spans="1:28" ht="15">
      <c r="A262" s="76" t="s">
        <v>817</v>
      </c>
      <c r="B262" s="74">
        <v>2</v>
      </c>
      <c r="C262" s="75">
        <v>0</v>
      </c>
      <c r="D262" s="74" t="s">
        <v>818</v>
      </c>
      <c r="E262" s="76" t="s">
        <v>428</v>
      </c>
      <c r="F262" s="74">
        <v>7703038050018</v>
      </c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117"/>
      <c r="AA262" s="117"/>
      <c r="AB262" s="117"/>
    </row>
    <row r="263" spans="1:28" ht="15">
      <c r="A263" s="24" t="s">
        <v>256</v>
      </c>
      <c r="B263" s="8">
        <v>1</v>
      </c>
      <c r="C263" s="9">
        <v>0</v>
      </c>
      <c r="D263" s="8" t="s">
        <v>257</v>
      </c>
      <c r="E263" s="7" t="s">
        <v>258</v>
      </c>
      <c r="F263" s="63">
        <v>7703038067429</v>
      </c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8" ht="30">
      <c r="A264" s="117" t="s">
        <v>819</v>
      </c>
      <c r="B264" s="117">
        <v>6</v>
      </c>
      <c r="C264" s="117">
        <v>0</v>
      </c>
      <c r="D264" s="117" t="s">
        <v>697</v>
      </c>
      <c r="E264" s="112" t="s">
        <v>820</v>
      </c>
      <c r="F264" s="117">
        <v>7707336092169</v>
      </c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8" ht="28.5">
      <c r="A265" s="69" t="s">
        <v>821</v>
      </c>
      <c r="B265" s="12">
        <v>4</v>
      </c>
      <c r="C265" s="70">
        <v>0</v>
      </c>
      <c r="D265" s="259" t="s">
        <v>250</v>
      </c>
      <c r="E265" s="69" t="s">
        <v>822</v>
      </c>
      <c r="F265" s="61">
        <v>7501125132117</v>
      </c>
    </row>
    <row r="266" spans="1:28" ht="15">
      <c r="A266" s="74" t="s">
        <v>162</v>
      </c>
      <c r="B266" s="74">
        <v>6</v>
      </c>
      <c r="C266" s="75">
        <v>0</v>
      </c>
      <c r="D266" s="74" t="s">
        <v>109</v>
      </c>
      <c r="E266" s="74" t="s">
        <v>163</v>
      </c>
      <c r="F266" s="74">
        <v>7706569001184</v>
      </c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</row>
    <row r="267" spans="1:28" ht="42.75">
      <c r="A267" t="s">
        <v>823</v>
      </c>
      <c r="B267" s="39">
        <v>1</v>
      </c>
      <c r="C267" s="39">
        <v>19</v>
      </c>
      <c r="D267" s="39" t="s">
        <v>384</v>
      </c>
      <c r="E267" s="22" t="s">
        <v>824</v>
      </c>
      <c r="F267">
        <v>7707336092268</v>
      </c>
    </row>
    <row r="268" spans="1:28" ht="30">
      <c r="A268" s="18" t="s">
        <v>102</v>
      </c>
      <c r="B268" s="32">
        <v>1</v>
      </c>
      <c r="C268" s="72">
        <v>0</v>
      </c>
      <c r="D268" s="32" t="s">
        <v>103</v>
      </c>
      <c r="E268" s="16" t="s">
        <v>104</v>
      </c>
      <c r="F268" s="20">
        <v>7703038050452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117"/>
      <c r="AA268" s="117"/>
      <c r="AB268" s="117"/>
    </row>
    <row r="269" spans="1:28" ht="15">
      <c r="A269" t="s">
        <v>812</v>
      </c>
      <c r="B269" s="39">
        <v>2</v>
      </c>
      <c r="C269" s="40">
        <v>0</v>
      </c>
      <c r="D269" s="94" t="s">
        <v>519</v>
      </c>
      <c r="E269" t="s">
        <v>813</v>
      </c>
      <c r="F269">
        <v>7709805542861</v>
      </c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8" ht="15">
      <c r="A270" t="s">
        <v>825</v>
      </c>
      <c r="B270" s="39">
        <v>1</v>
      </c>
      <c r="C270" s="40">
        <v>0</v>
      </c>
      <c r="D270" s="39" t="s">
        <v>826</v>
      </c>
      <c r="E270" t="s">
        <v>827</v>
      </c>
      <c r="F270">
        <v>7703546402767</v>
      </c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</row>
    <row r="271" spans="1:28" ht="15">
      <c r="A271" t="s">
        <v>825</v>
      </c>
      <c r="B271" s="39">
        <v>1</v>
      </c>
      <c r="C271" s="40">
        <v>0</v>
      </c>
      <c r="D271" s="39" t="s">
        <v>826</v>
      </c>
      <c r="E271" t="s">
        <v>827</v>
      </c>
      <c r="F271">
        <v>7703546402767</v>
      </c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</row>
    <row r="272" spans="1:28" ht="15">
      <c r="A272" s="152" t="s">
        <v>828</v>
      </c>
      <c r="B272" s="96">
        <v>1</v>
      </c>
      <c r="C272" s="97">
        <v>0</v>
      </c>
      <c r="D272" s="95" t="s">
        <v>829</v>
      </c>
      <c r="E272" s="152" t="s">
        <v>830</v>
      </c>
      <c r="F272" s="117">
        <v>7709233974463</v>
      </c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9"/>
      <c r="AB272" s="19"/>
    </row>
    <row r="273" spans="1:28" ht="28.5">
      <c r="A273" s="69" t="s">
        <v>831</v>
      </c>
      <c r="B273" s="12">
        <v>2</v>
      </c>
      <c r="C273" s="59">
        <v>0.19</v>
      </c>
      <c r="D273" s="60" t="s">
        <v>10</v>
      </c>
      <c r="E273" s="13" t="s">
        <v>832</v>
      </c>
      <c r="F273" s="61">
        <v>7702057080075</v>
      </c>
    </row>
    <row r="274" spans="1:28" ht="15">
      <c r="A274" s="19" t="s">
        <v>833</v>
      </c>
      <c r="B274" s="117">
        <v>3</v>
      </c>
      <c r="C274" s="117">
        <v>0</v>
      </c>
      <c r="D274" s="117" t="s">
        <v>834</v>
      </c>
      <c r="E274" s="19" t="s">
        <v>835</v>
      </c>
      <c r="F274" s="19">
        <v>7707019352757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8" ht="28.5">
      <c r="A275" s="22" t="s">
        <v>719</v>
      </c>
      <c r="B275" s="39">
        <v>2</v>
      </c>
      <c r="C275" s="39">
        <v>0</v>
      </c>
      <c r="D275" s="39" t="s">
        <v>720</v>
      </c>
      <c r="E275" t="s">
        <v>721</v>
      </c>
      <c r="F275">
        <v>7703432258102</v>
      </c>
    </row>
    <row r="276" spans="1:28" ht="42.75">
      <c r="A276" t="s">
        <v>836</v>
      </c>
      <c r="B276" s="39">
        <v>1</v>
      </c>
      <c r="C276" s="40">
        <v>0</v>
      </c>
      <c r="D276" s="39" t="s">
        <v>23</v>
      </c>
      <c r="E276" s="22" t="s">
        <v>837</v>
      </c>
      <c r="F276">
        <v>7707271201725</v>
      </c>
    </row>
    <row r="277" spans="1:28" ht="15">
      <c r="A277" s="440"/>
      <c r="B277" s="440"/>
      <c r="C277" s="440"/>
      <c r="D277" s="440"/>
      <c r="E277" s="440"/>
      <c r="F277" s="440"/>
      <c r="G277" s="440"/>
      <c r="H277" s="440"/>
      <c r="I277" s="440"/>
      <c r="J277" s="440"/>
      <c r="K277" s="440"/>
      <c r="L277" s="440"/>
      <c r="M277" s="440"/>
      <c r="N277" s="440"/>
      <c r="O277" s="440"/>
      <c r="P277" s="440"/>
      <c r="Q277" s="440"/>
      <c r="R277" s="440"/>
      <c r="S277" s="440"/>
      <c r="T277" s="440"/>
      <c r="U277" s="440"/>
      <c r="V277" s="440"/>
      <c r="W277" s="440"/>
      <c r="X277" s="440"/>
      <c r="Y277" s="440"/>
      <c r="Z277" s="440"/>
      <c r="AA277" s="440"/>
      <c r="AB277" s="440"/>
    </row>
    <row r="278" spans="1:28" ht="29.25">
      <c r="A278" t="s">
        <v>838</v>
      </c>
      <c r="B278" s="39">
        <v>6</v>
      </c>
      <c r="C278" s="40">
        <v>0</v>
      </c>
      <c r="D278" s="94" t="s">
        <v>32</v>
      </c>
      <c r="E278" s="22" t="s">
        <v>839</v>
      </c>
      <c r="F278">
        <v>7702870002636</v>
      </c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9"/>
    </row>
    <row r="279" spans="1:28" ht="28.5">
      <c r="A279" s="452" t="s">
        <v>840</v>
      </c>
      <c r="B279" s="283">
        <v>2</v>
      </c>
      <c r="C279" s="459">
        <v>0</v>
      </c>
      <c r="D279" s="460" t="s">
        <v>509</v>
      </c>
      <c r="E279" s="452" t="s">
        <v>294</v>
      </c>
      <c r="F279" s="282">
        <v>7704412169104</v>
      </c>
    </row>
    <row r="280" spans="1:28" ht="15">
      <c r="A280" s="440"/>
      <c r="B280" s="440"/>
      <c r="C280" s="440"/>
      <c r="D280" s="440"/>
      <c r="E280" s="440"/>
      <c r="F280" s="440"/>
      <c r="G280" s="440"/>
      <c r="H280" s="440"/>
      <c r="I280" s="440"/>
      <c r="J280" s="440"/>
      <c r="K280" s="440"/>
      <c r="L280" s="440"/>
      <c r="M280" s="440"/>
      <c r="N280" s="440"/>
      <c r="O280" s="440"/>
      <c r="P280" s="440"/>
      <c r="Q280" s="440"/>
      <c r="R280" s="440"/>
      <c r="S280" s="440"/>
      <c r="T280" s="440"/>
      <c r="U280" s="440"/>
      <c r="V280" s="440"/>
      <c r="W280" s="440"/>
      <c r="X280" s="440"/>
      <c r="Y280" s="440"/>
      <c r="Z280" s="440"/>
      <c r="AA280" s="440"/>
      <c r="AB280" s="440"/>
    </row>
    <row r="281" spans="1:28">
      <c r="A281" s="24" t="s">
        <v>841</v>
      </c>
      <c r="B281" s="8">
        <v>3</v>
      </c>
      <c r="C281" s="9">
        <v>0</v>
      </c>
      <c r="D281" s="8" t="s">
        <v>718</v>
      </c>
      <c r="E281" s="7" t="s">
        <v>273</v>
      </c>
      <c r="F281" s="28">
        <v>7703432425542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8">
      <c r="A282" s="24" t="s">
        <v>842</v>
      </c>
      <c r="B282" s="8">
        <v>25</v>
      </c>
      <c r="C282" s="9">
        <v>0.19</v>
      </c>
      <c r="D282" s="203" t="s">
        <v>384</v>
      </c>
      <c r="E282" t="s">
        <v>843</v>
      </c>
      <c r="F282" s="28">
        <v>7707353303514</v>
      </c>
      <c r="G282" s="28"/>
      <c r="H282" s="28"/>
      <c r="I282" s="28"/>
      <c r="J282" s="28"/>
      <c r="K282" s="28"/>
      <c r="L282" s="28"/>
      <c r="M282" s="28"/>
      <c r="N282" s="28"/>
      <c r="O282" s="28"/>
    </row>
    <row r="283" spans="1:28" ht="29.25">
      <c r="A283" s="28" t="s">
        <v>844</v>
      </c>
      <c r="B283" s="8">
        <v>1</v>
      </c>
      <c r="C283" s="9">
        <v>0</v>
      </c>
      <c r="D283" s="9" t="s">
        <v>497</v>
      </c>
      <c r="E283" s="24" t="s">
        <v>845</v>
      </c>
      <c r="F283" s="28">
        <v>7706310000138</v>
      </c>
      <c r="AA283" s="19"/>
      <c r="AB283" s="19"/>
    </row>
    <row r="284" spans="1:28" ht="15">
      <c r="A284" s="440"/>
      <c r="B284" s="440"/>
      <c r="C284" s="440"/>
      <c r="D284" s="440"/>
      <c r="E284" s="440"/>
      <c r="F284" s="440"/>
      <c r="G284" s="440"/>
      <c r="H284" s="440"/>
      <c r="I284" s="440"/>
      <c r="J284" s="440"/>
      <c r="K284" s="440"/>
      <c r="L284" s="440"/>
      <c r="M284" s="440"/>
      <c r="N284" s="440"/>
      <c r="O284" s="440"/>
      <c r="P284" s="440"/>
      <c r="Q284" s="440"/>
      <c r="R284" s="440"/>
      <c r="S284" s="440"/>
      <c r="T284" s="440"/>
      <c r="U284" s="440"/>
      <c r="V284" s="440"/>
      <c r="W284" s="440"/>
      <c r="X284" s="440"/>
      <c r="Y284" s="440"/>
      <c r="Z284" s="440"/>
      <c r="AA284" s="440"/>
      <c r="AB284" s="440"/>
    </row>
    <row r="285" spans="1:28" ht="15">
      <c r="A285" s="24" t="s">
        <v>846</v>
      </c>
      <c r="B285" s="12">
        <v>1</v>
      </c>
      <c r="C285" s="59">
        <v>0</v>
      </c>
      <c r="D285" s="111" t="s">
        <v>847</v>
      </c>
      <c r="E285" s="28" t="s">
        <v>848</v>
      </c>
      <c r="F285" s="28">
        <v>7702870071427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19"/>
      <c r="AB285" s="19"/>
    </row>
    <row r="286" spans="1:28" ht="15">
      <c r="A286" s="24" t="s">
        <v>846</v>
      </c>
      <c r="B286" s="12">
        <v>1</v>
      </c>
      <c r="C286" s="59">
        <v>0</v>
      </c>
      <c r="D286" s="111" t="s">
        <v>847</v>
      </c>
      <c r="E286" s="28" t="s">
        <v>848</v>
      </c>
      <c r="F286" s="28">
        <v>7702870071427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19"/>
      <c r="AB286" s="19"/>
    </row>
    <row r="287" spans="1:28" ht="29.25">
      <c r="A287" s="24" t="s">
        <v>849</v>
      </c>
      <c r="B287" s="8">
        <v>1</v>
      </c>
      <c r="C287" s="9">
        <v>0</v>
      </c>
      <c r="D287" s="203" t="s">
        <v>850</v>
      </c>
      <c r="E287" s="24" t="s">
        <v>851</v>
      </c>
      <c r="F287" s="28">
        <v>7702123006718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5">
      <c r="A288" s="117" t="s">
        <v>226</v>
      </c>
      <c r="B288" s="117">
        <v>4</v>
      </c>
      <c r="C288" s="345">
        <v>0</v>
      </c>
      <c r="D288" s="117" t="s">
        <v>227</v>
      </c>
      <c r="E288" s="117" t="s">
        <v>228</v>
      </c>
      <c r="F288" s="117">
        <v>7703038067023</v>
      </c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9"/>
      <c r="AB288" s="19"/>
    </row>
    <row r="289" spans="1:28" ht="15">
      <c r="A289" s="69" t="s">
        <v>380</v>
      </c>
      <c r="B289" s="12">
        <v>1</v>
      </c>
      <c r="C289" s="59">
        <v>0</v>
      </c>
      <c r="D289" s="111" t="s">
        <v>381</v>
      </c>
      <c r="E289" s="12" t="s">
        <v>382</v>
      </c>
      <c r="F289" s="71">
        <v>7501298220185</v>
      </c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8" ht="15">
      <c r="A290" s="384" t="s">
        <v>852</v>
      </c>
      <c r="B290" s="384">
        <v>1</v>
      </c>
      <c r="C290" s="385">
        <v>0</v>
      </c>
      <c r="D290" s="384" t="s">
        <v>853</v>
      </c>
      <c r="E290" s="383" t="s">
        <v>854</v>
      </c>
      <c r="F290" s="384">
        <v>7703153024796</v>
      </c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117"/>
    </row>
    <row r="291" spans="1:28" ht="28.5">
      <c r="A291" s="22" t="s">
        <v>855</v>
      </c>
      <c r="B291" s="39">
        <v>1</v>
      </c>
      <c r="C291" s="39">
        <v>0</v>
      </c>
      <c r="D291" s="39" t="s">
        <v>856</v>
      </c>
      <c r="E291" s="22" t="s">
        <v>857</v>
      </c>
      <c r="F291">
        <v>751273776474</v>
      </c>
    </row>
    <row r="292" spans="1:28" ht="15">
      <c r="A292" s="76" t="s">
        <v>858</v>
      </c>
      <c r="B292" s="74">
        <v>2</v>
      </c>
      <c r="C292" s="75">
        <v>0</v>
      </c>
      <c r="D292" s="336" t="s">
        <v>859</v>
      </c>
      <c r="E292" s="74" t="s">
        <v>860</v>
      </c>
      <c r="F292" s="378">
        <v>7702026181956</v>
      </c>
      <c r="G292" s="74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8" ht="15">
      <c r="A293" s="440"/>
      <c r="B293" s="440"/>
      <c r="C293" s="440"/>
      <c r="D293" s="440"/>
      <c r="E293" s="440"/>
      <c r="F293" s="440"/>
      <c r="G293" s="440"/>
      <c r="H293" s="440"/>
      <c r="I293" s="440"/>
      <c r="J293" s="440"/>
      <c r="K293" s="440"/>
      <c r="L293" s="440"/>
      <c r="M293" s="440"/>
      <c r="N293" s="440"/>
      <c r="O293" s="440"/>
      <c r="P293" s="440"/>
      <c r="Q293" s="440"/>
      <c r="R293" s="440"/>
      <c r="S293" s="440"/>
      <c r="T293" s="440"/>
      <c r="U293" s="440"/>
      <c r="V293" s="440"/>
      <c r="W293" s="440"/>
      <c r="X293" s="440"/>
      <c r="Y293" s="440"/>
      <c r="Z293" s="440"/>
      <c r="AA293" s="440"/>
      <c r="AB293" s="440"/>
    </row>
    <row r="294" spans="1:28">
      <c r="A294" t="s">
        <v>861</v>
      </c>
      <c r="B294" s="39">
        <v>1</v>
      </c>
      <c r="C294" s="40">
        <v>0</v>
      </c>
      <c r="D294" s="94" t="s">
        <v>862</v>
      </c>
      <c r="E294" s="22" t="s">
        <v>863</v>
      </c>
      <c r="F294">
        <v>7703153035112</v>
      </c>
    </row>
    <row r="295" spans="1:28" ht="15">
      <c r="A295" s="440"/>
      <c r="B295" s="440"/>
      <c r="C295" s="440"/>
      <c r="D295" s="440"/>
      <c r="E295" s="440"/>
      <c r="F295" s="440"/>
      <c r="G295" s="440"/>
      <c r="H295" s="440"/>
      <c r="I295" s="440"/>
      <c r="J295" s="440"/>
      <c r="K295" s="440"/>
      <c r="L295" s="440"/>
      <c r="M295" s="440"/>
      <c r="N295" s="440"/>
      <c r="O295" s="440"/>
      <c r="P295" s="440"/>
      <c r="Q295" s="440"/>
      <c r="R295" s="440"/>
      <c r="S295" s="440"/>
      <c r="T295" s="440"/>
      <c r="U295" s="440"/>
      <c r="V295" s="440"/>
      <c r="W295" s="440"/>
      <c r="X295" s="440"/>
      <c r="Y295" s="440"/>
      <c r="Z295" s="440"/>
      <c r="AA295" s="440"/>
      <c r="AB295" s="440"/>
    </row>
    <row r="296" spans="1:28" ht="28.5">
      <c r="A296" t="s">
        <v>864</v>
      </c>
      <c r="B296" s="39">
        <v>25</v>
      </c>
      <c r="C296" s="40">
        <v>0.19</v>
      </c>
      <c r="D296" s="39" t="s">
        <v>384</v>
      </c>
      <c r="E296" s="22" t="s">
        <v>865</v>
      </c>
      <c r="F296">
        <v>7707353305815</v>
      </c>
    </row>
    <row r="297" spans="1:28" ht="30">
      <c r="A297" s="117" t="s">
        <v>866</v>
      </c>
      <c r="B297" s="117">
        <v>2</v>
      </c>
      <c r="C297" s="345">
        <v>0</v>
      </c>
      <c r="D297" s="117" t="s">
        <v>91</v>
      </c>
      <c r="E297" s="112" t="s">
        <v>513</v>
      </c>
      <c r="F297" s="117">
        <v>7704412509726</v>
      </c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8" ht="28.5">
      <c r="A298" s="22" t="s">
        <v>867</v>
      </c>
      <c r="B298" s="39">
        <v>1</v>
      </c>
      <c r="C298" s="39">
        <v>0</v>
      </c>
      <c r="D298" s="39" t="s">
        <v>59</v>
      </c>
      <c r="E298" t="s">
        <v>868</v>
      </c>
      <c r="F298">
        <v>7703153024345</v>
      </c>
    </row>
    <row r="299" spans="1:28" ht="15">
      <c r="A299" s="440"/>
      <c r="B299" s="440"/>
      <c r="C299" s="440"/>
      <c r="D299" s="440"/>
      <c r="E299" s="440"/>
      <c r="F299" s="440"/>
      <c r="G299" s="440"/>
      <c r="H299" s="440"/>
      <c r="I299" s="440"/>
      <c r="J299" s="440"/>
      <c r="K299" s="440"/>
      <c r="L299" s="440"/>
      <c r="M299" s="440"/>
      <c r="N299" s="440"/>
      <c r="O299" s="440"/>
      <c r="P299" s="440"/>
      <c r="Q299" s="440"/>
      <c r="R299" s="440"/>
      <c r="S299" s="440"/>
      <c r="T299" s="440"/>
      <c r="U299" s="440"/>
      <c r="V299" s="440"/>
      <c r="W299" s="440"/>
      <c r="X299" s="440"/>
      <c r="Y299" s="440"/>
      <c r="Z299" s="440"/>
      <c r="AA299" s="440"/>
      <c r="AB299" s="440"/>
    </row>
    <row r="300" spans="1:28" ht="28.5">
      <c r="A300" s="22" t="s">
        <v>869</v>
      </c>
      <c r="B300" s="39">
        <v>1</v>
      </c>
      <c r="C300" s="39">
        <v>0</v>
      </c>
    </row>
    <row r="301" spans="1:28" ht="15">
      <c r="A301" s="16" t="s">
        <v>870</v>
      </c>
      <c r="B301" s="32">
        <v>1</v>
      </c>
      <c r="C301" s="72">
        <v>0.19</v>
      </c>
      <c r="D301" s="83" t="s">
        <v>871</v>
      </c>
      <c r="E301" s="16" t="s">
        <v>872</v>
      </c>
      <c r="F301" s="18">
        <v>7702132011048</v>
      </c>
    </row>
    <row r="302" spans="1:28" ht="15">
      <c r="A302" s="16" t="s">
        <v>873</v>
      </c>
      <c r="B302" s="32">
        <v>1</v>
      </c>
      <c r="C302" s="72">
        <v>0.19</v>
      </c>
      <c r="D302" s="83" t="s">
        <v>874</v>
      </c>
      <c r="E302" s="16" t="s">
        <v>872</v>
      </c>
      <c r="F302" s="18">
        <v>7707397798260</v>
      </c>
    </row>
    <row r="303" spans="1:28" ht="15">
      <c r="A303" s="16" t="s">
        <v>875</v>
      </c>
      <c r="B303" s="32">
        <v>1</v>
      </c>
      <c r="C303" s="72">
        <v>0.19</v>
      </c>
      <c r="D303" s="83" t="s">
        <v>876</v>
      </c>
      <c r="E303" s="16" t="s">
        <v>872</v>
      </c>
      <c r="F303" s="18">
        <v>7702132001001</v>
      </c>
    </row>
    <row r="304" spans="1:28">
      <c r="A304" t="s">
        <v>877</v>
      </c>
      <c r="B304" s="39">
        <v>1</v>
      </c>
      <c r="C304" s="39">
        <v>0</v>
      </c>
      <c r="D304" s="39" t="s">
        <v>878</v>
      </c>
      <c r="E304" t="s">
        <v>879</v>
      </c>
    </row>
    <row r="305" spans="1:28" ht="28.5">
      <c r="A305" t="s">
        <v>880</v>
      </c>
      <c r="B305" s="41">
        <v>1</v>
      </c>
      <c r="C305" s="41">
        <v>0</v>
      </c>
      <c r="D305" s="41" t="s">
        <v>881</v>
      </c>
      <c r="E305" s="22" t="s">
        <v>882</v>
      </c>
      <c r="F305" s="22">
        <v>7803510300201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8" ht="15">
      <c r="A306" s="76" t="s">
        <v>883</v>
      </c>
      <c r="B306" s="74">
        <v>5</v>
      </c>
      <c r="C306" s="74">
        <v>0</v>
      </c>
      <c r="D306" s="74" t="s">
        <v>118</v>
      </c>
      <c r="E306" s="74" t="s">
        <v>884</v>
      </c>
      <c r="F306" s="74">
        <v>7702870071489</v>
      </c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</row>
    <row r="307" spans="1:28" ht="28.5">
      <c r="A307" s="71" t="s">
        <v>885</v>
      </c>
      <c r="B307" s="12">
        <v>1</v>
      </c>
      <c r="C307" s="80">
        <v>0</v>
      </c>
      <c r="D307" s="111" t="s">
        <v>293</v>
      </c>
      <c r="E307" s="69" t="s">
        <v>886</v>
      </c>
      <c r="F307" s="15">
        <v>7703454123761</v>
      </c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</row>
    <row r="308" spans="1:28" ht="30">
      <c r="A308" s="200" t="s">
        <v>887</v>
      </c>
      <c r="B308" s="200">
        <v>1</v>
      </c>
      <c r="C308" s="360">
        <v>0</v>
      </c>
      <c r="D308" s="360" t="s">
        <v>888</v>
      </c>
      <c r="E308" s="195" t="s">
        <v>889</v>
      </c>
      <c r="F308" s="373">
        <v>7707239276291</v>
      </c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8">
      <c r="A309" t="s">
        <v>890</v>
      </c>
      <c r="B309" s="41">
        <v>1</v>
      </c>
      <c r="C309" s="269">
        <v>0</v>
      </c>
      <c r="D309" s="310" t="s">
        <v>891</v>
      </c>
      <c r="E309" s="22" t="s">
        <v>892</v>
      </c>
      <c r="F309">
        <v>7703153040048</v>
      </c>
    </row>
    <row r="310" spans="1:28">
      <c r="A310" s="24" t="s">
        <v>893</v>
      </c>
      <c r="B310" s="8">
        <v>2</v>
      </c>
      <c r="C310" s="8">
        <v>0</v>
      </c>
      <c r="D310" s="8" t="s">
        <v>488</v>
      </c>
      <c r="E310" s="28" t="s">
        <v>894</v>
      </c>
      <c r="F310" s="28">
        <v>7703546703086</v>
      </c>
    </row>
    <row r="311" spans="1:28">
      <c r="A311" s="24" t="s">
        <v>893</v>
      </c>
      <c r="B311" s="8">
        <v>1</v>
      </c>
      <c r="C311" s="8">
        <v>0</v>
      </c>
      <c r="D311" s="8" t="s">
        <v>488</v>
      </c>
      <c r="E311" s="28" t="s">
        <v>894</v>
      </c>
      <c r="F311" s="28">
        <v>7703546703086</v>
      </c>
    </row>
    <row r="312" spans="1:28">
      <c r="A312" t="s">
        <v>895</v>
      </c>
      <c r="B312" s="39">
        <v>6</v>
      </c>
      <c r="C312" s="40">
        <v>0</v>
      </c>
      <c r="D312" s="94" t="s">
        <v>834</v>
      </c>
      <c r="E312" t="s">
        <v>896</v>
      </c>
      <c r="F312">
        <v>8903726266786</v>
      </c>
    </row>
    <row r="313" spans="1:28" ht="15">
      <c r="A313" s="440"/>
      <c r="B313" s="440"/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440"/>
      <c r="N313" s="440"/>
      <c r="O313" s="440"/>
      <c r="P313" s="440"/>
      <c r="Q313" s="440"/>
      <c r="R313" s="440"/>
      <c r="S313" s="440"/>
      <c r="T313" s="440"/>
      <c r="U313" s="440"/>
      <c r="V313" s="440"/>
      <c r="W313" s="440"/>
      <c r="X313" s="440"/>
      <c r="Y313" s="440"/>
      <c r="Z313" s="440"/>
      <c r="AA313" s="440"/>
      <c r="AB313" s="440"/>
    </row>
    <row r="314" spans="1:28">
      <c r="A314" t="s">
        <v>897</v>
      </c>
      <c r="B314" s="39">
        <v>6</v>
      </c>
      <c r="C314" s="39">
        <v>0</v>
      </c>
      <c r="D314" s="39" t="s">
        <v>898</v>
      </c>
      <c r="E314" t="s">
        <v>899</v>
      </c>
      <c r="F314">
        <v>7703546927468</v>
      </c>
    </row>
    <row r="315" spans="1:28" ht="28.5">
      <c r="A315" t="s">
        <v>900</v>
      </c>
      <c r="B315" s="39">
        <v>3</v>
      </c>
      <c r="C315" s="39">
        <v>0</v>
      </c>
      <c r="D315" s="39" t="s">
        <v>888</v>
      </c>
      <c r="E315" s="22" t="s">
        <v>901</v>
      </c>
      <c r="F315">
        <v>7703546308762</v>
      </c>
    </row>
    <row r="316" spans="1:28" ht="15">
      <c r="A316" s="8" t="s">
        <v>526</v>
      </c>
      <c r="B316" s="8">
        <v>6</v>
      </c>
      <c r="C316" s="167">
        <v>0</v>
      </c>
      <c r="D316" s="8" t="s">
        <v>527</v>
      </c>
      <c r="E316" s="8" t="s">
        <v>528</v>
      </c>
      <c r="F316" s="8">
        <v>7702195057304</v>
      </c>
      <c r="G316" s="8"/>
      <c r="H316" s="8"/>
      <c r="I316" s="8"/>
      <c r="J316" s="8"/>
      <c r="K316" s="8"/>
      <c r="L316" s="8"/>
      <c r="M316" s="8"/>
      <c r="N316" s="8"/>
      <c r="O316" s="8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117"/>
      <c r="AB316" s="117"/>
    </row>
    <row r="317" spans="1:28" ht="30">
      <c r="A317" s="56" t="s">
        <v>193</v>
      </c>
      <c r="B317" s="96">
        <v>6</v>
      </c>
      <c r="C317" s="97">
        <v>0</v>
      </c>
      <c r="D317" s="95" t="s">
        <v>10</v>
      </c>
      <c r="E317" s="56" t="s">
        <v>194</v>
      </c>
      <c r="F317" s="53">
        <v>7707035510513</v>
      </c>
      <c r="G317" s="53"/>
      <c r="H317" s="53"/>
      <c r="I317" s="53"/>
      <c r="J317" s="53"/>
      <c r="K317" s="53"/>
      <c r="L317" s="53"/>
      <c r="M317" s="53"/>
      <c r="N317" s="53"/>
      <c r="O317" s="5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19"/>
    </row>
    <row r="318" spans="1:28" ht="28.5">
      <c r="A318" s="146" t="s">
        <v>229</v>
      </c>
      <c r="B318" s="168">
        <v>1</v>
      </c>
      <c r="C318" s="170">
        <v>0.19</v>
      </c>
      <c r="D318" s="171" t="s">
        <v>88</v>
      </c>
      <c r="E318" s="146" t="s">
        <v>230</v>
      </c>
      <c r="F318" s="169">
        <v>7707210530909</v>
      </c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</row>
    <row r="319" spans="1:28" ht="15">
      <c r="A319" s="168" t="s">
        <v>149</v>
      </c>
      <c r="B319" s="168">
        <v>2</v>
      </c>
      <c r="C319" s="170">
        <v>0</v>
      </c>
      <c r="D319" s="168" t="s">
        <v>91</v>
      </c>
      <c r="E319" s="168" t="s">
        <v>151</v>
      </c>
      <c r="F319" s="444">
        <v>736085132069</v>
      </c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</row>
    <row r="320" spans="1:28">
      <c r="A320" t="s">
        <v>320</v>
      </c>
      <c r="B320" s="39">
        <v>3</v>
      </c>
      <c r="C320" s="40">
        <v>0</v>
      </c>
      <c r="D320" s="39" t="s">
        <v>902</v>
      </c>
      <c r="E320" t="s">
        <v>322</v>
      </c>
      <c r="F320">
        <v>6921875013176</v>
      </c>
    </row>
    <row r="321" spans="1:28" ht="15">
      <c r="A321" s="195" t="s">
        <v>903</v>
      </c>
      <c r="B321" s="200">
        <v>3</v>
      </c>
      <c r="C321" s="360">
        <v>0</v>
      </c>
      <c r="D321" s="361" t="s">
        <v>424</v>
      </c>
      <c r="E321" s="195" t="s">
        <v>904</v>
      </c>
      <c r="F321" s="373">
        <v>7702605100019</v>
      </c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</row>
    <row r="322" spans="1:28" ht="30">
      <c r="A322" s="76" t="s">
        <v>905</v>
      </c>
      <c r="B322" s="74">
        <v>3</v>
      </c>
      <c r="C322" s="75">
        <v>0</v>
      </c>
      <c r="D322" s="74" t="s">
        <v>118</v>
      </c>
      <c r="E322" s="76" t="s">
        <v>906</v>
      </c>
      <c r="F322" s="74">
        <v>7706569021014</v>
      </c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9"/>
      <c r="AB322" s="19"/>
    </row>
    <row r="323" spans="1:28" ht="15">
      <c r="A323" s="76" t="s">
        <v>907</v>
      </c>
      <c r="B323" s="76">
        <v>3</v>
      </c>
      <c r="C323" s="393">
        <v>0</v>
      </c>
      <c r="D323" s="91" t="s">
        <v>908</v>
      </c>
      <c r="E323" s="76" t="s">
        <v>909</v>
      </c>
      <c r="F323" s="76">
        <v>7706569020659</v>
      </c>
      <c r="G323" s="74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9"/>
      <c r="AB323" s="19"/>
    </row>
    <row r="324" spans="1:28" ht="15">
      <c r="A324" s="76" t="s">
        <v>907</v>
      </c>
      <c r="B324" s="76">
        <v>3</v>
      </c>
      <c r="C324" s="393">
        <v>0</v>
      </c>
      <c r="D324" s="91" t="s">
        <v>908</v>
      </c>
      <c r="E324" s="76" t="s">
        <v>909</v>
      </c>
      <c r="F324" s="76">
        <v>7706569020659</v>
      </c>
      <c r="G324" s="74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9"/>
      <c r="AB324" s="19"/>
    </row>
    <row r="325" spans="1:28">
      <c r="A325" s="22" t="s">
        <v>699</v>
      </c>
      <c r="B325" s="39">
        <v>1</v>
      </c>
      <c r="C325" s="40">
        <v>0</v>
      </c>
      <c r="D325" s="94" t="s">
        <v>262</v>
      </c>
      <c r="E325" t="s">
        <v>700</v>
      </c>
      <c r="F325" s="42">
        <v>7703712035317</v>
      </c>
    </row>
    <row r="326" spans="1:28" s="271" customFormat="1" ht="30">
      <c r="A326" s="453" t="s">
        <v>79</v>
      </c>
      <c r="B326" s="454">
        <v>4</v>
      </c>
      <c r="C326" s="455">
        <v>0</v>
      </c>
      <c r="D326" s="455" t="s">
        <v>80</v>
      </c>
      <c r="E326" s="453" t="s">
        <v>81</v>
      </c>
      <c r="F326" s="456">
        <v>7705366100014</v>
      </c>
      <c r="G326" s="405"/>
      <c r="H326" s="405"/>
      <c r="I326" s="405"/>
      <c r="J326" s="405"/>
      <c r="K326" s="405"/>
      <c r="L326" s="405"/>
      <c r="M326" s="405"/>
      <c r="N326" s="405"/>
      <c r="O326" s="405"/>
      <c r="P326" s="405"/>
      <c r="Q326" s="405"/>
      <c r="R326" s="405"/>
      <c r="S326" s="405"/>
      <c r="T326" s="405"/>
      <c r="U326" s="405"/>
      <c r="V326" s="405"/>
      <c r="W326" s="405"/>
      <c r="X326" s="405"/>
      <c r="Y326" s="405"/>
      <c r="Z326" s="405"/>
    </row>
    <row r="327" spans="1:28" ht="15">
      <c r="A327" s="440"/>
      <c r="B327" s="440"/>
      <c r="C327" s="440"/>
      <c r="D327" s="440"/>
      <c r="E327" s="440"/>
      <c r="F327" s="440"/>
      <c r="G327" s="440"/>
      <c r="H327" s="440"/>
      <c r="I327" s="440"/>
      <c r="J327" s="440"/>
      <c r="K327" s="440"/>
      <c r="L327" s="440"/>
      <c r="M327" s="440"/>
      <c r="N327" s="440"/>
      <c r="O327" s="440"/>
      <c r="P327" s="440"/>
      <c r="Q327" s="440"/>
      <c r="R327" s="440"/>
      <c r="S327" s="440"/>
      <c r="T327" s="440"/>
      <c r="U327" s="440"/>
      <c r="V327" s="440"/>
      <c r="W327" s="440"/>
      <c r="X327" s="440"/>
      <c r="Y327" s="440"/>
      <c r="Z327" s="440"/>
      <c r="AA327" s="440"/>
      <c r="AB327" s="440"/>
    </row>
    <row r="328" spans="1:28" ht="15">
      <c r="A328" s="32" t="s">
        <v>910</v>
      </c>
      <c r="B328" s="32">
        <v>1</v>
      </c>
      <c r="C328" s="72">
        <v>0.19</v>
      </c>
      <c r="D328" s="32" t="s">
        <v>911</v>
      </c>
      <c r="E328" s="32" t="s">
        <v>912</v>
      </c>
      <c r="F328" s="32">
        <v>7707282990328</v>
      </c>
      <c r="G328" s="3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8" ht="15">
      <c r="A329" s="43" t="s">
        <v>913</v>
      </c>
      <c r="B329" s="117">
        <v>4</v>
      </c>
      <c r="C329" s="423">
        <v>0</v>
      </c>
      <c r="D329" s="119" t="s">
        <v>914</v>
      </c>
      <c r="E329" s="43" t="s">
        <v>915</v>
      </c>
      <c r="F329" s="425">
        <v>7702605102006</v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28.5">
      <c r="A330" s="7" t="s">
        <v>445</v>
      </c>
      <c r="B330" s="8">
        <v>6</v>
      </c>
      <c r="C330" s="167">
        <v>0</v>
      </c>
      <c r="D330" s="10" t="s">
        <v>59</v>
      </c>
      <c r="E330" s="7" t="s">
        <v>446</v>
      </c>
      <c r="F330">
        <v>7707364802167</v>
      </c>
    </row>
    <row r="331" spans="1:28" ht="15">
      <c r="A331" s="8" t="s">
        <v>642</v>
      </c>
      <c r="B331" s="8">
        <v>4</v>
      </c>
      <c r="C331" s="167">
        <v>0</v>
      </c>
      <c r="D331" s="10" t="s">
        <v>7</v>
      </c>
      <c r="E331" s="8" t="s">
        <v>643</v>
      </c>
      <c r="F331" s="39">
        <v>7707364802198</v>
      </c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117"/>
      <c r="AB331" s="117"/>
    </row>
    <row r="332" spans="1:28" ht="30">
      <c r="A332" s="19" t="s">
        <v>916</v>
      </c>
      <c r="B332" s="117">
        <v>1</v>
      </c>
      <c r="C332" s="19">
        <v>0</v>
      </c>
      <c r="D332" s="19" t="s">
        <v>917</v>
      </c>
      <c r="E332" s="43" t="s">
        <v>918</v>
      </c>
      <c r="F332" s="19">
        <v>7612797656464</v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5">
      <c r="A333" s="440"/>
      <c r="B333" s="440"/>
      <c r="C333" s="440"/>
      <c r="D333" s="440"/>
      <c r="E333" s="440"/>
      <c r="F333" s="440"/>
      <c r="G333" s="440"/>
      <c r="H333" s="440"/>
      <c r="I333" s="440"/>
      <c r="J333" s="440"/>
      <c r="K333" s="440"/>
      <c r="L333" s="440"/>
      <c r="M333" s="440"/>
      <c r="N333" s="440"/>
      <c r="O333" s="440"/>
      <c r="P333" s="440"/>
      <c r="Q333" s="440"/>
      <c r="R333" s="440"/>
      <c r="S333" s="440"/>
      <c r="T333" s="440"/>
      <c r="U333" s="440"/>
      <c r="V333" s="440"/>
      <c r="W333" s="440"/>
      <c r="X333" s="440"/>
      <c r="Y333" s="440"/>
      <c r="Z333" s="440"/>
      <c r="AA333" s="440"/>
      <c r="AB333" s="440"/>
    </row>
    <row r="334" spans="1:28" ht="28.5">
      <c r="A334" s="22" t="s">
        <v>919</v>
      </c>
      <c r="B334" s="41">
        <v>3</v>
      </c>
      <c r="C334" s="269">
        <v>0</v>
      </c>
      <c r="D334" s="310" t="s">
        <v>920</v>
      </c>
      <c r="E334" s="22" t="s">
        <v>921</v>
      </c>
      <c r="F334" s="22">
        <v>7709990617146</v>
      </c>
      <c r="G334" s="22"/>
      <c r="H334" s="22"/>
      <c r="I334" s="22"/>
      <c r="J334" s="22"/>
      <c r="K334" s="22"/>
      <c r="L334" s="22"/>
      <c r="M334" s="22"/>
      <c r="N334" s="22"/>
      <c r="O334" s="22"/>
    </row>
    <row r="335" spans="1:28" ht="15">
      <c r="A335" s="19" t="s">
        <v>922</v>
      </c>
      <c r="B335" s="19">
        <v>6</v>
      </c>
      <c r="C335" s="19">
        <v>0</v>
      </c>
      <c r="D335" s="19" t="s">
        <v>718</v>
      </c>
      <c r="E335" s="19" t="s">
        <v>923</v>
      </c>
      <c r="F335" s="19">
        <v>7702605352869</v>
      </c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8" ht="15">
      <c r="A336" s="440"/>
      <c r="B336" s="440"/>
      <c r="C336" s="440"/>
      <c r="D336" s="440"/>
      <c r="E336" s="440"/>
      <c r="F336" s="440"/>
      <c r="G336" s="440"/>
      <c r="H336" s="440"/>
      <c r="I336" s="440"/>
      <c r="J336" s="440"/>
      <c r="K336" s="440"/>
      <c r="L336" s="440"/>
      <c r="M336" s="440"/>
      <c r="N336" s="440"/>
      <c r="O336" s="440"/>
      <c r="P336" s="440"/>
      <c r="Q336" s="440"/>
      <c r="R336" s="440"/>
      <c r="S336" s="440"/>
      <c r="T336" s="440"/>
      <c r="U336" s="440"/>
      <c r="V336" s="440"/>
      <c r="W336" s="440"/>
      <c r="X336" s="440"/>
      <c r="Y336" s="440"/>
      <c r="Z336" s="440"/>
      <c r="AA336" s="440"/>
      <c r="AB336" s="440"/>
    </row>
    <row r="337" spans="1:28">
      <c r="A337" t="s">
        <v>924</v>
      </c>
      <c r="B337" s="39">
        <v>1</v>
      </c>
      <c r="C337" s="40">
        <v>0.19</v>
      </c>
      <c r="D337" s="39" t="s">
        <v>747</v>
      </c>
      <c r="E337" t="s">
        <v>925</v>
      </c>
      <c r="F337">
        <v>7891010031046</v>
      </c>
    </row>
    <row r="338" spans="1:28" ht="30">
      <c r="A338" s="112" t="s">
        <v>67</v>
      </c>
      <c r="B338" s="112">
        <v>1</v>
      </c>
      <c r="C338" s="350">
        <v>0</v>
      </c>
      <c r="D338" s="399" t="s">
        <v>888</v>
      </c>
      <c r="E338" s="112" t="s">
        <v>69</v>
      </c>
      <c r="F338" s="400">
        <v>7803510773319</v>
      </c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</row>
    <row r="339" spans="1:28" ht="30">
      <c r="A339" s="73" t="s">
        <v>735</v>
      </c>
      <c r="B339" s="32">
        <v>6</v>
      </c>
      <c r="C339" s="72">
        <v>0</v>
      </c>
      <c r="D339" s="83" t="s">
        <v>80</v>
      </c>
      <c r="E339" s="73" t="s">
        <v>81</v>
      </c>
      <c r="F339" s="321">
        <v>7501125132056</v>
      </c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117"/>
      <c r="AA339" s="19"/>
      <c r="AB339" s="19"/>
    </row>
    <row r="340" spans="1:28" ht="15">
      <c r="A340" t="s">
        <v>926</v>
      </c>
      <c r="B340">
        <v>6</v>
      </c>
      <c r="C340" s="218">
        <v>0.19</v>
      </c>
      <c r="D340" s="219" t="s">
        <v>927</v>
      </c>
      <c r="E340" t="s">
        <v>928</v>
      </c>
      <c r="F340">
        <v>7702026174897</v>
      </c>
      <c r="G340" s="28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>
      <c r="A341" s="22" t="s">
        <v>929</v>
      </c>
      <c r="B341">
        <v>1</v>
      </c>
      <c r="C341" s="133">
        <v>0</v>
      </c>
      <c r="D341" s="183" t="s">
        <v>23</v>
      </c>
      <c r="E341" t="s">
        <v>930</v>
      </c>
      <c r="F341">
        <v>7707246940055</v>
      </c>
    </row>
    <row r="342" spans="1:28" ht="30">
      <c r="A342" s="53" t="s">
        <v>931</v>
      </c>
      <c r="B342" s="53">
        <v>1</v>
      </c>
      <c r="C342" s="53">
        <v>0</v>
      </c>
      <c r="D342" s="53" t="s">
        <v>348</v>
      </c>
      <c r="E342" s="56" t="s">
        <v>932</v>
      </c>
      <c r="F342" s="53">
        <v>7702207163948</v>
      </c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8" ht="30">
      <c r="A343" s="19" t="s">
        <v>933</v>
      </c>
      <c r="B343" s="117">
        <v>1</v>
      </c>
      <c r="C343" s="19">
        <v>0</v>
      </c>
      <c r="D343" s="19" t="s">
        <v>112</v>
      </c>
      <c r="E343" s="43" t="s">
        <v>934</v>
      </c>
      <c r="F343" s="19">
        <v>7707288825617</v>
      </c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5">
      <c r="A344" s="56" t="s">
        <v>935</v>
      </c>
      <c r="B344" s="53">
        <v>1</v>
      </c>
      <c r="C344" s="122">
        <v>0</v>
      </c>
      <c r="D344" s="123" t="s">
        <v>109</v>
      </c>
      <c r="E344" s="53" t="s">
        <v>936</v>
      </c>
      <c r="F344" s="53">
        <v>7702896001897</v>
      </c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8" ht="28.5">
      <c r="A345" s="69" t="s">
        <v>937</v>
      </c>
      <c r="B345" s="14">
        <v>7</v>
      </c>
      <c r="C345" s="105">
        <v>0</v>
      </c>
      <c r="D345" s="137" t="s">
        <v>80</v>
      </c>
      <c r="E345" s="69" t="s">
        <v>938</v>
      </c>
      <c r="F345" s="71">
        <v>7702560000010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8" ht="15">
      <c r="A346" s="440"/>
      <c r="B346" s="440"/>
      <c r="C346" s="440"/>
      <c r="D346" s="440"/>
      <c r="E346" s="440"/>
      <c r="F346" s="440"/>
      <c r="G346" s="440"/>
      <c r="H346" s="440"/>
      <c r="I346" s="440"/>
      <c r="J346" s="440"/>
      <c r="K346" s="440"/>
      <c r="L346" s="440"/>
      <c r="M346" s="440"/>
      <c r="N346" s="440"/>
      <c r="O346" s="440"/>
      <c r="P346" s="440"/>
      <c r="Q346" s="440"/>
      <c r="R346" s="440"/>
      <c r="S346" s="440"/>
      <c r="T346" s="440"/>
      <c r="U346" s="440"/>
      <c r="V346" s="440"/>
      <c r="W346" s="440"/>
      <c r="X346" s="440"/>
      <c r="Y346" s="440"/>
      <c r="Z346" s="440"/>
      <c r="AA346" s="440"/>
      <c r="AB346" s="440"/>
    </row>
    <row r="347" spans="1:28" ht="15">
      <c r="A347" s="117" t="s">
        <v>939</v>
      </c>
      <c r="B347" s="117">
        <v>1</v>
      </c>
      <c r="C347" s="345">
        <v>0</v>
      </c>
      <c r="D347" s="119" t="s">
        <v>940</v>
      </c>
      <c r="E347" s="117" t="s">
        <v>182</v>
      </c>
      <c r="F347" s="117">
        <v>7707367050985</v>
      </c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8" ht="15">
      <c r="A348" s="21" t="s">
        <v>941</v>
      </c>
      <c r="B348" s="74">
        <v>1</v>
      </c>
      <c r="C348" s="430">
        <v>0</v>
      </c>
      <c r="D348" s="431" t="s">
        <v>91</v>
      </c>
      <c r="E348" s="21" t="s">
        <v>942</v>
      </c>
      <c r="F348" s="21">
        <v>7703546701839</v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5">
      <c r="A349" s="21" t="s">
        <v>941</v>
      </c>
      <c r="B349" s="74">
        <v>2</v>
      </c>
      <c r="C349" s="430">
        <v>0</v>
      </c>
      <c r="D349" s="431" t="s">
        <v>91</v>
      </c>
      <c r="E349" s="21" t="s">
        <v>942</v>
      </c>
      <c r="F349" s="21">
        <v>7703546701839</v>
      </c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19"/>
      <c r="AB349" s="19"/>
    </row>
    <row r="350" spans="1:28" ht="28.5">
      <c r="A350" s="24" t="s">
        <v>943</v>
      </c>
      <c r="B350" s="28">
        <v>4</v>
      </c>
      <c r="C350" s="192">
        <v>0</v>
      </c>
      <c r="D350" s="193" t="s">
        <v>80</v>
      </c>
      <c r="E350" s="24" t="s">
        <v>174</v>
      </c>
      <c r="F350" s="63">
        <v>7707184161093</v>
      </c>
      <c r="G350" s="28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8">
      <c r="A351" t="s">
        <v>775</v>
      </c>
      <c r="B351" s="39">
        <v>1</v>
      </c>
      <c r="C351" s="40">
        <v>0</v>
      </c>
      <c r="D351" s="39" t="s">
        <v>103</v>
      </c>
      <c r="E351" t="s">
        <v>776</v>
      </c>
      <c r="F351">
        <v>7703038862031</v>
      </c>
    </row>
    <row r="352" spans="1:28" ht="15">
      <c r="A352" s="43" t="s">
        <v>944</v>
      </c>
      <c r="B352" s="117">
        <v>1</v>
      </c>
      <c r="C352" s="114">
        <v>0</v>
      </c>
      <c r="D352" s="114" t="s">
        <v>945</v>
      </c>
      <c r="E352" s="19" t="s">
        <v>946</v>
      </c>
      <c r="F352" s="115">
        <v>7702057091439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30">
      <c r="A353" s="19" t="s">
        <v>947</v>
      </c>
      <c r="B353" s="117">
        <v>1</v>
      </c>
      <c r="C353" s="19">
        <v>0</v>
      </c>
      <c r="D353" s="19" t="s">
        <v>948</v>
      </c>
      <c r="E353" s="43" t="s">
        <v>949</v>
      </c>
      <c r="F353" s="19">
        <v>7703153043322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30">
      <c r="A354" s="195" t="s">
        <v>950</v>
      </c>
      <c r="B354" s="197">
        <v>1</v>
      </c>
      <c r="C354" s="198">
        <v>0</v>
      </c>
      <c r="D354" s="199" t="s">
        <v>876</v>
      </c>
      <c r="E354" s="195" t="s">
        <v>951</v>
      </c>
      <c r="F354" s="201">
        <v>7702057071813</v>
      </c>
      <c r="G354" s="200"/>
    </row>
    <row r="355" spans="1:28" ht="28.5">
      <c r="A355" s="13" t="s">
        <v>952</v>
      </c>
      <c r="B355" s="12">
        <v>1</v>
      </c>
      <c r="C355" s="12">
        <v>0</v>
      </c>
      <c r="D355" s="60" t="s">
        <v>953</v>
      </c>
      <c r="E355" s="13" t="s">
        <v>954</v>
      </c>
      <c r="F355" s="61">
        <v>7703153024420</v>
      </c>
    </row>
    <row r="356" spans="1:28" ht="29.25">
      <c r="A356" s="22" t="s">
        <v>955</v>
      </c>
      <c r="B356" s="39">
        <v>1</v>
      </c>
      <c r="C356" s="51">
        <v>0</v>
      </c>
      <c r="D356" s="172" t="s">
        <v>56</v>
      </c>
      <c r="E356" s="22" t="s">
        <v>956</v>
      </c>
      <c r="F356" s="52">
        <v>7702184020388</v>
      </c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28.5">
      <c r="A357" t="s">
        <v>957</v>
      </c>
      <c r="E357" s="22" t="s">
        <v>958</v>
      </c>
    </row>
    <row r="358" spans="1:28" ht="28.5">
      <c r="A358" t="s">
        <v>959</v>
      </c>
      <c r="B358" s="39">
        <v>2</v>
      </c>
      <c r="C358" s="40">
        <v>0.19</v>
      </c>
      <c r="D358" s="39" t="s">
        <v>293</v>
      </c>
      <c r="E358" s="22" t="s">
        <v>958</v>
      </c>
      <c r="F358">
        <v>7709155772147</v>
      </c>
    </row>
    <row r="359" spans="1:28" ht="28.5">
      <c r="A359" t="s">
        <v>960</v>
      </c>
      <c r="B359" s="39">
        <v>2</v>
      </c>
      <c r="C359" s="40">
        <v>0.19</v>
      </c>
      <c r="D359" s="39" t="s">
        <v>293</v>
      </c>
      <c r="E359" s="22" t="s">
        <v>958</v>
      </c>
      <c r="F359">
        <v>7709433825251</v>
      </c>
    </row>
    <row r="360" spans="1:28" ht="28.5">
      <c r="A360" t="s">
        <v>961</v>
      </c>
      <c r="B360" s="39">
        <v>2</v>
      </c>
      <c r="C360" s="40">
        <v>0.19</v>
      </c>
      <c r="D360" s="39" t="s">
        <v>293</v>
      </c>
      <c r="E360" s="22" t="s">
        <v>958</v>
      </c>
      <c r="F360">
        <v>7709308069759</v>
      </c>
    </row>
    <row r="361" spans="1:28" ht="28.5">
      <c r="A361" t="s">
        <v>962</v>
      </c>
      <c r="B361" s="39">
        <v>2</v>
      </c>
      <c r="C361" s="40">
        <v>0.19</v>
      </c>
      <c r="D361" s="39" t="s">
        <v>293</v>
      </c>
      <c r="E361" s="22" t="s">
        <v>958</v>
      </c>
      <c r="F361">
        <v>7709155772161</v>
      </c>
    </row>
    <row r="362" spans="1:28" ht="28.5">
      <c r="A362" t="s">
        <v>963</v>
      </c>
      <c r="B362" s="39">
        <v>2</v>
      </c>
      <c r="C362" s="40">
        <v>0.19</v>
      </c>
      <c r="D362" s="39" t="s">
        <v>293</v>
      </c>
      <c r="E362" s="22" t="s">
        <v>958</v>
      </c>
      <c r="F362">
        <v>7709308069773</v>
      </c>
    </row>
    <row r="363" spans="1:28" ht="28.5">
      <c r="A363" t="s">
        <v>964</v>
      </c>
      <c r="B363" s="39">
        <v>2</v>
      </c>
      <c r="C363" s="40">
        <v>0.19</v>
      </c>
      <c r="D363" s="39" t="s">
        <v>293</v>
      </c>
      <c r="E363" s="22" t="s">
        <v>958</v>
      </c>
      <c r="F363">
        <v>7709155772123</v>
      </c>
    </row>
    <row r="364" spans="1:28" ht="15">
      <c r="A364" s="32" t="s">
        <v>965</v>
      </c>
      <c r="B364" s="32">
        <v>6</v>
      </c>
      <c r="C364" s="89">
        <v>0</v>
      </c>
      <c r="D364" s="90" t="s">
        <v>118</v>
      </c>
      <c r="E364" s="73" t="s">
        <v>966</v>
      </c>
      <c r="F364" s="32">
        <v>7707177971616</v>
      </c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8" ht="15">
      <c r="A365" s="440"/>
      <c r="B365" s="440"/>
      <c r="C365" s="440"/>
      <c r="D365" s="440"/>
      <c r="E365" s="440"/>
      <c r="F365" s="440"/>
      <c r="G365" s="440"/>
      <c r="H365" s="440"/>
      <c r="I365" s="440"/>
      <c r="J365" s="440"/>
      <c r="K365" s="440"/>
      <c r="L365" s="440"/>
      <c r="M365" s="440"/>
      <c r="N365" s="440"/>
      <c r="O365" s="440"/>
      <c r="P365" s="440"/>
      <c r="Q365" s="440"/>
      <c r="R365" s="440"/>
      <c r="S365" s="440"/>
      <c r="T365" s="440"/>
      <c r="U365" s="440"/>
      <c r="V365" s="440"/>
      <c r="W365" s="440"/>
      <c r="X365" s="440"/>
      <c r="Y365" s="440"/>
      <c r="Z365" s="440"/>
      <c r="AA365" s="440"/>
      <c r="AB365" s="440"/>
    </row>
    <row r="366" spans="1:28" ht="28.5">
      <c r="A366" s="22" t="s">
        <v>967</v>
      </c>
      <c r="B366" s="39">
        <v>1</v>
      </c>
      <c r="C366" s="40">
        <v>0.19</v>
      </c>
      <c r="D366" s="39" t="s">
        <v>293</v>
      </c>
      <c r="E366" s="22" t="s">
        <v>968</v>
      </c>
      <c r="F366">
        <v>7707278000819</v>
      </c>
    </row>
    <row r="367" spans="1:28" ht="42.75">
      <c r="A367" s="22" t="s">
        <v>969</v>
      </c>
      <c r="B367">
        <v>1</v>
      </c>
      <c r="C367" s="133">
        <v>0</v>
      </c>
      <c r="D367" s="183" t="s">
        <v>14</v>
      </c>
      <c r="E367" s="22" t="s">
        <v>970</v>
      </c>
      <c r="F367">
        <v>7707035510094</v>
      </c>
    </row>
    <row r="368" spans="1:28" ht="42.75">
      <c r="A368" s="22" t="s">
        <v>971</v>
      </c>
      <c r="B368">
        <v>1</v>
      </c>
      <c r="C368" s="133">
        <v>0</v>
      </c>
      <c r="D368" s="183" t="s">
        <v>14</v>
      </c>
      <c r="E368" s="22" t="s">
        <v>970</v>
      </c>
      <c r="F368">
        <v>7707035510063</v>
      </c>
    </row>
    <row r="369" spans="1:28" ht="42.75">
      <c r="A369" s="22" t="s">
        <v>972</v>
      </c>
      <c r="B369">
        <v>2</v>
      </c>
      <c r="C369" s="133">
        <v>0</v>
      </c>
      <c r="D369" s="183" t="s">
        <v>14</v>
      </c>
      <c r="E369" s="22" t="s">
        <v>970</v>
      </c>
      <c r="F369">
        <v>7707035510087</v>
      </c>
    </row>
    <row r="370" spans="1:28" ht="28.5">
      <c r="A370" s="13" t="s">
        <v>418</v>
      </c>
      <c r="B370" s="12">
        <v>6</v>
      </c>
      <c r="C370" s="59">
        <v>0</v>
      </c>
      <c r="D370" s="111" t="s">
        <v>23</v>
      </c>
      <c r="E370" s="13" t="s">
        <v>419</v>
      </c>
      <c r="F370" s="12">
        <v>7703712035485</v>
      </c>
      <c r="G370" s="28"/>
      <c r="H370" s="28"/>
      <c r="I370" s="28"/>
      <c r="J370" s="28"/>
      <c r="K370" s="28"/>
      <c r="L370" s="28"/>
      <c r="M370" s="28"/>
      <c r="N370" s="28"/>
      <c r="O370" s="28"/>
    </row>
    <row r="371" spans="1:28" ht="15">
      <c r="A371" s="73" t="s">
        <v>973</v>
      </c>
      <c r="B371" s="32">
        <v>10</v>
      </c>
      <c r="C371" s="72">
        <v>0</v>
      </c>
      <c r="D371" s="72" t="s">
        <v>974</v>
      </c>
      <c r="E371" s="73" t="s">
        <v>975</v>
      </c>
      <c r="F371" s="32">
        <v>7501125132070</v>
      </c>
      <c r="G371" s="32"/>
      <c r="H371" s="32"/>
      <c r="I371" s="32"/>
      <c r="J371" s="32"/>
      <c r="K371" s="32"/>
      <c r="L371" s="32"/>
      <c r="M371" s="32"/>
      <c r="N371" s="32"/>
      <c r="O371" s="32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9"/>
      <c r="AB371" s="19"/>
    </row>
    <row r="372" spans="1:28" ht="30">
      <c r="A372" s="73" t="s">
        <v>976</v>
      </c>
      <c r="B372" s="32">
        <v>10</v>
      </c>
      <c r="C372" s="72">
        <v>0</v>
      </c>
      <c r="D372" s="72" t="s">
        <v>109</v>
      </c>
      <c r="E372" s="73" t="s">
        <v>977</v>
      </c>
      <c r="F372" s="321">
        <v>7703712033061</v>
      </c>
    </row>
    <row r="373" spans="1:28" ht="15">
      <c r="A373" s="71" t="s">
        <v>810</v>
      </c>
      <c r="B373" s="14">
        <v>1</v>
      </c>
      <c r="C373" s="105">
        <v>0</v>
      </c>
      <c r="D373" s="105" t="s">
        <v>150</v>
      </c>
      <c r="E373" s="71" t="s">
        <v>811</v>
      </c>
      <c r="F373" s="71">
        <v>7704190272119</v>
      </c>
      <c r="AA373" s="117"/>
      <c r="AB373" s="117"/>
    </row>
    <row r="374" spans="1:28" ht="30">
      <c r="A374" s="76" t="s">
        <v>144</v>
      </c>
      <c r="B374" s="74">
        <v>1</v>
      </c>
      <c r="C374" s="75">
        <v>0</v>
      </c>
      <c r="D374" s="74" t="s">
        <v>145</v>
      </c>
      <c r="E374" s="76" t="s">
        <v>146</v>
      </c>
      <c r="F374" s="74">
        <v>7702605103294</v>
      </c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</row>
    <row r="375" spans="1:28" ht="15">
      <c r="A375" s="56" t="s">
        <v>935</v>
      </c>
      <c r="B375" s="53">
        <v>2</v>
      </c>
      <c r="C375" s="122">
        <v>0</v>
      </c>
      <c r="D375" s="123" t="s">
        <v>109</v>
      </c>
      <c r="E375" s="53" t="s">
        <v>936</v>
      </c>
      <c r="F375" s="53">
        <v>7702896001897</v>
      </c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8" ht="30">
      <c r="A376" s="73" t="s">
        <v>978</v>
      </c>
      <c r="B376" s="17">
        <v>1</v>
      </c>
      <c r="C376" s="33">
        <v>0</v>
      </c>
      <c r="D376" s="202" t="s">
        <v>118</v>
      </c>
      <c r="E376" s="73" t="s">
        <v>979</v>
      </c>
      <c r="F376" s="32">
        <v>7702896425853</v>
      </c>
    </row>
    <row r="377" spans="1:28" ht="15">
      <c r="A377" s="440"/>
      <c r="B377" s="440"/>
      <c r="C377" s="440"/>
      <c r="D377" s="440"/>
      <c r="E377" s="440"/>
      <c r="F377" s="440"/>
      <c r="G377" s="440"/>
      <c r="H377" s="440"/>
      <c r="I377" s="440"/>
      <c r="J377" s="440"/>
      <c r="K377" s="440"/>
      <c r="L377" s="440"/>
      <c r="M377" s="440"/>
      <c r="N377" s="440"/>
      <c r="O377" s="440"/>
      <c r="P377" s="440"/>
      <c r="Q377" s="440"/>
      <c r="R377" s="440"/>
      <c r="S377" s="440"/>
      <c r="T377" s="440"/>
      <c r="U377" s="440"/>
      <c r="V377" s="440"/>
      <c r="W377" s="440"/>
      <c r="X377" s="440"/>
      <c r="Y377" s="440"/>
      <c r="Z377" s="440"/>
      <c r="AA377" s="440"/>
      <c r="AB377" s="440"/>
    </row>
    <row r="378" spans="1:28" ht="30">
      <c r="A378" s="112" t="s">
        <v>980</v>
      </c>
      <c r="B378" s="117">
        <v>3</v>
      </c>
      <c r="C378" s="345">
        <v>0</v>
      </c>
      <c r="D378" s="117" t="s">
        <v>981</v>
      </c>
      <c r="E378" s="112" t="s">
        <v>982</v>
      </c>
      <c r="F378" s="376">
        <v>7702605101801</v>
      </c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8" ht="30">
      <c r="A379" s="117" t="s">
        <v>866</v>
      </c>
      <c r="B379" s="117">
        <v>2</v>
      </c>
      <c r="C379" s="345">
        <v>0</v>
      </c>
      <c r="D379" s="117" t="s">
        <v>91</v>
      </c>
      <c r="E379" s="112" t="s">
        <v>513</v>
      </c>
      <c r="F379" s="117">
        <v>7704412509726</v>
      </c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8" ht="15">
      <c r="A380" s="117" t="s">
        <v>983</v>
      </c>
      <c r="B380" s="117">
        <v>1</v>
      </c>
      <c r="C380" s="117">
        <v>0</v>
      </c>
      <c r="D380" s="117" t="s">
        <v>984</v>
      </c>
      <c r="E380" s="117" t="s">
        <v>985</v>
      </c>
      <c r="F380" s="117">
        <v>7702184012130</v>
      </c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8">
      <c r="A381" t="s">
        <v>986</v>
      </c>
      <c r="B381" s="39">
        <v>1</v>
      </c>
      <c r="C381" s="39">
        <v>0</v>
      </c>
      <c r="D381" s="39" t="s">
        <v>35</v>
      </c>
      <c r="E381" t="s">
        <v>665</v>
      </c>
      <c r="F381">
        <v>7702870004753</v>
      </c>
    </row>
    <row r="382" spans="1:28" ht="15">
      <c r="A382" s="440"/>
      <c r="B382" s="440"/>
      <c r="C382" s="440"/>
      <c r="D382" s="440"/>
      <c r="E382" s="440"/>
      <c r="F382" s="440"/>
      <c r="G382" s="440"/>
      <c r="H382" s="440"/>
      <c r="I382" s="440"/>
      <c r="J382" s="440"/>
      <c r="K382" s="440"/>
      <c r="L382" s="440"/>
      <c r="M382" s="440"/>
      <c r="N382" s="440"/>
      <c r="O382" s="440"/>
      <c r="P382" s="440"/>
      <c r="Q382" s="440"/>
      <c r="R382" s="440"/>
      <c r="S382" s="440"/>
      <c r="T382" s="440"/>
      <c r="U382" s="440"/>
      <c r="V382" s="440"/>
      <c r="W382" s="440"/>
      <c r="X382" s="440"/>
      <c r="Y382" s="440"/>
      <c r="Z382" s="440"/>
      <c r="AA382" s="440"/>
      <c r="AB382" s="440"/>
    </row>
    <row r="383" spans="1:28" ht="28.5">
      <c r="A383" s="22" t="s">
        <v>987</v>
      </c>
      <c r="B383">
        <v>1</v>
      </c>
      <c r="C383" s="133">
        <v>0</v>
      </c>
      <c r="D383" s="172" t="s">
        <v>988</v>
      </c>
      <c r="E383" s="22" t="s">
        <v>989</v>
      </c>
      <c r="F383">
        <v>7703712036338</v>
      </c>
    </row>
    <row r="384" spans="1:28" ht="15">
      <c r="A384" s="440"/>
      <c r="B384" s="440"/>
      <c r="C384" s="440"/>
      <c r="D384" s="440"/>
      <c r="E384" s="440"/>
      <c r="F384" s="440"/>
      <c r="G384" s="440"/>
      <c r="H384" s="440"/>
      <c r="I384" s="440"/>
      <c r="J384" s="440"/>
      <c r="K384" s="440"/>
      <c r="L384" s="440"/>
      <c r="M384" s="440"/>
      <c r="N384" s="440"/>
      <c r="O384" s="440"/>
      <c r="P384" s="440"/>
      <c r="Q384" s="440"/>
      <c r="R384" s="440"/>
      <c r="S384" s="440"/>
      <c r="T384" s="440"/>
      <c r="U384" s="440"/>
      <c r="V384" s="440"/>
      <c r="W384" s="440"/>
      <c r="X384" s="440"/>
      <c r="Y384" s="440"/>
      <c r="Z384" s="440"/>
      <c r="AA384" s="440"/>
      <c r="AB384" s="440"/>
    </row>
    <row r="385" spans="1:28">
      <c r="A385" t="s">
        <v>890</v>
      </c>
      <c r="B385" s="41">
        <v>1</v>
      </c>
      <c r="C385" s="269">
        <v>0</v>
      </c>
      <c r="D385" s="310" t="s">
        <v>891</v>
      </c>
      <c r="E385" s="22" t="s">
        <v>892</v>
      </c>
      <c r="F385">
        <v>7703153040048</v>
      </c>
    </row>
    <row r="386" spans="1:28" ht="15">
      <c r="A386" s="74" t="s">
        <v>557</v>
      </c>
      <c r="B386" s="74">
        <v>1</v>
      </c>
      <c r="C386" s="75">
        <v>0</v>
      </c>
      <c r="D386" s="336" t="s">
        <v>348</v>
      </c>
      <c r="E386" s="74" t="s">
        <v>558</v>
      </c>
      <c r="F386" s="378">
        <v>7702132009748</v>
      </c>
      <c r="G386" s="74"/>
      <c r="H386" s="74"/>
      <c r="I386" s="74"/>
      <c r="J386" s="74"/>
      <c r="K386" s="74"/>
      <c r="L386" s="74"/>
      <c r="M386" s="74"/>
      <c r="N386" s="74"/>
      <c r="O386" s="74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</row>
    <row r="387" spans="1:28" ht="15">
      <c r="A387" s="28" t="s">
        <v>990</v>
      </c>
      <c r="B387" s="28">
        <v>2</v>
      </c>
      <c r="C387" s="192">
        <v>0</v>
      </c>
      <c r="D387" s="30" t="s">
        <v>991</v>
      </c>
      <c r="E387" s="28" t="s">
        <v>558</v>
      </c>
      <c r="F387" s="63">
        <v>7702132009731</v>
      </c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17"/>
      <c r="AB387" s="117"/>
    </row>
    <row r="388" spans="1:28" ht="15">
      <c r="A388" s="440"/>
      <c r="B388" s="440"/>
      <c r="C388" s="440"/>
      <c r="D388" s="440"/>
      <c r="E388" s="440"/>
      <c r="F388" s="440"/>
      <c r="G388" s="440"/>
      <c r="H388" s="440"/>
      <c r="I388" s="440"/>
      <c r="J388" s="440"/>
      <c r="K388" s="440"/>
      <c r="L388" s="440"/>
      <c r="M388" s="440"/>
      <c r="N388" s="440"/>
      <c r="O388" s="440"/>
      <c r="P388" s="440"/>
      <c r="Q388" s="440"/>
      <c r="R388" s="440"/>
      <c r="S388" s="440"/>
      <c r="T388" s="440"/>
      <c r="U388" s="440"/>
      <c r="V388" s="440"/>
      <c r="W388" s="440"/>
      <c r="X388" s="440"/>
      <c r="Y388" s="440"/>
      <c r="Z388" s="440"/>
      <c r="AA388" s="440"/>
      <c r="AB388" s="440"/>
    </row>
    <row r="389" spans="1:28" ht="30">
      <c r="A389" s="263" t="s">
        <v>992</v>
      </c>
      <c r="B389" s="267">
        <v>1</v>
      </c>
      <c r="C389" s="327">
        <v>0</v>
      </c>
      <c r="D389" s="328" t="s">
        <v>442</v>
      </c>
      <c r="E389" s="267" t="s">
        <v>477</v>
      </c>
      <c r="F389" s="268">
        <v>7703546083225</v>
      </c>
    </row>
    <row r="390" spans="1:28">
      <c r="A390" s="24" t="s">
        <v>993</v>
      </c>
      <c r="B390" s="28">
        <v>1</v>
      </c>
      <c r="C390" s="192">
        <v>0</v>
      </c>
      <c r="D390" s="62" t="s">
        <v>994</v>
      </c>
      <c r="E390" s="24" t="s">
        <v>273</v>
      </c>
      <c r="F390" s="63">
        <v>300090422073</v>
      </c>
      <c r="G390" s="461"/>
      <c r="H390" s="461"/>
      <c r="I390" s="461"/>
      <c r="J390" s="461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</row>
    <row r="391" spans="1:28" ht="28.5">
      <c r="A391" s="22" t="s">
        <v>995</v>
      </c>
      <c r="B391" s="22">
        <v>6</v>
      </c>
      <c r="C391" s="175">
        <v>0</v>
      </c>
      <c r="D391" s="176" t="s">
        <v>996</v>
      </c>
      <c r="E391" s="22" t="s">
        <v>997</v>
      </c>
      <c r="F391" s="22">
        <v>7702207084557</v>
      </c>
      <c r="G391" s="22"/>
    </row>
    <row r="392" spans="1:28" ht="28.5">
      <c r="A392" s="69" t="s">
        <v>306</v>
      </c>
      <c r="B392" s="12">
        <v>2</v>
      </c>
      <c r="C392" s="206">
        <v>0.19</v>
      </c>
      <c r="D392" s="135" t="s">
        <v>293</v>
      </c>
      <c r="E392" s="69" t="s">
        <v>308</v>
      </c>
      <c r="F392" s="61">
        <v>7702057080044</v>
      </c>
      <c r="G392" s="71"/>
      <c r="H392" s="71"/>
      <c r="I392" s="71"/>
      <c r="J392" s="71"/>
      <c r="K392" s="71"/>
      <c r="L392" s="71"/>
      <c r="M392" s="71"/>
      <c r="N392" s="71"/>
      <c r="O392" s="71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28.5">
      <c r="A393" s="24" t="s">
        <v>998</v>
      </c>
      <c r="B393" s="8">
        <v>2</v>
      </c>
      <c r="C393" s="9">
        <v>0.19</v>
      </c>
      <c r="D393" s="98" t="s">
        <v>7</v>
      </c>
      <c r="E393" s="25" t="s">
        <v>999</v>
      </c>
      <c r="F393" s="129">
        <v>7701684001576</v>
      </c>
    </row>
    <row r="394" spans="1:28" ht="15">
      <c r="A394" s="440"/>
      <c r="B394" s="440"/>
      <c r="C394" s="440"/>
      <c r="D394" s="440"/>
      <c r="E394" s="440"/>
      <c r="F394" s="440"/>
      <c r="G394" s="440"/>
      <c r="H394" s="440"/>
      <c r="I394" s="440"/>
      <c r="J394" s="440"/>
      <c r="K394" s="440"/>
      <c r="L394" s="440"/>
      <c r="M394" s="440"/>
      <c r="N394" s="440"/>
      <c r="O394" s="440"/>
      <c r="P394" s="440"/>
      <c r="Q394" s="440"/>
      <c r="R394" s="440"/>
      <c r="S394" s="440"/>
      <c r="T394" s="440"/>
      <c r="U394" s="440"/>
      <c r="V394" s="440"/>
      <c r="W394" s="440"/>
      <c r="X394" s="440"/>
      <c r="Y394" s="440"/>
      <c r="Z394" s="440"/>
      <c r="AA394" s="440"/>
      <c r="AB394" s="440"/>
    </row>
    <row r="395" spans="1:28" ht="15">
      <c r="A395" t="s">
        <v>1000</v>
      </c>
      <c r="B395" s="39">
        <v>2</v>
      </c>
      <c r="C395" s="133">
        <v>0</v>
      </c>
      <c r="D395" s="23" t="s">
        <v>625</v>
      </c>
      <c r="E395" t="s">
        <v>1001</v>
      </c>
      <c r="F395">
        <v>7703689240998</v>
      </c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30">
      <c r="A396" s="19" t="s">
        <v>1002</v>
      </c>
      <c r="B396" s="117">
        <v>2</v>
      </c>
      <c r="C396" s="19">
        <v>0</v>
      </c>
      <c r="D396" s="19" t="s">
        <v>546</v>
      </c>
      <c r="E396" s="43" t="s">
        <v>1003</v>
      </c>
      <c r="F396" s="19">
        <v>736085410624</v>
      </c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5">
      <c r="A397" s="195" t="s">
        <v>1004</v>
      </c>
      <c r="B397" s="200">
        <v>1</v>
      </c>
      <c r="C397" s="72">
        <v>0</v>
      </c>
      <c r="D397" s="32" t="s">
        <v>227</v>
      </c>
      <c r="E397" s="195" t="s">
        <v>1005</v>
      </c>
      <c r="F397" s="373">
        <v>7703153004361</v>
      </c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8" ht="15">
      <c r="A398" s="440"/>
      <c r="B398" s="440"/>
      <c r="C398" s="440"/>
      <c r="D398" s="440"/>
      <c r="E398" s="440"/>
      <c r="F398" s="440"/>
      <c r="G398" s="440"/>
      <c r="H398" s="440"/>
      <c r="I398" s="440"/>
      <c r="J398" s="440"/>
      <c r="K398" s="440"/>
      <c r="L398" s="440"/>
      <c r="M398" s="440"/>
      <c r="N398" s="440"/>
      <c r="O398" s="440"/>
      <c r="P398" s="440"/>
      <c r="Q398" s="440"/>
      <c r="R398" s="440"/>
      <c r="S398" s="440"/>
      <c r="T398" s="440"/>
      <c r="U398" s="440"/>
      <c r="V398" s="440"/>
      <c r="W398" s="440"/>
      <c r="X398" s="440"/>
      <c r="Y398" s="440"/>
      <c r="Z398" s="440"/>
      <c r="AA398" s="440"/>
      <c r="AB398" s="440"/>
    </row>
    <row r="399" spans="1:28">
      <c r="A399" t="s">
        <v>1006</v>
      </c>
      <c r="B399">
        <v>2</v>
      </c>
      <c r="C399" s="133">
        <v>0.19</v>
      </c>
      <c r="D399" s="134" t="s">
        <v>1007</v>
      </c>
      <c r="E399" t="s">
        <v>1008</v>
      </c>
      <c r="F399" s="42">
        <v>7701021144829</v>
      </c>
    </row>
    <row r="400" spans="1:28" ht="15">
      <c r="A400" s="440"/>
      <c r="B400" s="440"/>
      <c r="C400" s="440"/>
      <c r="D400" s="440"/>
      <c r="E400" s="440"/>
      <c r="F400" s="440"/>
      <c r="G400" s="440"/>
      <c r="H400" s="440"/>
      <c r="I400" s="440"/>
      <c r="J400" s="440"/>
      <c r="K400" s="440"/>
      <c r="L400" s="440"/>
      <c r="M400" s="440"/>
      <c r="N400" s="440"/>
      <c r="O400" s="440"/>
      <c r="P400" s="440"/>
      <c r="Q400" s="440"/>
      <c r="R400" s="440"/>
      <c r="S400" s="440"/>
      <c r="T400" s="440"/>
      <c r="U400" s="440"/>
      <c r="V400" s="440"/>
      <c r="W400" s="440"/>
      <c r="X400" s="440"/>
      <c r="Y400" s="440"/>
      <c r="Z400" s="440"/>
      <c r="AA400" s="440"/>
      <c r="AB400" s="440"/>
    </row>
    <row r="401" spans="1:28" ht="15">
      <c r="A401" s="76" t="s">
        <v>693</v>
      </c>
      <c r="B401" s="32">
        <v>2</v>
      </c>
      <c r="C401" s="72">
        <v>0</v>
      </c>
      <c r="D401" s="81" t="s">
        <v>694</v>
      </c>
      <c r="E401" s="74" t="s">
        <v>695</v>
      </c>
      <c r="F401" s="378">
        <v>7707274721053</v>
      </c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</row>
    <row r="402" spans="1:28" ht="15">
      <c r="A402" s="76" t="s">
        <v>693</v>
      </c>
      <c r="B402" s="32">
        <v>4</v>
      </c>
      <c r="C402" s="72">
        <v>0</v>
      </c>
      <c r="D402" s="81" t="s">
        <v>694</v>
      </c>
      <c r="E402" s="74" t="s">
        <v>695</v>
      </c>
      <c r="F402" s="378">
        <v>7707274721053</v>
      </c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</row>
    <row r="403" spans="1:28" ht="29.25">
      <c r="A403" s="24" t="s">
        <v>1009</v>
      </c>
      <c r="B403" s="8">
        <v>4</v>
      </c>
      <c r="C403" s="9">
        <v>0</v>
      </c>
      <c r="D403" s="10" t="s">
        <v>59</v>
      </c>
      <c r="E403" s="24" t="s">
        <v>1010</v>
      </c>
      <c r="F403" s="63">
        <v>7705137110013</v>
      </c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9"/>
      <c r="AB403" s="19"/>
    </row>
    <row r="404" spans="1:28" ht="15">
      <c r="A404" s="117" t="s">
        <v>45</v>
      </c>
      <c r="B404" s="117">
        <v>3</v>
      </c>
      <c r="C404" s="345">
        <v>0</v>
      </c>
      <c r="D404" s="117" t="s">
        <v>46</v>
      </c>
      <c r="E404" s="112" t="s">
        <v>48</v>
      </c>
      <c r="F404" s="117">
        <v>7704412080607</v>
      </c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9"/>
      <c r="AB404" s="19"/>
    </row>
    <row r="405" spans="1:28" ht="28.5">
      <c r="A405" s="69" t="s">
        <v>1011</v>
      </c>
      <c r="B405" s="12">
        <v>4</v>
      </c>
      <c r="C405" s="59">
        <v>0</v>
      </c>
      <c r="D405" s="12" t="s">
        <v>408</v>
      </c>
      <c r="E405" s="69" t="s">
        <v>1012</v>
      </c>
      <c r="F405" s="61">
        <v>7703038067566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117"/>
    </row>
    <row r="406" spans="1:28">
      <c r="A406" s="22" t="s">
        <v>266</v>
      </c>
      <c r="B406" s="23">
        <v>4</v>
      </c>
      <c r="C406" s="51">
        <v>0</v>
      </c>
      <c r="D406" s="172" t="s">
        <v>267</v>
      </c>
      <c r="E406" s="39" t="s">
        <v>268</v>
      </c>
      <c r="F406">
        <v>7707186901376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8" ht="15">
      <c r="A407" s="112" t="s">
        <v>1013</v>
      </c>
      <c r="B407" s="117">
        <v>6</v>
      </c>
      <c r="C407" s="345">
        <v>0</v>
      </c>
      <c r="D407" s="119" t="s">
        <v>91</v>
      </c>
      <c r="E407" s="117" t="s">
        <v>75</v>
      </c>
      <c r="F407" s="117">
        <v>7707357200093</v>
      </c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8" ht="15">
      <c r="A408" s="440"/>
      <c r="B408" s="440"/>
      <c r="C408" s="440"/>
      <c r="D408" s="440"/>
      <c r="E408" s="440"/>
      <c r="F408" s="440"/>
      <c r="G408" s="440"/>
      <c r="H408" s="440"/>
      <c r="I408" s="440"/>
      <c r="J408" s="440"/>
      <c r="K408" s="440"/>
      <c r="L408" s="440"/>
      <c r="M408" s="440"/>
      <c r="N408" s="440"/>
      <c r="O408" s="440"/>
      <c r="P408" s="440"/>
      <c r="Q408" s="440"/>
      <c r="R408" s="440"/>
      <c r="S408" s="440"/>
      <c r="T408" s="440"/>
      <c r="U408" s="440"/>
      <c r="V408" s="440"/>
      <c r="W408" s="440"/>
      <c r="X408" s="440"/>
      <c r="Y408" s="440"/>
      <c r="Z408" s="440"/>
      <c r="AA408" s="440"/>
      <c r="AB408" s="440"/>
    </row>
    <row r="409" spans="1:28" ht="30">
      <c r="A409" s="112" t="s">
        <v>1014</v>
      </c>
      <c r="B409" s="117">
        <v>1</v>
      </c>
      <c r="C409" s="345">
        <v>0</v>
      </c>
      <c r="D409" s="117" t="s">
        <v>430</v>
      </c>
      <c r="E409" s="112" t="s">
        <v>1015</v>
      </c>
      <c r="F409" s="117">
        <v>7703712014251</v>
      </c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</row>
    <row r="410" spans="1:28" ht="30">
      <c r="A410" s="18" t="s">
        <v>410</v>
      </c>
      <c r="B410" s="17">
        <v>1</v>
      </c>
      <c r="C410" s="33">
        <v>0</v>
      </c>
      <c r="D410" s="202" t="s">
        <v>411</v>
      </c>
      <c r="E410" s="73" t="s">
        <v>412</v>
      </c>
      <c r="F410" s="18">
        <v>7702057162436</v>
      </c>
    </row>
    <row r="411" spans="1:28" ht="29.25">
      <c r="A411" t="s">
        <v>1016</v>
      </c>
      <c r="B411" s="39">
        <v>1</v>
      </c>
      <c r="C411" s="133">
        <v>0</v>
      </c>
      <c r="D411" s="140" t="s">
        <v>191</v>
      </c>
      <c r="E411" s="22" t="s">
        <v>779</v>
      </c>
      <c r="F411" s="42">
        <v>7702870070888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19"/>
      <c r="AB411" s="19"/>
    </row>
    <row r="412" spans="1:28" ht="15">
      <c r="A412" s="76" t="s">
        <v>1017</v>
      </c>
      <c r="B412" s="74">
        <v>3</v>
      </c>
      <c r="C412" s="75">
        <v>0</v>
      </c>
      <c r="D412" s="336" t="s">
        <v>1018</v>
      </c>
      <c r="E412" s="74" t="s">
        <v>75</v>
      </c>
      <c r="F412" s="378">
        <v>7707067620655</v>
      </c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117"/>
    </row>
    <row r="413" spans="1:28">
      <c r="A413" s="22" t="s">
        <v>1019</v>
      </c>
      <c r="B413">
        <v>6</v>
      </c>
      <c r="C413">
        <v>0</v>
      </c>
      <c r="D413" t="s">
        <v>85</v>
      </c>
      <c r="E413" t="s">
        <v>1020</v>
      </c>
      <c r="F413">
        <v>7707179560054</v>
      </c>
    </row>
    <row r="414" spans="1:28" ht="42.75">
      <c r="A414" t="s">
        <v>1021</v>
      </c>
      <c r="B414" s="39">
        <v>1</v>
      </c>
      <c r="C414" s="39">
        <v>0</v>
      </c>
      <c r="D414" s="39" t="s">
        <v>1022</v>
      </c>
      <c r="E414" s="22" t="s">
        <v>1023</v>
      </c>
      <c r="F414">
        <v>7704039112101</v>
      </c>
    </row>
    <row r="415" spans="1:28" ht="30">
      <c r="A415" s="73" t="s">
        <v>325</v>
      </c>
      <c r="B415" s="32">
        <v>4</v>
      </c>
      <c r="C415" s="72">
        <v>0</v>
      </c>
      <c r="D415" s="32" t="s">
        <v>188</v>
      </c>
      <c r="E415" s="73" t="s">
        <v>326</v>
      </c>
      <c r="F415" s="379">
        <v>7702057012007</v>
      </c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9"/>
      <c r="AB415" s="19"/>
    </row>
    <row r="416" spans="1:28" ht="15">
      <c r="A416" s="440"/>
      <c r="B416" s="440"/>
      <c r="C416" s="440"/>
      <c r="D416" s="440"/>
      <c r="E416" s="440"/>
      <c r="F416" s="440"/>
      <c r="G416" s="440"/>
      <c r="H416" s="440"/>
      <c r="I416" s="440"/>
      <c r="J416" s="440"/>
      <c r="K416" s="440"/>
      <c r="L416" s="440"/>
      <c r="M416" s="440"/>
      <c r="N416" s="440"/>
      <c r="O416" s="440"/>
      <c r="P416" s="440"/>
      <c r="Q416" s="440"/>
      <c r="R416" s="440"/>
      <c r="S416" s="440"/>
      <c r="T416" s="440"/>
      <c r="U416" s="440"/>
      <c r="V416" s="440"/>
      <c r="W416" s="440"/>
      <c r="X416" s="440"/>
      <c r="Y416" s="440"/>
      <c r="Z416" s="440"/>
      <c r="AA416" s="440"/>
      <c r="AB416" s="440"/>
    </row>
    <row r="417" spans="1:28" ht="15">
      <c r="A417" s="53" t="s">
        <v>281</v>
      </c>
      <c r="B417" s="153">
        <v>1</v>
      </c>
      <c r="C417" s="55">
        <v>0</v>
      </c>
      <c r="D417" s="153" t="s">
        <v>282</v>
      </c>
      <c r="E417" s="56" t="s">
        <v>283</v>
      </c>
      <c r="F417">
        <v>7703153040611</v>
      </c>
    </row>
    <row r="418" spans="1:28" ht="15">
      <c r="A418" s="440"/>
      <c r="B418" s="440"/>
      <c r="C418" s="440"/>
      <c r="D418" s="440"/>
      <c r="E418" s="440"/>
      <c r="F418" s="440"/>
      <c r="G418" s="440"/>
      <c r="H418" s="440"/>
      <c r="I418" s="440"/>
      <c r="J418" s="440"/>
      <c r="K418" s="440"/>
      <c r="L418" s="440"/>
      <c r="M418" s="440"/>
      <c r="N418" s="440"/>
      <c r="O418" s="440"/>
      <c r="P418" s="440"/>
      <c r="Q418" s="440"/>
      <c r="R418" s="440"/>
      <c r="S418" s="440"/>
      <c r="T418" s="440"/>
      <c r="U418" s="440"/>
      <c r="V418" s="440"/>
      <c r="W418" s="440"/>
      <c r="X418" s="440"/>
      <c r="Y418" s="440"/>
      <c r="Z418" s="440"/>
      <c r="AA418" s="440"/>
      <c r="AB418" s="440"/>
    </row>
    <row r="419" spans="1:28">
      <c r="A419" s="39" t="s">
        <v>1024</v>
      </c>
      <c r="B419" s="39">
        <v>6</v>
      </c>
      <c r="C419" s="40">
        <v>0</v>
      </c>
      <c r="D419" s="39" t="s">
        <v>408</v>
      </c>
      <c r="E419" s="23" t="s">
        <v>182</v>
      </c>
      <c r="F419" s="23">
        <v>7707179990196</v>
      </c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 spans="1:28" ht="29.25">
      <c r="A420" s="41" t="s">
        <v>690</v>
      </c>
      <c r="B420" s="39">
        <v>6</v>
      </c>
      <c r="C420" s="51">
        <v>0</v>
      </c>
      <c r="D420" s="23" t="s">
        <v>88</v>
      </c>
      <c r="E420" s="41" t="s">
        <v>692</v>
      </c>
      <c r="F420" s="273">
        <v>7707274721206</v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45">
      <c r="A421" s="117" t="s">
        <v>1025</v>
      </c>
      <c r="B421" s="117">
        <v>2</v>
      </c>
      <c r="C421" s="117">
        <v>0</v>
      </c>
      <c r="D421" s="117" t="s">
        <v>546</v>
      </c>
      <c r="E421" s="112" t="s">
        <v>1026</v>
      </c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 spans="1:28" ht="15">
      <c r="A422" s="440"/>
      <c r="B422" s="440"/>
      <c r="C422" s="440"/>
      <c r="D422" s="440"/>
      <c r="E422" s="440"/>
      <c r="F422" s="440"/>
      <c r="G422" s="440"/>
      <c r="H422" s="440"/>
      <c r="I422" s="440"/>
      <c r="J422" s="440"/>
      <c r="K422" s="440"/>
      <c r="L422" s="440"/>
      <c r="M422" s="440"/>
      <c r="N422" s="440"/>
      <c r="O422" s="440"/>
      <c r="P422" s="440"/>
      <c r="Q422" s="440"/>
      <c r="R422" s="440"/>
      <c r="S422" s="440"/>
      <c r="T422" s="440"/>
      <c r="U422" s="440"/>
      <c r="V422" s="440"/>
      <c r="W422" s="440"/>
      <c r="X422" s="440"/>
      <c r="Y422" s="440"/>
      <c r="Z422" s="440"/>
      <c r="AA422" s="440"/>
      <c r="AB422" s="440"/>
    </row>
    <row r="423" spans="1:28" ht="30">
      <c r="A423" s="152" t="s">
        <v>1027</v>
      </c>
      <c r="B423" s="96">
        <v>6</v>
      </c>
      <c r="C423" s="97">
        <v>0</v>
      </c>
      <c r="D423" s="96" t="s">
        <v>80</v>
      </c>
      <c r="E423" s="152" t="s">
        <v>1028</v>
      </c>
      <c r="F423" s="369">
        <v>7706569000194</v>
      </c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117"/>
      <c r="AA423" s="117"/>
      <c r="AB423" s="117"/>
    </row>
    <row r="424" spans="1:28" ht="29.25">
      <c r="A424" s="22" t="s">
        <v>1029</v>
      </c>
      <c r="B424" s="23">
        <v>2</v>
      </c>
      <c r="C424" s="51">
        <v>0</v>
      </c>
      <c r="D424" s="172" t="s">
        <v>56</v>
      </c>
      <c r="E424" s="22" t="s">
        <v>1030</v>
      </c>
      <c r="F424">
        <v>7709990087000</v>
      </c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8">
      <c r="A425" s="71" t="s">
        <v>1031</v>
      </c>
      <c r="B425" s="71">
        <v>1</v>
      </c>
      <c r="C425" s="71">
        <v>0</v>
      </c>
      <c r="D425" s="71" t="s">
        <v>1032</v>
      </c>
      <c r="E425" s="71" t="s">
        <v>1033</v>
      </c>
      <c r="F425" s="61">
        <v>7501165010444</v>
      </c>
    </row>
    <row r="426" spans="1:28" ht="15">
      <c r="A426" s="92" t="s">
        <v>1034</v>
      </c>
      <c r="B426" s="92">
        <v>4</v>
      </c>
      <c r="C426" s="93">
        <v>0.19</v>
      </c>
      <c r="D426" s="397" t="s">
        <v>1035</v>
      </c>
      <c r="E426" s="92" t="s">
        <v>1036</v>
      </c>
      <c r="F426" s="92">
        <v>7707336092497</v>
      </c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8" ht="15">
      <c r="A427" s="440"/>
      <c r="B427" s="440"/>
      <c r="C427" s="440"/>
      <c r="D427" s="440"/>
      <c r="E427" s="440"/>
      <c r="F427" s="440"/>
      <c r="G427" s="440"/>
      <c r="H427" s="440"/>
      <c r="I427" s="440"/>
      <c r="J427" s="440"/>
      <c r="K427" s="440"/>
      <c r="L427" s="440"/>
      <c r="M427" s="440"/>
      <c r="N427" s="440"/>
      <c r="O427" s="440"/>
      <c r="P427" s="440"/>
      <c r="Q427" s="440"/>
      <c r="R427" s="440"/>
      <c r="S427" s="440"/>
      <c r="T427" s="440"/>
      <c r="U427" s="440"/>
      <c r="V427" s="440"/>
      <c r="W427" s="440"/>
      <c r="X427" s="440"/>
      <c r="Y427" s="440"/>
      <c r="Z427" s="440"/>
      <c r="AA427" s="440"/>
      <c r="AB427" s="440"/>
    </row>
    <row r="428" spans="1:28" ht="29.25">
      <c r="A428" s="22" t="s">
        <v>1029</v>
      </c>
      <c r="B428" s="23">
        <v>2</v>
      </c>
      <c r="C428" s="51">
        <v>0</v>
      </c>
      <c r="D428" s="172" t="s">
        <v>56</v>
      </c>
      <c r="E428" s="22" t="s">
        <v>1030</v>
      </c>
      <c r="F428">
        <v>7709990087000</v>
      </c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8" ht="29.25">
      <c r="A429" s="22" t="s">
        <v>1029</v>
      </c>
      <c r="B429" s="23">
        <v>1</v>
      </c>
      <c r="C429" s="51">
        <v>0</v>
      </c>
      <c r="D429" s="172" t="s">
        <v>56</v>
      </c>
      <c r="E429" s="22" t="s">
        <v>1030</v>
      </c>
      <c r="F429">
        <v>7709990087000</v>
      </c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8" ht="15">
      <c r="A430" s="440"/>
      <c r="B430" s="440"/>
      <c r="C430" s="440"/>
      <c r="D430" s="440"/>
      <c r="E430" s="440"/>
      <c r="F430" s="440"/>
      <c r="G430" s="440"/>
      <c r="H430" s="440"/>
      <c r="I430" s="440"/>
      <c r="J430" s="440"/>
      <c r="K430" s="440"/>
      <c r="L430" s="440"/>
      <c r="M430" s="440"/>
      <c r="N430" s="440"/>
      <c r="O430" s="440"/>
      <c r="P430" s="440"/>
      <c r="Q430" s="440"/>
      <c r="R430" s="440"/>
      <c r="S430" s="440"/>
      <c r="T430" s="440"/>
      <c r="U430" s="440"/>
      <c r="V430" s="440"/>
      <c r="W430" s="440"/>
      <c r="X430" s="440"/>
      <c r="Y430" s="440"/>
      <c r="Z430" s="440"/>
      <c r="AA430" s="440"/>
      <c r="AB430" s="440"/>
    </row>
    <row r="431" spans="1:28" ht="29.25">
      <c r="A431" s="24" t="s">
        <v>849</v>
      </c>
      <c r="B431" s="30">
        <v>1</v>
      </c>
      <c r="C431" s="31">
        <v>0</v>
      </c>
      <c r="D431" s="98" t="s">
        <v>850</v>
      </c>
      <c r="E431" s="24" t="s">
        <v>851</v>
      </c>
      <c r="F431" s="28">
        <v>7702123006718</v>
      </c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30">
      <c r="A432" s="117" t="s">
        <v>1037</v>
      </c>
      <c r="B432" s="117">
        <v>2</v>
      </c>
      <c r="C432" s="117">
        <v>0</v>
      </c>
      <c r="D432" s="117" t="s">
        <v>293</v>
      </c>
      <c r="E432" s="112" t="s">
        <v>1038</v>
      </c>
      <c r="F432" s="117">
        <v>7703153040475</v>
      </c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</row>
    <row r="433" spans="1:28" ht="28.5">
      <c r="A433" t="s">
        <v>1039</v>
      </c>
      <c r="B433" s="39">
        <v>4</v>
      </c>
      <c r="C433" s="39">
        <v>0</v>
      </c>
      <c r="D433" s="39" t="s">
        <v>1040</v>
      </c>
      <c r="E433" s="22" t="s">
        <v>107</v>
      </c>
      <c r="F433">
        <v>7703153022822</v>
      </c>
    </row>
    <row r="434" spans="1:28">
      <c r="A434" s="24" t="s">
        <v>1041</v>
      </c>
      <c r="B434" s="8">
        <v>2</v>
      </c>
      <c r="C434" s="59">
        <v>0</v>
      </c>
      <c r="D434" s="59" t="s">
        <v>1042</v>
      </c>
      <c r="E434" s="24" t="s">
        <v>1043</v>
      </c>
      <c r="F434" s="28">
        <v>7891010254773</v>
      </c>
    </row>
    <row r="435" spans="1:28">
      <c r="A435" s="41" t="s">
        <v>1044</v>
      </c>
      <c r="B435" s="39">
        <v>2</v>
      </c>
      <c r="C435" s="40">
        <v>0</v>
      </c>
      <c r="D435" s="94" t="s">
        <v>1045</v>
      </c>
      <c r="E435" s="41" t="s">
        <v>1046</v>
      </c>
      <c r="F435" s="39">
        <v>7891010254780</v>
      </c>
      <c r="G435" s="28"/>
      <c r="H435" s="28"/>
      <c r="I435" s="28"/>
      <c r="J435" s="28"/>
      <c r="K435" s="28"/>
      <c r="L435" s="28"/>
      <c r="M435" s="28"/>
      <c r="N435" s="28"/>
      <c r="O435" s="28"/>
    </row>
    <row r="436" spans="1:28" ht="15">
      <c r="A436" s="32" t="s">
        <v>1047</v>
      </c>
      <c r="B436" s="32">
        <v>2</v>
      </c>
      <c r="C436" s="72">
        <v>0.19</v>
      </c>
      <c r="D436" s="32" t="s">
        <v>26</v>
      </c>
      <c r="E436" s="32" t="s">
        <v>1048</v>
      </c>
      <c r="F436" s="32">
        <v>7702057089290</v>
      </c>
      <c r="G436" s="32"/>
      <c r="H436" s="32"/>
      <c r="I436" s="32"/>
      <c r="J436" s="32"/>
      <c r="K436" s="32"/>
      <c r="L436" s="32"/>
      <c r="M436" s="32"/>
      <c r="N436" s="32"/>
      <c r="O436" s="32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</row>
    <row r="437" spans="1:28" ht="15">
      <c r="A437" s="28" t="s">
        <v>221</v>
      </c>
      <c r="B437" s="8">
        <v>1</v>
      </c>
      <c r="C437" s="9">
        <v>0</v>
      </c>
      <c r="D437" s="8" t="s">
        <v>222</v>
      </c>
      <c r="E437" s="24" t="s">
        <v>223</v>
      </c>
      <c r="F437" s="28">
        <v>7704412152847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19"/>
      <c r="AA437" s="19"/>
      <c r="AB437" s="19"/>
    </row>
    <row r="438" spans="1:28" ht="15">
      <c r="A438" s="73" t="s">
        <v>1049</v>
      </c>
      <c r="B438" s="17">
        <v>1</v>
      </c>
      <c r="C438" s="124">
        <v>0</v>
      </c>
      <c r="D438" s="138" t="s">
        <v>476</v>
      </c>
      <c r="E438" s="32" t="s">
        <v>1050</v>
      </c>
      <c r="F438" s="32">
        <v>7703038050414</v>
      </c>
    </row>
    <row r="439" spans="1:28" ht="28.5">
      <c r="A439" s="24" t="s">
        <v>1051</v>
      </c>
      <c r="B439" s="30">
        <v>1</v>
      </c>
      <c r="C439" s="31">
        <v>0</v>
      </c>
      <c r="D439" s="98" t="s">
        <v>1052</v>
      </c>
      <c r="E439" s="7" t="s">
        <v>1053</v>
      </c>
      <c r="F439" s="28">
        <v>7703153022693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8" ht="30">
      <c r="A440" s="47" t="s">
        <v>1054</v>
      </c>
      <c r="B440" s="49">
        <v>1</v>
      </c>
      <c r="C440" s="216">
        <v>0</v>
      </c>
      <c r="D440" s="217" t="s">
        <v>10</v>
      </c>
      <c r="E440" s="49" t="s">
        <v>1055</v>
      </c>
      <c r="F440" s="49">
        <v>7707557919160</v>
      </c>
      <c r="G440" s="21"/>
      <c r="H440" s="21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8" ht="15">
      <c r="A441" s="440"/>
      <c r="B441" s="440"/>
      <c r="C441" s="440"/>
      <c r="D441" s="440"/>
      <c r="E441" s="440"/>
      <c r="F441" s="440"/>
      <c r="G441" s="440"/>
      <c r="H441" s="440"/>
      <c r="I441" s="440"/>
      <c r="J441" s="440"/>
      <c r="K441" s="440"/>
      <c r="L441" s="440"/>
      <c r="M441" s="440"/>
      <c r="N441" s="440"/>
      <c r="O441" s="440"/>
      <c r="P441" s="440"/>
      <c r="Q441" s="440"/>
      <c r="R441" s="440"/>
      <c r="S441" s="440"/>
      <c r="T441" s="440"/>
      <c r="U441" s="440"/>
      <c r="V441" s="440"/>
      <c r="W441" s="440"/>
      <c r="X441" s="440"/>
      <c r="Y441" s="440"/>
      <c r="Z441" s="440"/>
      <c r="AA441" s="440"/>
      <c r="AB441" s="440"/>
    </row>
    <row r="442" spans="1:28" ht="30">
      <c r="A442" s="117" t="s">
        <v>1056</v>
      </c>
      <c r="B442" s="117">
        <v>5</v>
      </c>
      <c r="C442" s="117">
        <v>0</v>
      </c>
      <c r="D442" s="117" t="s">
        <v>527</v>
      </c>
      <c r="E442" s="112" t="s">
        <v>1057</v>
      </c>
      <c r="F442" s="117">
        <v>8903726354094</v>
      </c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8" ht="15">
      <c r="A443" s="440"/>
      <c r="B443" s="440"/>
      <c r="C443" s="440"/>
      <c r="D443" s="440"/>
      <c r="E443" s="440"/>
      <c r="F443" s="440"/>
      <c r="G443" s="440"/>
      <c r="H443" s="440"/>
      <c r="I443" s="440"/>
      <c r="J443" s="440"/>
      <c r="K443" s="440"/>
      <c r="L443" s="440"/>
      <c r="M443" s="440"/>
      <c r="N443" s="440"/>
      <c r="O443" s="440"/>
      <c r="P443" s="440"/>
      <c r="Q443" s="440"/>
      <c r="R443" s="440"/>
      <c r="S443" s="440"/>
      <c r="T443" s="440"/>
      <c r="U443" s="440"/>
      <c r="V443" s="440"/>
      <c r="W443" s="440"/>
      <c r="X443" s="440"/>
      <c r="Y443" s="440"/>
      <c r="Z443" s="440"/>
      <c r="AA443" s="440"/>
      <c r="AB443" s="440"/>
    </row>
    <row r="444" spans="1:28" ht="15">
      <c r="A444" s="8" t="s">
        <v>663</v>
      </c>
      <c r="B444" s="8">
        <v>6</v>
      </c>
      <c r="C444" s="167">
        <v>0</v>
      </c>
      <c r="D444" s="10" t="s">
        <v>664</v>
      </c>
      <c r="E444" s="8" t="s">
        <v>665</v>
      </c>
      <c r="F444" s="8">
        <v>7703712032309</v>
      </c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117"/>
      <c r="AB444" s="117"/>
    </row>
    <row r="445" spans="1:28" ht="15">
      <c r="A445" s="195" t="s">
        <v>1058</v>
      </c>
      <c r="B445" s="200">
        <v>3</v>
      </c>
      <c r="C445" s="360">
        <v>0</v>
      </c>
      <c r="D445" s="200" t="s">
        <v>1059</v>
      </c>
      <c r="E445" s="195" t="s">
        <v>1060</v>
      </c>
      <c r="F445" s="382">
        <v>7709225183033</v>
      </c>
      <c r="G445" s="74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9"/>
      <c r="AB445" s="19"/>
    </row>
    <row r="446" spans="1:28" ht="15">
      <c r="A446" s="440"/>
      <c r="B446" s="440"/>
      <c r="C446" s="440"/>
      <c r="D446" s="440"/>
      <c r="E446" s="440"/>
      <c r="F446" s="440"/>
      <c r="G446" s="440"/>
      <c r="H446" s="440"/>
      <c r="I446" s="440"/>
      <c r="J446" s="440"/>
      <c r="K446" s="440"/>
      <c r="L446" s="440"/>
      <c r="M446" s="440"/>
      <c r="N446" s="440"/>
      <c r="O446" s="440"/>
      <c r="P446" s="440"/>
      <c r="Q446" s="440"/>
      <c r="R446" s="440"/>
      <c r="S446" s="440"/>
      <c r="T446" s="440"/>
      <c r="U446" s="440"/>
      <c r="V446" s="440"/>
      <c r="W446" s="440"/>
      <c r="X446" s="440"/>
      <c r="Y446" s="440"/>
      <c r="Z446" s="440"/>
      <c r="AA446" s="440"/>
      <c r="AB446" s="440"/>
    </row>
    <row r="447" spans="1:28" ht="30">
      <c r="A447" s="200" t="s">
        <v>1061</v>
      </c>
      <c r="B447" s="200">
        <v>2</v>
      </c>
      <c r="C447" s="198">
        <v>0</v>
      </c>
      <c r="D447" s="197" t="s">
        <v>1062</v>
      </c>
      <c r="E447" s="195" t="s">
        <v>1063</v>
      </c>
      <c r="F447" s="420">
        <v>7702195086748</v>
      </c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5">
      <c r="A448" s="71" t="s">
        <v>1064</v>
      </c>
      <c r="B448" s="71">
        <v>3</v>
      </c>
      <c r="C448" s="105">
        <v>0</v>
      </c>
      <c r="D448" s="137" t="s">
        <v>519</v>
      </c>
      <c r="E448" s="13" t="s">
        <v>1065</v>
      </c>
      <c r="F448" s="71">
        <v>7703153032111</v>
      </c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19"/>
      <c r="AB448" s="19"/>
    </row>
    <row r="449" spans="1:28" ht="29.25">
      <c r="A449" t="s">
        <v>838</v>
      </c>
      <c r="B449">
        <v>6</v>
      </c>
      <c r="C449" s="133">
        <v>0</v>
      </c>
      <c r="D449" s="134" t="s">
        <v>32</v>
      </c>
      <c r="E449" s="22" t="s">
        <v>839</v>
      </c>
      <c r="F449">
        <v>7702870002636</v>
      </c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9"/>
    </row>
    <row r="450" spans="1:28" ht="15">
      <c r="A450" s="440"/>
      <c r="B450" s="440"/>
      <c r="C450" s="440"/>
      <c r="D450" s="440"/>
      <c r="E450" s="440"/>
      <c r="F450" s="440"/>
      <c r="G450" s="440"/>
      <c r="H450" s="440"/>
      <c r="I450" s="440"/>
      <c r="J450" s="440"/>
      <c r="K450" s="440"/>
      <c r="L450" s="440"/>
      <c r="M450" s="440"/>
      <c r="N450" s="440"/>
      <c r="O450" s="440"/>
      <c r="P450" s="440"/>
      <c r="Q450" s="440"/>
      <c r="R450" s="440"/>
      <c r="S450" s="440"/>
      <c r="T450" s="440"/>
      <c r="U450" s="440"/>
      <c r="V450" s="440"/>
      <c r="W450" s="440"/>
      <c r="X450" s="440"/>
      <c r="Y450" s="440"/>
      <c r="Z450" s="440"/>
      <c r="AA450" s="440"/>
      <c r="AB450" s="440"/>
    </row>
    <row r="451" spans="1:28" ht="42.75">
      <c r="A451" t="s">
        <v>1066</v>
      </c>
      <c r="B451" s="39">
        <v>1</v>
      </c>
      <c r="C451" s="39">
        <v>0</v>
      </c>
      <c r="D451" s="39" t="s">
        <v>214</v>
      </c>
      <c r="E451" s="22" t="s">
        <v>1067</v>
      </c>
      <c r="F451">
        <v>7706142305081</v>
      </c>
    </row>
    <row r="452" spans="1:28" ht="45">
      <c r="A452" s="112" t="s">
        <v>211</v>
      </c>
      <c r="B452" s="112">
        <v>6</v>
      </c>
      <c r="C452" s="350">
        <v>0</v>
      </c>
      <c r="D452" s="374" t="s">
        <v>109</v>
      </c>
      <c r="E452" s="112" t="s">
        <v>212</v>
      </c>
      <c r="F452" s="112">
        <v>7703038878728</v>
      </c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spans="1:28" ht="28.5">
      <c r="A453" t="s">
        <v>1068</v>
      </c>
      <c r="B453" s="39">
        <v>4</v>
      </c>
      <c r="C453" s="39">
        <v>0</v>
      </c>
      <c r="D453" s="39" t="s">
        <v>7</v>
      </c>
      <c r="E453" s="22" t="s">
        <v>1069</v>
      </c>
      <c r="F453">
        <v>7702184020159</v>
      </c>
    </row>
    <row r="454" spans="1:28" ht="15">
      <c r="A454" s="76" t="s">
        <v>1070</v>
      </c>
      <c r="B454" s="74">
        <v>2</v>
      </c>
      <c r="C454" s="75">
        <v>0</v>
      </c>
      <c r="D454" s="75" t="s">
        <v>88</v>
      </c>
      <c r="E454" s="74" t="s">
        <v>1071</v>
      </c>
      <c r="F454" s="74">
        <v>7702057124014</v>
      </c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</row>
    <row r="455" spans="1:28">
      <c r="A455" s="24" t="s">
        <v>1072</v>
      </c>
      <c r="B455" s="8">
        <v>1</v>
      </c>
      <c r="C455" s="9">
        <v>0</v>
      </c>
      <c r="D455" s="203" t="s">
        <v>491</v>
      </c>
      <c r="E455" s="28" t="s">
        <v>1073</v>
      </c>
      <c r="F455" s="28">
        <v>7707288826607</v>
      </c>
      <c r="G455" s="28"/>
      <c r="H455" s="28"/>
      <c r="I455" s="28"/>
      <c r="J455" s="28"/>
      <c r="K455" s="28"/>
      <c r="L455" s="28"/>
      <c r="M455" s="28"/>
      <c r="N455" s="28"/>
      <c r="O455" s="28"/>
    </row>
    <row r="456" spans="1:28" ht="30">
      <c r="A456" s="18" t="s">
        <v>1074</v>
      </c>
      <c r="B456" s="18">
        <v>1</v>
      </c>
      <c r="C456" s="184">
        <v>0.19</v>
      </c>
      <c r="D456" s="184" t="s">
        <v>1075</v>
      </c>
      <c r="E456" s="16" t="s">
        <v>1076</v>
      </c>
      <c r="F456" s="20">
        <v>7702123013891</v>
      </c>
    </row>
    <row r="457" spans="1:28" ht="15">
      <c r="A457" s="74" t="s">
        <v>160</v>
      </c>
      <c r="B457" s="74">
        <v>2</v>
      </c>
      <c r="C457" s="75">
        <v>0</v>
      </c>
      <c r="D457" s="75" t="s">
        <v>14</v>
      </c>
      <c r="E457" s="74" t="s">
        <v>161</v>
      </c>
      <c r="F457" s="74">
        <v>7704412118546</v>
      </c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8" ht="28.5">
      <c r="A458" t="s">
        <v>1077</v>
      </c>
      <c r="B458" s="39">
        <v>3</v>
      </c>
      <c r="C458" s="40">
        <v>0.19</v>
      </c>
      <c r="D458" s="39" t="s">
        <v>7</v>
      </c>
      <c r="E458" s="22" t="s">
        <v>1078</v>
      </c>
      <c r="F458">
        <v>7702277558187</v>
      </c>
    </row>
    <row r="459" spans="1:28" ht="28.5">
      <c r="A459" t="s">
        <v>1079</v>
      </c>
      <c r="B459" s="39">
        <v>2</v>
      </c>
      <c r="C459" s="40">
        <v>0.19</v>
      </c>
      <c r="D459" s="39" t="s">
        <v>1080</v>
      </c>
      <c r="E459" s="22" t="s">
        <v>1081</v>
      </c>
      <c r="F459">
        <v>7702277603139</v>
      </c>
    </row>
    <row r="460" spans="1:28" ht="28.5">
      <c r="A460" t="s">
        <v>1082</v>
      </c>
      <c r="B460" s="39">
        <v>1</v>
      </c>
      <c r="C460" s="40">
        <v>0.19</v>
      </c>
      <c r="D460" s="39" t="s">
        <v>1022</v>
      </c>
      <c r="E460" s="22" t="s">
        <v>1083</v>
      </c>
      <c r="F460">
        <v>7702277865766</v>
      </c>
    </row>
    <row r="461" spans="1:28" ht="15">
      <c r="A461" s="440"/>
      <c r="B461" s="440"/>
      <c r="C461" s="440"/>
      <c r="D461" s="440"/>
      <c r="E461" s="440"/>
      <c r="F461" s="440"/>
      <c r="G461" s="440"/>
      <c r="H461" s="440"/>
      <c r="I461" s="440"/>
      <c r="J461" s="440"/>
      <c r="K461" s="440"/>
      <c r="L461" s="440"/>
      <c r="M461" s="440"/>
      <c r="N461" s="440"/>
      <c r="O461" s="440"/>
      <c r="P461" s="440"/>
      <c r="Q461" s="440"/>
      <c r="R461" s="440"/>
      <c r="S461" s="440"/>
      <c r="T461" s="440"/>
      <c r="U461" s="440"/>
      <c r="V461" s="440"/>
      <c r="W461" s="440"/>
      <c r="X461" s="440"/>
      <c r="Y461" s="440"/>
      <c r="Z461" s="440"/>
      <c r="AA461" s="440"/>
      <c r="AB461" s="440"/>
    </row>
    <row r="462" spans="1:28" ht="28.5">
      <c r="A462" t="s">
        <v>1084</v>
      </c>
      <c r="B462" s="39">
        <v>3</v>
      </c>
      <c r="C462" s="39">
        <v>0</v>
      </c>
      <c r="D462" s="39" t="s">
        <v>353</v>
      </c>
      <c r="E462" s="22" t="s">
        <v>1085</v>
      </c>
      <c r="F462">
        <v>7706440000695</v>
      </c>
    </row>
    <row r="463" spans="1:28" ht="28.5">
      <c r="A463" t="s">
        <v>1084</v>
      </c>
      <c r="B463" s="39">
        <v>3</v>
      </c>
      <c r="C463" s="39">
        <v>0</v>
      </c>
      <c r="D463" s="39" t="s">
        <v>353</v>
      </c>
      <c r="E463" s="22" t="s">
        <v>1085</v>
      </c>
      <c r="F463">
        <v>7706440000695</v>
      </c>
    </row>
    <row r="464" spans="1:28">
      <c r="A464" s="22" t="s">
        <v>736</v>
      </c>
      <c r="B464">
        <v>2</v>
      </c>
      <c r="C464" s="133">
        <v>0</v>
      </c>
      <c r="D464" s="23" t="s">
        <v>26</v>
      </c>
      <c r="E464" t="s">
        <v>737</v>
      </c>
      <c r="F464">
        <v>7703546421157</v>
      </c>
    </row>
    <row r="465" spans="1:28" ht="15">
      <c r="A465" s="440"/>
      <c r="B465" s="440"/>
      <c r="C465" s="440"/>
      <c r="D465" s="440"/>
      <c r="E465" s="440"/>
      <c r="F465" s="440"/>
      <c r="G465" s="440"/>
      <c r="H465" s="440"/>
      <c r="I465" s="440"/>
      <c r="J465" s="440"/>
      <c r="K465" s="440"/>
      <c r="L465" s="440"/>
      <c r="M465" s="440"/>
      <c r="N465" s="440"/>
      <c r="O465" s="440"/>
      <c r="P465" s="440"/>
      <c r="Q465" s="440"/>
      <c r="R465" s="440"/>
      <c r="S465" s="440"/>
      <c r="T465" s="440"/>
      <c r="U465" s="440"/>
      <c r="V465" s="440"/>
      <c r="W465" s="440"/>
      <c r="X465" s="440"/>
      <c r="Y465" s="440"/>
      <c r="Z465" s="440"/>
      <c r="AA465" s="440"/>
      <c r="AB465" s="440"/>
    </row>
    <row r="466" spans="1:28" ht="43.5">
      <c r="A466" s="22" t="s">
        <v>1086</v>
      </c>
      <c r="B466" s="23">
        <v>2</v>
      </c>
      <c r="C466" s="23">
        <v>0</v>
      </c>
      <c r="D466" s="23" t="s">
        <v>115</v>
      </c>
      <c r="E466" s="22" t="s">
        <v>1087</v>
      </c>
      <c r="F466" s="52">
        <v>7702027440106</v>
      </c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</row>
    <row r="467" spans="1:28">
      <c r="A467" t="s">
        <v>1088</v>
      </c>
      <c r="B467">
        <v>2</v>
      </c>
      <c r="C467" s="133">
        <v>0.19</v>
      </c>
      <c r="D467" s="23" t="s">
        <v>80</v>
      </c>
      <c r="E467" t="s">
        <v>1089</v>
      </c>
      <c r="F467">
        <v>7707271201107</v>
      </c>
    </row>
    <row r="468" spans="1:28" ht="30">
      <c r="A468" s="117" t="s">
        <v>1090</v>
      </c>
      <c r="B468" s="117">
        <v>4</v>
      </c>
      <c r="C468" s="345">
        <v>0</v>
      </c>
      <c r="D468" s="119" t="s">
        <v>118</v>
      </c>
      <c r="E468" s="112" t="s">
        <v>24</v>
      </c>
      <c r="F468" s="117">
        <v>7707035540596</v>
      </c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8" ht="30">
      <c r="A469" s="76" t="s">
        <v>1091</v>
      </c>
      <c r="B469" s="74">
        <v>2</v>
      </c>
      <c r="C469" s="352">
        <v>0</v>
      </c>
      <c r="D469" s="336" t="s">
        <v>585</v>
      </c>
      <c r="E469" s="76" t="s">
        <v>1092</v>
      </c>
      <c r="F469" s="74">
        <v>7703763750115</v>
      </c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8" ht="15">
      <c r="A470" s="384" t="s">
        <v>852</v>
      </c>
      <c r="B470" s="384">
        <v>1</v>
      </c>
      <c r="C470" s="385">
        <v>0</v>
      </c>
      <c r="D470" s="384" t="s">
        <v>853</v>
      </c>
      <c r="E470" s="383" t="s">
        <v>854</v>
      </c>
      <c r="F470" s="384">
        <v>7703153024796</v>
      </c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117"/>
    </row>
    <row r="471" spans="1:28" ht="28.5">
      <c r="A471" t="s">
        <v>1093</v>
      </c>
      <c r="B471" s="39">
        <v>1</v>
      </c>
      <c r="C471" s="39">
        <v>0</v>
      </c>
      <c r="D471" s="39" t="s">
        <v>318</v>
      </c>
      <c r="E471" s="22" t="s">
        <v>1094</v>
      </c>
      <c r="F471">
        <v>7709137132273</v>
      </c>
    </row>
    <row r="472" spans="1:28" ht="15">
      <c r="A472" s="112" t="s">
        <v>1095</v>
      </c>
      <c r="B472" s="117">
        <v>1</v>
      </c>
      <c r="C472" s="117">
        <v>0</v>
      </c>
      <c r="D472" s="119" t="s">
        <v>112</v>
      </c>
      <c r="E472" s="112" t="s">
        <v>1096</v>
      </c>
      <c r="F472" s="376">
        <v>7707204490097</v>
      </c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8" ht="15">
      <c r="A473" s="440"/>
      <c r="B473" s="440"/>
      <c r="C473" s="440"/>
      <c r="D473" s="440"/>
      <c r="E473" s="440"/>
      <c r="F473" s="440"/>
      <c r="G473" s="440"/>
      <c r="H473" s="440"/>
      <c r="I473" s="440"/>
      <c r="J473" s="440"/>
      <c r="K473" s="440"/>
      <c r="L473" s="440"/>
      <c r="M473" s="440"/>
      <c r="N473" s="440"/>
      <c r="O473" s="440"/>
      <c r="P473" s="440"/>
      <c r="Q473" s="440"/>
      <c r="R473" s="440"/>
      <c r="S473" s="440"/>
      <c r="T473" s="440"/>
      <c r="U473" s="440"/>
      <c r="V473" s="440"/>
      <c r="W473" s="440"/>
      <c r="X473" s="440"/>
      <c r="Y473" s="440"/>
      <c r="Z473" s="440"/>
      <c r="AA473" s="440"/>
      <c r="AB473" s="440"/>
    </row>
    <row r="474" spans="1:28" ht="15">
      <c r="A474" s="117" t="s">
        <v>1025</v>
      </c>
      <c r="B474" s="117">
        <v>1</v>
      </c>
      <c r="C474" s="117">
        <v>0</v>
      </c>
      <c r="D474" s="117" t="s">
        <v>59</v>
      </c>
      <c r="E474" s="112" t="s">
        <v>1097</v>
      </c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</row>
    <row r="475" spans="1:28" ht="30">
      <c r="A475" s="73" t="s">
        <v>466</v>
      </c>
      <c r="B475" s="32">
        <v>1</v>
      </c>
      <c r="C475" s="72">
        <v>0</v>
      </c>
      <c r="D475" s="32" t="s">
        <v>23</v>
      </c>
      <c r="E475" s="73" t="s">
        <v>467</v>
      </c>
      <c r="F475" s="321">
        <v>7702184030196</v>
      </c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117"/>
      <c r="AA475" s="117"/>
      <c r="AB475" s="117"/>
    </row>
    <row r="476" spans="1:28" ht="15">
      <c r="A476" s="440"/>
      <c r="B476" s="440"/>
      <c r="C476" s="440"/>
      <c r="D476" s="440"/>
      <c r="E476" s="440"/>
      <c r="F476" s="440"/>
      <c r="G476" s="440"/>
      <c r="H476" s="440"/>
      <c r="I476" s="440"/>
      <c r="J476" s="440"/>
      <c r="K476" s="440"/>
      <c r="L476" s="440"/>
      <c r="M476" s="440"/>
      <c r="N476" s="440"/>
      <c r="O476" s="440"/>
      <c r="P476" s="440"/>
      <c r="Q476" s="440"/>
      <c r="R476" s="440"/>
      <c r="S476" s="440"/>
      <c r="T476" s="440"/>
      <c r="U476" s="440"/>
      <c r="V476" s="440"/>
      <c r="W476" s="440"/>
      <c r="X476" s="440"/>
      <c r="Y476" s="440"/>
      <c r="Z476" s="440"/>
      <c r="AA476" s="440"/>
      <c r="AB476" s="440"/>
    </row>
    <row r="477" spans="1:28" ht="28.5">
      <c r="A477" t="s">
        <v>1098</v>
      </c>
      <c r="B477" s="39">
        <v>2</v>
      </c>
      <c r="C477" s="40">
        <v>0.19</v>
      </c>
      <c r="D477" s="39" t="s">
        <v>298</v>
      </c>
      <c r="E477" s="22" t="s">
        <v>1099</v>
      </c>
      <c r="F477">
        <v>16975628331939</v>
      </c>
    </row>
    <row r="478" spans="1:28" ht="15">
      <c r="A478" s="440"/>
      <c r="B478" s="440"/>
      <c r="C478" s="440"/>
      <c r="D478" s="440"/>
      <c r="E478" s="440"/>
      <c r="F478" s="440"/>
      <c r="G478" s="440"/>
      <c r="H478" s="440"/>
      <c r="I478" s="440"/>
      <c r="J478" s="440"/>
      <c r="K478" s="440"/>
      <c r="L478" s="440"/>
      <c r="M478" s="440"/>
      <c r="N478" s="440"/>
      <c r="O478" s="440"/>
      <c r="P478" s="440"/>
      <c r="Q478" s="440"/>
      <c r="R478" s="440"/>
      <c r="S478" s="440"/>
      <c r="T478" s="440"/>
      <c r="U478" s="440"/>
      <c r="V478" s="440"/>
      <c r="W478" s="440"/>
      <c r="X478" s="440"/>
      <c r="Y478" s="440"/>
      <c r="Z478" s="440"/>
      <c r="AA478" s="440"/>
      <c r="AB478" s="440"/>
    </row>
    <row r="479" spans="1:28">
      <c r="A479" s="22" t="s">
        <v>1100</v>
      </c>
      <c r="B479" s="23">
        <v>1</v>
      </c>
      <c r="C479" s="51">
        <v>0</v>
      </c>
      <c r="D479" s="172" t="s">
        <v>80</v>
      </c>
      <c r="E479" s="39" t="s">
        <v>1101</v>
      </c>
      <c r="F479">
        <v>7705366100045</v>
      </c>
    </row>
    <row r="480" spans="1:28" ht="28.5">
      <c r="A480" s="69" t="s">
        <v>362</v>
      </c>
      <c r="B480" s="12">
        <v>2</v>
      </c>
      <c r="C480" s="59">
        <v>0.19</v>
      </c>
      <c r="D480" s="111" t="s">
        <v>363</v>
      </c>
      <c r="E480" s="13" t="s">
        <v>364</v>
      </c>
      <c r="F480" s="211">
        <v>7794640170133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19"/>
      <c r="AA480" s="19"/>
      <c r="AB480" s="19"/>
    </row>
    <row r="481" spans="1:28" ht="28.5">
      <c r="A481" s="28" t="s">
        <v>1102</v>
      </c>
      <c r="B481" s="28">
        <v>2</v>
      </c>
      <c r="C481" s="192">
        <v>0</v>
      </c>
      <c r="D481" s="193" t="s">
        <v>1103</v>
      </c>
      <c r="E481" s="24" t="s">
        <v>1104</v>
      </c>
      <c r="F481" s="63">
        <v>7702057088835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8">
      <c r="A482" s="22" t="s">
        <v>929</v>
      </c>
      <c r="B482">
        <v>1</v>
      </c>
      <c r="C482" s="133">
        <v>0</v>
      </c>
      <c r="D482" s="183" t="s">
        <v>23</v>
      </c>
      <c r="E482" t="s">
        <v>930</v>
      </c>
      <c r="F482">
        <v>7707246940055</v>
      </c>
    </row>
    <row r="483" spans="1:28" ht="28.5">
      <c r="A483" t="s">
        <v>1068</v>
      </c>
      <c r="B483" s="39">
        <v>5</v>
      </c>
      <c r="C483" s="39">
        <v>0</v>
      </c>
      <c r="D483" s="39" t="s">
        <v>7</v>
      </c>
      <c r="E483" s="22" t="s">
        <v>1069</v>
      </c>
      <c r="F483">
        <v>7702184020159</v>
      </c>
    </row>
    <row r="484" spans="1:28" ht="15">
      <c r="A484" s="440"/>
      <c r="B484" s="440"/>
      <c r="C484" s="440"/>
      <c r="D484" s="440"/>
      <c r="E484" s="440"/>
      <c r="F484" s="440"/>
      <c r="G484" s="440"/>
      <c r="H484" s="440"/>
      <c r="I484" s="440"/>
      <c r="J484" s="440"/>
      <c r="K484" s="440"/>
      <c r="L484" s="440"/>
      <c r="M484" s="440"/>
      <c r="N484" s="440"/>
      <c r="O484" s="440"/>
      <c r="P484" s="440"/>
      <c r="Q484" s="440"/>
      <c r="R484" s="440"/>
      <c r="S484" s="440"/>
      <c r="T484" s="440"/>
      <c r="U484" s="440"/>
      <c r="V484" s="440"/>
      <c r="W484" s="440"/>
      <c r="X484" s="440"/>
      <c r="Y484" s="440"/>
      <c r="Z484" s="440"/>
      <c r="AA484" s="440"/>
      <c r="AB484" s="440"/>
    </row>
    <row r="485" spans="1:28" ht="30">
      <c r="A485" s="76" t="s">
        <v>144</v>
      </c>
      <c r="B485" s="74">
        <v>3</v>
      </c>
      <c r="C485" s="75">
        <v>0</v>
      </c>
      <c r="D485" s="74" t="s">
        <v>145</v>
      </c>
      <c r="E485" s="76" t="s">
        <v>146</v>
      </c>
      <c r="F485" s="74">
        <v>7702605103294</v>
      </c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</row>
    <row r="486" spans="1:28" ht="15">
      <c r="A486" s="43" t="s">
        <v>1105</v>
      </c>
      <c r="B486" s="19">
        <v>20</v>
      </c>
      <c r="C486" s="126">
        <v>0</v>
      </c>
      <c r="D486" s="113" t="s">
        <v>1106</v>
      </c>
      <c r="E486" s="19" t="s">
        <v>1107</v>
      </c>
      <c r="F486" s="19">
        <v>7707019384338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8" ht="15">
      <c r="A487" s="440"/>
      <c r="B487" s="440"/>
      <c r="C487" s="440"/>
      <c r="D487" s="440"/>
      <c r="E487" s="440"/>
      <c r="F487" s="440"/>
      <c r="G487" s="440"/>
      <c r="H487" s="440"/>
      <c r="I487" s="440"/>
      <c r="J487" s="440"/>
      <c r="K487" s="440"/>
      <c r="L487" s="440"/>
      <c r="M487" s="440"/>
      <c r="N487" s="440"/>
      <c r="O487" s="440"/>
      <c r="P487" s="440"/>
      <c r="Q487" s="440"/>
      <c r="R487" s="440"/>
      <c r="S487" s="440"/>
      <c r="T487" s="440"/>
      <c r="U487" s="440"/>
      <c r="V487" s="440"/>
      <c r="W487" s="440"/>
      <c r="X487" s="440"/>
      <c r="Y487" s="440"/>
      <c r="Z487" s="440"/>
      <c r="AA487" s="440"/>
      <c r="AB487" s="440"/>
    </row>
    <row r="488" spans="1:28" ht="15">
      <c r="A488" s="8" t="s">
        <v>1108</v>
      </c>
      <c r="B488" s="8">
        <v>25</v>
      </c>
      <c r="C488" s="31">
        <v>0</v>
      </c>
      <c r="D488" s="98" t="s">
        <v>697</v>
      </c>
      <c r="E488" s="8" t="s">
        <v>1109</v>
      </c>
      <c r="F488" s="8">
        <v>7707336091773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5">
      <c r="A489" s="130" t="s">
        <v>1110</v>
      </c>
      <c r="B489" s="214">
        <v>3</v>
      </c>
      <c r="C489" s="462">
        <v>0</v>
      </c>
      <c r="D489" s="463" t="s">
        <v>1111</v>
      </c>
      <c r="E489" s="130" t="s">
        <v>1112</v>
      </c>
      <c r="F489" s="130">
        <v>7703038067597</v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 spans="1:28" ht="30">
      <c r="A490" s="73" t="s">
        <v>1113</v>
      </c>
      <c r="B490" s="32">
        <v>6</v>
      </c>
      <c r="C490" s="72">
        <v>0</v>
      </c>
      <c r="D490" s="32" t="s">
        <v>1114</v>
      </c>
      <c r="E490" s="73" t="s">
        <v>1115</v>
      </c>
      <c r="F490" s="32">
        <v>7706569001160</v>
      </c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9"/>
      <c r="AB490" s="19"/>
    </row>
    <row r="491" spans="1:28" ht="30">
      <c r="A491" s="152" t="s">
        <v>1027</v>
      </c>
      <c r="B491" s="96">
        <v>3</v>
      </c>
      <c r="C491" s="97">
        <v>0</v>
      </c>
      <c r="D491" s="96" t="s">
        <v>80</v>
      </c>
      <c r="E491" s="152" t="s">
        <v>1028</v>
      </c>
      <c r="F491" s="369">
        <v>7706569000194</v>
      </c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117"/>
      <c r="AA491" s="117"/>
      <c r="AB491" s="117"/>
    </row>
    <row r="492" spans="1:28" ht="28.5">
      <c r="A492" s="28" t="s">
        <v>275</v>
      </c>
      <c r="B492" s="14">
        <v>1</v>
      </c>
      <c r="C492" s="105">
        <v>0</v>
      </c>
      <c r="D492" s="14" t="s">
        <v>1116</v>
      </c>
      <c r="E492" s="24" t="s">
        <v>1117</v>
      </c>
      <c r="F492" s="63">
        <v>7703445040015</v>
      </c>
      <c r="G492" s="28"/>
      <c r="H492" s="28"/>
      <c r="I492" s="28"/>
      <c r="J492" s="28"/>
      <c r="K492" s="28"/>
      <c r="L492" s="28"/>
      <c r="M492" s="28"/>
      <c r="N492" s="28"/>
      <c r="O492" s="28"/>
    </row>
    <row r="493" spans="1:28" ht="30">
      <c r="A493" s="73" t="s">
        <v>1118</v>
      </c>
      <c r="B493" s="32">
        <v>3</v>
      </c>
      <c r="C493" s="72">
        <v>0</v>
      </c>
      <c r="D493" s="72" t="s">
        <v>276</v>
      </c>
      <c r="E493" s="73" t="s">
        <v>1119</v>
      </c>
      <c r="F493" s="32">
        <v>7500435107013</v>
      </c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</row>
    <row r="494" spans="1:28" ht="15">
      <c r="A494" s="73" t="s">
        <v>1120</v>
      </c>
      <c r="B494" s="32">
        <v>1</v>
      </c>
      <c r="C494" s="72">
        <v>0</v>
      </c>
      <c r="D494" s="32" t="s">
        <v>7</v>
      </c>
      <c r="E494" s="73" t="s">
        <v>1121</v>
      </c>
      <c r="F494" s="371">
        <v>7500435107020</v>
      </c>
      <c r="G494" s="74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9"/>
      <c r="AB494" s="19"/>
    </row>
    <row r="495" spans="1:28" ht="15">
      <c r="A495" s="74" t="s">
        <v>1122</v>
      </c>
      <c r="B495" s="74">
        <v>2</v>
      </c>
      <c r="C495" s="75">
        <v>0</v>
      </c>
      <c r="D495" s="336" t="s">
        <v>603</v>
      </c>
      <c r="E495" s="76" t="s">
        <v>63</v>
      </c>
      <c r="F495" s="74">
        <v>7702418004351</v>
      </c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</row>
    <row r="496" spans="1:28" ht="15">
      <c r="A496" s="76" t="s">
        <v>817</v>
      </c>
      <c r="B496" s="74">
        <v>2</v>
      </c>
      <c r="C496" s="75">
        <v>0</v>
      </c>
      <c r="D496" s="74" t="s">
        <v>818</v>
      </c>
      <c r="E496" s="76" t="s">
        <v>428</v>
      </c>
      <c r="F496" s="74">
        <v>7703038050018</v>
      </c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117"/>
      <c r="AA496" s="117"/>
      <c r="AB496" s="117"/>
    </row>
    <row r="497" spans="1:28" ht="15">
      <c r="A497" s="440"/>
      <c r="B497" s="440"/>
      <c r="C497" s="440"/>
      <c r="D497" s="440"/>
      <c r="E497" s="440"/>
      <c r="F497" s="440"/>
      <c r="G497" s="440"/>
      <c r="H497" s="440"/>
      <c r="I497" s="440"/>
      <c r="J497" s="440"/>
      <c r="K497" s="440"/>
      <c r="L497" s="440"/>
      <c r="M497" s="440"/>
      <c r="N497" s="440"/>
      <c r="O497" s="440"/>
      <c r="P497" s="440"/>
      <c r="Q497" s="440"/>
      <c r="R497" s="440"/>
      <c r="S497" s="440"/>
      <c r="T497" s="440"/>
      <c r="U497" s="440"/>
      <c r="V497" s="440"/>
      <c r="W497" s="440"/>
      <c r="X497" s="440"/>
      <c r="Y497" s="440"/>
      <c r="Z497" s="440"/>
      <c r="AA497" s="440"/>
      <c r="AB497" s="440"/>
    </row>
    <row r="498" spans="1:28" ht="15">
      <c r="A498" s="53" t="s">
        <v>1123</v>
      </c>
      <c r="B498" s="96">
        <v>2</v>
      </c>
      <c r="C498" s="464">
        <v>0.19</v>
      </c>
      <c r="D498" s="96" t="s">
        <v>118</v>
      </c>
      <c r="E498" s="56" t="s">
        <v>1124</v>
      </c>
      <c r="F498" s="53">
        <v>7702277733447</v>
      </c>
    </row>
    <row r="499" spans="1:28" ht="15">
      <c r="A499" s="76" t="s">
        <v>314</v>
      </c>
      <c r="B499" s="74">
        <v>1</v>
      </c>
      <c r="C499" s="164">
        <v>0</v>
      </c>
      <c r="D499" s="349" t="s">
        <v>315</v>
      </c>
      <c r="E499" s="76" t="s">
        <v>316</v>
      </c>
      <c r="F499" s="46">
        <v>7702057712396</v>
      </c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30">
      <c r="A500" s="73" t="s">
        <v>449</v>
      </c>
      <c r="B500" s="32">
        <v>2</v>
      </c>
      <c r="C500" s="82">
        <v>0</v>
      </c>
      <c r="D500" s="83" t="s">
        <v>676</v>
      </c>
      <c r="E500" s="73" t="s">
        <v>451</v>
      </c>
      <c r="F500" s="32">
        <v>7702814107564</v>
      </c>
      <c r="G500" s="117"/>
      <c r="H500" s="32"/>
      <c r="I500" s="32"/>
      <c r="J500" s="32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8">
      <c r="A501" s="146" t="s">
        <v>577</v>
      </c>
      <c r="B501" s="168">
        <v>4</v>
      </c>
      <c r="C501" s="319">
        <v>0</v>
      </c>
      <c r="D501" s="320" t="s">
        <v>578</v>
      </c>
      <c r="E501" s="146" t="s">
        <v>579</v>
      </c>
      <c r="F501" s="141">
        <v>7702057079642</v>
      </c>
    </row>
    <row r="502" spans="1:28">
      <c r="A502" s="12" t="s">
        <v>1125</v>
      </c>
      <c r="B502" s="14">
        <v>1</v>
      </c>
      <c r="C502" s="105">
        <v>0</v>
      </c>
      <c r="D502" s="137" t="s">
        <v>1126</v>
      </c>
      <c r="E502" s="12" t="s">
        <v>985</v>
      </c>
      <c r="F502" s="12">
        <v>7707184609793</v>
      </c>
    </row>
    <row r="503" spans="1:28" ht="30">
      <c r="A503" s="73" t="s">
        <v>325</v>
      </c>
      <c r="B503" s="32">
        <v>3</v>
      </c>
      <c r="C503" s="72">
        <v>0</v>
      </c>
      <c r="D503" s="32" t="s">
        <v>188</v>
      </c>
      <c r="E503" s="73" t="s">
        <v>326</v>
      </c>
      <c r="F503" s="379">
        <v>7702057012007</v>
      </c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9"/>
      <c r="AB503" s="19"/>
    </row>
    <row r="504" spans="1:28" ht="15">
      <c r="A504" s="74" t="s">
        <v>93</v>
      </c>
      <c r="B504" s="74">
        <v>2</v>
      </c>
      <c r="C504" s="75">
        <v>0</v>
      </c>
      <c r="D504" s="336" t="s">
        <v>94</v>
      </c>
      <c r="E504" s="74" t="s">
        <v>95</v>
      </c>
      <c r="F504" s="378">
        <v>7702184011430</v>
      </c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117"/>
      <c r="AA504" s="19"/>
      <c r="AB504" s="19"/>
    </row>
    <row r="505" spans="1:28" ht="15">
      <c r="A505" s="440"/>
      <c r="B505" s="440"/>
      <c r="C505" s="440"/>
      <c r="D505" s="440"/>
      <c r="E505" s="440"/>
      <c r="F505" s="440"/>
      <c r="G505" s="440"/>
      <c r="H505" s="440"/>
      <c r="I505" s="440"/>
      <c r="J505" s="440"/>
      <c r="K505" s="440"/>
      <c r="L505" s="440"/>
      <c r="M505" s="440"/>
      <c r="N505" s="440"/>
      <c r="O505" s="440"/>
      <c r="P505" s="440"/>
      <c r="Q505" s="440"/>
      <c r="R505" s="440"/>
      <c r="S505" s="440"/>
      <c r="T505" s="440"/>
      <c r="U505" s="440"/>
      <c r="V505" s="440"/>
      <c r="W505" s="440"/>
      <c r="X505" s="440"/>
      <c r="Y505" s="440"/>
      <c r="Z505" s="440"/>
      <c r="AA505" s="440"/>
      <c r="AB505" s="440"/>
    </row>
    <row r="506" spans="1:28" ht="15">
      <c r="A506" s="117" t="s">
        <v>1127</v>
      </c>
      <c r="B506" s="117">
        <v>15</v>
      </c>
      <c r="C506" s="117">
        <v>0</v>
      </c>
      <c r="D506" s="117" t="s">
        <v>527</v>
      </c>
      <c r="E506" s="117" t="s">
        <v>228</v>
      </c>
      <c r="F506" s="117">
        <v>8903726322109</v>
      </c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9"/>
      <c r="AB506" s="19"/>
    </row>
    <row r="507" spans="1:28" ht="30">
      <c r="A507" s="117" t="s">
        <v>1128</v>
      </c>
      <c r="B507" s="117">
        <v>3</v>
      </c>
      <c r="C507" s="117">
        <v>0</v>
      </c>
      <c r="D507" s="117" t="s">
        <v>1126</v>
      </c>
      <c r="E507" s="112" t="s">
        <v>1129</v>
      </c>
      <c r="F507" s="117">
        <v>8903726232811</v>
      </c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8" ht="15">
      <c r="A508" s="440"/>
      <c r="B508" s="440"/>
      <c r="C508" s="440"/>
      <c r="D508" s="440"/>
      <c r="E508" s="440"/>
      <c r="F508" s="440"/>
      <c r="G508" s="440"/>
      <c r="H508" s="440"/>
      <c r="I508" s="440"/>
      <c r="J508" s="440"/>
      <c r="K508" s="440"/>
      <c r="L508" s="440"/>
      <c r="M508" s="440"/>
      <c r="N508" s="440"/>
      <c r="O508" s="440"/>
      <c r="P508" s="440"/>
      <c r="Q508" s="440"/>
      <c r="R508" s="440"/>
      <c r="S508" s="440"/>
      <c r="T508" s="440"/>
      <c r="U508" s="440"/>
      <c r="V508" s="440"/>
      <c r="W508" s="440"/>
      <c r="X508" s="440"/>
      <c r="Y508" s="440"/>
      <c r="Z508" s="440"/>
      <c r="AA508" s="440"/>
      <c r="AB508" s="440"/>
    </row>
    <row r="509" spans="1:28" ht="15">
      <c r="A509" t="s">
        <v>320</v>
      </c>
      <c r="B509" s="39">
        <v>4</v>
      </c>
      <c r="C509" s="40">
        <v>0</v>
      </c>
      <c r="D509" s="39" t="s">
        <v>902</v>
      </c>
      <c r="E509" t="s">
        <v>322</v>
      </c>
      <c r="F509">
        <v>6921875013176</v>
      </c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5">
      <c r="A510" s="76" t="s">
        <v>817</v>
      </c>
      <c r="B510" s="74">
        <v>2</v>
      </c>
      <c r="C510" s="75">
        <v>0</v>
      </c>
      <c r="D510" s="74" t="s">
        <v>818</v>
      </c>
      <c r="E510" s="76" t="s">
        <v>428</v>
      </c>
      <c r="F510" s="74">
        <v>7703038050018</v>
      </c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117"/>
      <c r="AA510" s="117"/>
      <c r="AB510" s="117"/>
    </row>
    <row r="511" spans="1:28" ht="28.5">
      <c r="A511" s="146" t="s">
        <v>1130</v>
      </c>
      <c r="B511" s="147">
        <v>2</v>
      </c>
      <c r="C511" s="148">
        <v>0</v>
      </c>
      <c r="D511" s="158" t="s">
        <v>276</v>
      </c>
      <c r="E511" s="146" t="s">
        <v>1131</v>
      </c>
      <c r="F511" s="141">
        <v>7707313289520</v>
      </c>
      <c r="G511" s="169"/>
    </row>
    <row r="512" spans="1:28" ht="30">
      <c r="A512" s="112" t="s">
        <v>512</v>
      </c>
      <c r="B512" s="74">
        <v>3</v>
      </c>
      <c r="C512" s="75">
        <v>0</v>
      </c>
      <c r="D512" s="91" t="s">
        <v>74</v>
      </c>
      <c r="E512" s="76" t="s">
        <v>513</v>
      </c>
      <c r="F512" s="378">
        <v>7709990202793</v>
      </c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</row>
    <row r="513" spans="1:28" ht="15">
      <c r="A513" s="117" t="s">
        <v>1132</v>
      </c>
      <c r="B513" s="117">
        <v>6</v>
      </c>
      <c r="C513" s="345">
        <v>0</v>
      </c>
      <c r="D513" s="119" t="s">
        <v>109</v>
      </c>
      <c r="E513" s="112" t="s">
        <v>1133</v>
      </c>
      <c r="F513" s="117">
        <v>7702195061400</v>
      </c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9"/>
      <c r="AB513" s="19"/>
    </row>
    <row r="514" spans="1:28">
      <c r="A514" t="s">
        <v>1134</v>
      </c>
      <c r="B514" s="39">
        <v>3</v>
      </c>
      <c r="C514" s="39">
        <v>0</v>
      </c>
      <c r="D514" s="39" t="s">
        <v>366</v>
      </c>
      <c r="E514" t="s">
        <v>1135</v>
      </c>
      <c r="F514">
        <v>7703153040970</v>
      </c>
    </row>
    <row r="515" spans="1:28" ht="30">
      <c r="A515" s="19" t="s">
        <v>105</v>
      </c>
      <c r="B515" s="117">
        <v>1</v>
      </c>
      <c r="C515" s="19">
        <v>0</v>
      </c>
      <c r="D515" s="19" t="s">
        <v>1136</v>
      </c>
      <c r="E515" s="43" t="s">
        <v>107</v>
      </c>
      <c r="F515" s="19">
        <v>8903726382844</v>
      </c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5">
      <c r="A516" s="92" t="s">
        <v>1034</v>
      </c>
      <c r="B516" s="92">
        <v>4</v>
      </c>
      <c r="C516" s="93">
        <v>0.19</v>
      </c>
      <c r="D516" s="397" t="s">
        <v>1035</v>
      </c>
      <c r="E516" s="92" t="s">
        <v>1036</v>
      </c>
      <c r="F516" s="92">
        <v>7707336092497</v>
      </c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8" ht="28.5">
      <c r="A517" t="s">
        <v>1137</v>
      </c>
      <c r="B517" s="39">
        <v>1</v>
      </c>
      <c r="C517" s="39">
        <v>0</v>
      </c>
      <c r="D517" s="39" t="s">
        <v>1138</v>
      </c>
      <c r="E517" s="22" t="s">
        <v>1139</v>
      </c>
      <c r="F517">
        <v>7707288823804</v>
      </c>
    </row>
    <row r="518" spans="1:28" ht="30">
      <c r="A518" s="32" t="s">
        <v>1140</v>
      </c>
      <c r="B518" s="32">
        <v>1</v>
      </c>
      <c r="C518" s="72">
        <v>0</v>
      </c>
      <c r="D518" s="81" t="s">
        <v>427</v>
      </c>
      <c r="E518" s="73" t="s">
        <v>104</v>
      </c>
      <c r="F518" s="321">
        <v>7703038050445</v>
      </c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8" ht="15">
      <c r="A519" s="440"/>
      <c r="B519" s="440"/>
      <c r="C519" s="440"/>
      <c r="D519" s="440"/>
      <c r="E519" s="440"/>
      <c r="F519" s="440"/>
      <c r="G519" s="440"/>
      <c r="H519" s="440"/>
      <c r="I519" s="440"/>
      <c r="J519" s="440"/>
      <c r="K519" s="440"/>
      <c r="L519" s="440"/>
      <c r="M519" s="440"/>
      <c r="N519" s="440"/>
      <c r="O519" s="440"/>
      <c r="P519" s="440"/>
      <c r="Q519" s="440"/>
      <c r="R519" s="440"/>
      <c r="S519" s="440"/>
      <c r="T519" s="440"/>
      <c r="U519" s="440"/>
      <c r="V519" s="440"/>
      <c r="W519" s="440"/>
      <c r="X519" s="440"/>
      <c r="Y519" s="440"/>
      <c r="Z519" s="440"/>
      <c r="AA519" s="440"/>
      <c r="AB519" s="440"/>
    </row>
    <row r="520" spans="1:28" ht="30">
      <c r="A520" s="117" t="s">
        <v>1141</v>
      </c>
      <c r="B520" s="117">
        <v>1</v>
      </c>
      <c r="C520" s="117">
        <v>0</v>
      </c>
      <c r="D520" s="117" t="s">
        <v>91</v>
      </c>
      <c r="E520" s="112" t="s">
        <v>1142</v>
      </c>
      <c r="F520" s="117">
        <v>7707035510629</v>
      </c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8" ht="30">
      <c r="A521" s="19" t="s">
        <v>1143</v>
      </c>
      <c r="B521" s="117">
        <v>2</v>
      </c>
      <c r="C521" s="19">
        <v>0</v>
      </c>
      <c r="D521" s="19" t="s">
        <v>91</v>
      </c>
      <c r="E521" s="43" t="s">
        <v>1144</v>
      </c>
      <c r="F521" s="19">
        <v>7707232090313</v>
      </c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28.5">
      <c r="A522" s="22" t="s">
        <v>1145</v>
      </c>
      <c r="B522">
        <v>1</v>
      </c>
      <c r="C522" s="133">
        <v>0</v>
      </c>
      <c r="D522" s="23" t="s">
        <v>638</v>
      </c>
      <c r="E522" s="22" t="s">
        <v>1146</v>
      </c>
      <c r="F522" s="42">
        <v>7704232000946</v>
      </c>
    </row>
    <row r="523" spans="1:28" ht="30">
      <c r="A523" s="73" t="s">
        <v>1147</v>
      </c>
      <c r="B523" s="32">
        <v>3</v>
      </c>
      <c r="C523" s="72">
        <v>0</v>
      </c>
      <c r="D523" s="83" t="s">
        <v>1148</v>
      </c>
      <c r="E523" s="32" t="s">
        <v>1149</v>
      </c>
      <c r="F523" s="32">
        <v>7707019413908</v>
      </c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8" ht="28.5">
      <c r="A524" s="13" t="s">
        <v>1150</v>
      </c>
      <c r="B524" s="12">
        <v>1</v>
      </c>
      <c r="C524" s="105">
        <v>0</v>
      </c>
      <c r="D524" s="137" t="s">
        <v>26</v>
      </c>
      <c r="E524" s="13" t="s">
        <v>1151</v>
      </c>
      <c r="F524" s="61">
        <v>7501303010701</v>
      </c>
      <c r="AA524" s="19"/>
      <c r="AB524" s="19"/>
    </row>
    <row r="525" spans="1:28" ht="28.5">
      <c r="A525" s="146" t="s">
        <v>1152</v>
      </c>
      <c r="B525" s="168">
        <v>1</v>
      </c>
      <c r="C525" s="147">
        <v>0</v>
      </c>
      <c r="D525" s="147" t="s">
        <v>684</v>
      </c>
      <c r="E525" s="146" t="s">
        <v>1153</v>
      </c>
      <c r="F525" s="141">
        <v>7891317018986</v>
      </c>
      <c r="G525" s="28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30">
      <c r="A526" s="73" t="s">
        <v>79</v>
      </c>
      <c r="B526" s="32">
        <v>6</v>
      </c>
      <c r="C526" s="89">
        <v>0</v>
      </c>
      <c r="D526" s="89" t="s">
        <v>80</v>
      </c>
      <c r="E526" s="73" t="s">
        <v>81</v>
      </c>
      <c r="F526" s="321">
        <v>7705366100014</v>
      </c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8" ht="15">
      <c r="A527" s="440"/>
      <c r="B527" s="440"/>
      <c r="C527" s="440"/>
      <c r="D527" s="440"/>
      <c r="E527" s="440"/>
      <c r="F527" s="440"/>
      <c r="G527" s="440"/>
      <c r="H527" s="440"/>
      <c r="I527" s="440"/>
      <c r="J527" s="440"/>
      <c r="K527" s="440"/>
      <c r="L527" s="440"/>
      <c r="M527" s="440"/>
      <c r="N527" s="440"/>
      <c r="O527" s="440"/>
      <c r="P527" s="440"/>
      <c r="Q527" s="440"/>
      <c r="R527" s="440"/>
      <c r="S527" s="440"/>
      <c r="T527" s="440"/>
      <c r="U527" s="440"/>
      <c r="V527" s="440"/>
      <c r="W527" s="440"/>
      <c r="X527" s="440"/>
      <c r="Y527" s="440"/>
      <c r="Z527" s="440"/>
      <c r="AA527" s="440"/>
      <c r="AB527" s="440"/>
    </row>
    <row r="528" spans="1:28" ht="15">
      <c r="A528" s="278" t="s">
        <v>1154</v>
      </c>
      <c r="B528" s="130">
        <v>4</v>
      </c>
      <c r="C528" s="131">
        <v>0</v>
      </c>
      <c r="D528" s="315" t="s">
        <v>227</v>
      </c>
      <c r="E528" s="130" t="s">
        <v>827</v>
      </c>
      <c r="F528" s="130">
        <v>8903726224441</v>
      </c>
      <c r="G528" s="28"/>
    </row>
    <row r="529" spans="1:28" ht="15">
      <c r="A529" s="16" t="s">
        <v>873</v>
      </c>
      <c r="B529" s="32">
        <v>1</v>
      </c>
      <c r="C529" s="72">
        <v>0.19</v>
      </c>
      <c r="D529" s="83" t="s">
        <v>874</v>
      </c>
      <c r="E529" s="16" t="s">
        <v>872</v>
      </c>
      <c r="F529" s="18">
        <v>7707397798260</v>
      </c>
    </row>
    <row r="530" spans="1:28" ht="15">
      <c r="A530" s="53" t="s">
        <v>295</v>
      </c>
      <c r="B530" s="153">
        <v>1</v>
      </c>
      <c r="C530" s="55">
        <v>0</v>
      </c>
      <c r="D530" s="225" t="s">
        <v>227</v>
      </c>
      <c r="E530" s="56" t="s">
        <v>296</v>
      </c>
      <c r="F530" s="226">
        <v>7706569000439</v>
      </c>
    </row>
    <row r="531" spans="1:28" ht="28.5">
      <c r="A531" s="13" t="s">
        <v>772</v>
      </c>
      <c r="B531" s="14">
        <v>1</v>
      </c>
      <c r="C531" s="105">
        <v>0</v>
      </c>
      <c r="D531" s="14" t="s">
        <v>773</v>
      </c>
      <c r="E531" s="13" t="s">
        <v>774</v>
      </c>
      <c r="F531" s="15">
        <v>7704588003011</v>
      </c>
    </row>
    <row r="532" spans="1:28" ht="30">
      <c r="A532" s="117" t="s">
        <v>624</v>
      </c>
      <c r="B532" s="117">
        <v>1</v>
      </c>
      <c r="C532" s="345">
        <v>0.19</v>
      </c>
      <c r="D532" s="117" t="s">
        <v>625</v>
      </c>
      <c r="E532" s="112" t="s">
        <v>626</v>
      </c>
      <c r="F532" s="117">
        <v>8411135009639</v>
      </c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8">
      <c r="A533" t="s">
        <v>1155</v>
      </c>
      <c r="B533">
        <v>1</v>
      </c>
      <c r="C533" s="133">
        <v>0.19</v>
      </c>
      <c r="D533" t="s">
        <v>1156</v>
      </c>
      <c r="E533" t="s">
        <v>1157</v>
      </c>
      <c r="F533">
        <v>751273783052</v>
      </c>
    </row>
    <row r="534" spans="1:28" ht="28.5">
      <c r="A534" t="s">
        <v>1158</v>
      </c>
      <c r="B534">
        <v>1</v>
      </c>
      <c r="C534" s="133">
        <v>0.19</v>
      </c>
      <c r="D534" s="23" t="s">
        <v>1159</v>
      </c>
      <c r="E534" s="22" t="s">
        <v>1160</v>
      </c>
      <c r="F534">
        <v>7707056202015</v>
      </c>
    </row>
    <row r="535" spans="1:28" ht="28.5">
      <c r="A535" s="22" t="s">
        <v>1161</v>
      </c>
      <c r="B535">
        <v>1</v>
      </c>
      <c r="C535" s="133">
        <v>0.19</v>
      </c>
      <c r="D535" s="172" t="s">
        <v>68</v>
      </c>
      <c r="E535" t="s">
        <v>1162</v>
      </c>
      <c r="F535">
        <v>650240011832</v>
      </c>
    </row>
    <row r="536" spans="1:28" ht="30">
      <c r="A536" s="200" t="s">
        <v>887</v>
      </c>
      <c r="B536" s="200">
        <v>1</v>
      </c>
      <c r="C536" s="360">
        <v>0</v>
      </c>
      <c r="D536" s="360" t="s">
        <v>348</v>
      </c>
      <c r="E536" s="195" t="s">
        <v>889</v>
      </c>
      <c r="F536" s="373">
        <v>7707239276291</v>
      </c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8" ht="30">
      <c r="A537" s="200" t="s">
        <v>1163</v>
      </c>
      <c r="B537" s="200">
        <v>1</v>
      </c>
      <c r="C537" s="200">
        <v>0</v>
      </c>
      <c r="D537" s="200" t="s">
        <v>1164</v>
      </c>
      <c r="E537" s="195" t="s">
        <v>889</v>
      </c>
      <c r="F537" s="373">
        <v>7707239276215</v>
      </c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8" ht="15">
      <c r="A538" s="440"/>
      <c r="B538" s="440"/>
      <c r="C538" s="440"/>
      <c r="D538" s="440"/>
      <c r="E538" s="440"/>
      <c r="F538" s="440"/>
      <c r="G538" s="440"/>
      <c r="H538" s="440"/>
      <c r="I538" s="440"/>
      <c r="J538" s="440"/>
      <c r="K538" s="440"/>
      <c r="L538" s="440"/>
      <c r="M538" s="440"/>
      <c r="N538" s="440"/>
      <c r="O538" s="440"/>
      <c r="P538" s="440"/>
      <c r="Q538" s="440"/>
      <c r="R538" s="440"/>
      <c r="S538" s="440"/>
      <c r="T538" s="440"/>
      <c r="U538" s="440"/>
      <c r="V538" s="440"/>
      <c r="W538" s="440"/>
      <c r="X538" s="440"/>
      <c r="Y538" s="440"/>
      <c r="Z538" s="440"/>
      <c r="AA538" s="440"/>
      <c r="AB538" s="440"/>
    </row>
    <row r="539" spans="1:28" ht="29.25">
      <c r="A539" t="s">
        <v>838</v>
      </c>
      <c r="B539">
        <v>2</v>
      </c>
      <c r="C539" s="133">
        <v>0</v>
      </c>
      <c r="D539" s="134" t="s">
        <v>32</v>
      </c>
      <c r="E539" s="22" t="s">
        <v>839</v>
      </c>
      <c r="F539">
        <v>7702870002636</v>
      </c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9"/>
    </row>
    <row r="540" spans="1:28" ht="29.25">
      <c r="A540" t="s">
        <v>838</v>
      </c>
      <c r="B540">
        <v>6</v>
      </c>
      <c r="C540" s="133">
        <v>0</v>
      </c>
      <c r="D540" s="134" t="s">
        <v>32</v>
      </c>
      <c r="E540" s="22" t="s">
        <v>839</v>
      </c>
      <c r="F540">
        <v>7702870002636</v>
      </c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9"/>
    </row>
    <row r="541" spans="1:28" ht="29.25">
      <c r="A541" t="s">
        <v>838</v>
      </c>
      <c r="B541">
        <v>2</v>
      </c>
      <c r="C541" s="133">
        <v>0</v>
      </c>
      <c r="D541" s="134" t="s">
        <v>32</v>
      </c>
      <c r="E541" s="22" t="s">
        <v>839</v>
      </c>
      <c r="F541">
        <v>7702870002636</v>
      </c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9"/>
    </row>
    <row r="542" spans="1:28" ht="15">
      <c r="A542" s="24" t="s">
        <v>1165</v>
      </c>
      <c r="B542" s="8">
        <v>1</v>
      </c>
      <c r="C542" s="31">
        <v>0</v>
      </c>
      <c r="D542" s="30" t="s">
        <v>546</v>
      </c>
      <c r="E542" s="28" t="s">
        <v>1166</v>
      </c>
      <c r="F542" s="68">
        <v>7707190180019</v>
      </c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5">
      <c r="A543" s="440"/>
      <c r="B543" s="440"/>
      <c r="C543" s="440"/>
      <c r="D543" s="440"/>
      <c r="E543" s="440"/>
      <c r="F543" s="440"/>
      <c r="G543" s="440"/>
      <c r="H543" s="440"/>
      <c r="I543" s="440"/>
      <c r="J543" s="440"/>
      <c r="K543" s="440"/>
      <c r="L543" s="440"/>
      <c r="M543" s="440"/>
      <c r="N543" s="440"/>
      <c r="O543" s="440"/>
      <c r="P543" s="440"/>
      <c r="Q543" s="440"/>
      <c r="R543" s="440"/>
      <c r="S543" s="440"/>
      <c r="T543" s="440"/>
      <c r="U543" s="440"/>
      <c r="V543" s="440"/>
      <c r="W543" s="440"/>
      <c r="X543" s="440"/>
      <c r="Y543" s="440"/>
      <c r="Z543" s="440"/>
      <c r="AA543" s="440"/>
      <c r="AB543" s="440"/>
    </row>
    <row r="544" spans="1:28">
      <c r="A544" t="s">
        <v>1167</v>
      </c>
      <c r="B544">
        <v>1</v>
      </c>
      <c r="C544" s="140">
        <v>0</v>
      </c>
      <c r="D544" s="134" t="s">
        <v>353</v>
      </c>
      <c r="E544" s="22" t="s">
        <v>1168</v>
      </c>
      <c r="F544">
        <v>7705959140014</v>
      </c>
    </row>
    <row r="545" spans="1:28" ht="28.5">
      <c r="A545" s="69" t="s">
        <v>1169</v>
      </c>
      <c r="B545" s="71">
        <v>2</v>
      </c>
      <c r="C545" s="206">
        <v>0</v>
      </c>
      <c r="D545" s="137" t="s">
        <v>1170</v>
      </c>
      <c r="E545" s="71" t="s">
        <v>1171</v>
      </c>
      <c r="F545" s="71">
        <v>7896006202509</v>
      </c>
    </row>
    <row r="546" spans="1:28" ht="29.25">
      <c r="A546" t="s">
        <v>1172</v>
      </c>
      <c r="B546">
        <v>1</v>
      </c>
      <c r="C546" s="133">
        <v>0</v>
      </c>
      <c r="D546" s="23" t="s">
        <v>94</v>
      </c>
      <c r="E546" s="41" t="s">
        <v>95</v>
      </c>
      <c r="F546">
        <v>7702195102387</v>
      </c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9"/>
      <c r="AB546" s="19"/>
    </row>
    <row r="547" spans="1:28" ht="28.5">
      <c r="A547" t="s">
        <v>1173</v>
      </c>
      <c r="B547">
        <v>1</v>
      </c>
      <c r="C547" s="133">
        <v>0</v>
      </c>
      <c r="D547" t="s">
        <v>1174</v>
      </c>
      <c r="E547" s="22" t="s">
        <v>1175</v>
      </c>
      <c r="F547">
        <v>7703234100968</v>
      </c>
    </row>
    <row r="548" spans="1:28" ht="15">
      <c r="A548" s="117" t="s">
        <v>709</v>
      </c>
      <c r="B548" s="117">
        <v>8</v>
      </c>
      <c r="C548" s="345">
        <v>0</v>
      </c>
      <c r="D548" s="119" t="s">
        <v>38</v>
      </c>
      <c r="E548" s="117" t="s">
        <v>611</v>
      </c>
      <c r="F548" s="117">
        <v>8901117247888</v>
      </c>
      <c r="G548" s="74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9"/>
      <c r="AB548" s="19"/>
    </row>
    <row r="549" spans="1:28" ht="28.5">
      <c r="A549" s="28" t="s">
        <v>675</v>
      </c>
      <c r="B549" s="8">
        <v>1</v>
      </c>
      <c r="C549" s="9">
        <v>0</v>
      </c>
      <c r="D549" s="8" t="s">
        <v>676</v>
      </c>
      <c r="E549" s="25" t="s">
        <v>677</v>
      </c>
      <c r="F549" s="129">
        <v>7707035580233</v>
      </c>
    </row>
    <row r="550" spans="1:28" ht="30">
      <c r="A550" s="32" t="s">
        <v>722</v>
      </c>
      <c r="B550" s="32">
        <v>1</v>
      </c>
      <c r="C550" s="72">
        <v>0</v>
      </c>
      <c r="D550" s="17" t="s">
        <v>723</v>
      </c>
      <c r="E550" s="73" t="s">
        <v>724</v>
      </c>
      <c r="F550" s="321">
        <v>300651431483</v>
      </c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19"/>
      <c r="AB550" s="19"/>
    </row>
    <row r="551" spans="1:28" ht="42.75">
      <c r="A551" s="69" t="s">
        <v>1176</v>
      </c>
      <c r="B551" s="14">
        <v>12</v>
      </c>
      <c r="C551" s="105">
        <v>0</v>
      </c>
      <c r="D551" s="14" t="s">
        <v>88</v>
      </c>
      <c r="E551" s="13" t="s">
        <v>1177</v>
      </c>
      <c r="F551" s="71">
        <v>7702184030165</v>
      </c>
      <c r="Z551" s="23"/>
      <c r="AA551" s="19"/>
      <c r="AB551" s="19"/>
    </row>
    <row r="552" spans="1:28" ht="42.75">
      <c r="A552" s="141" t="s">
        <v>387</v>
      </c>
      <c r="B552" s="147">
        <v>2</v>
      </c>
      <c r="C552" s="234">
        <v>0</v>
      </c>
      <c r="D552" s="246" t="s">
        <v>355</v>
      </c>
      <c r="E552" s="146" t="s">
        <v>1178</v>
      </c>
      <c r="F552">
        <v>7702026149567</v>
      </c>
    </row>
    <row r="553" spans="1:28" ht="15">
      <c r="A553" s="440"/>
      <c r="B553" s="440"/>
      <c r="C553" s="440"/>
      <c r="D553" s="440"/>
      <c r="E553" s="440"/>
      <c r="F553" s="440"/>
      <c r="G553" s="440"/>
      <c r="H553" s="440"/>
      <c r="I553" s="440"/>
      <c r="J553" s="440"/>
      <c r="K553" s="440"/>
      <c r="L553" s="440"/>
      <c r="M553" s="440"/>
      <c r="N553" s="440"/>
      <c r="O553" s="440"/>
      <c r="P553" s="440"/>
      <c r="Q553" s="440"/>
      <c r="R553" s="440"/>
      <c r="S553" s="440"/>
      <c r="T553" s="440"/>
      <c r="U553" s="440"/>
      <c r="V553" s="440"/>
      <c r="W553" s="440"/>
      <c r="X553" s="440"/>
      <c r="Y553" s="440"/>
      <c r="Z553" s="440"/>
      <c r="AA553" s="440"/>
      <c r="AB553" s="440"/>
    </row>
    <row r="554" spans="1:28" ht="30">
      <c r="A554" s="117" t="s">
        <v>1179</v>
      </c>
      <c r="B554" s="117">
        <v>10</v>
      </c>
      <c r="C554" s="117">
        <v>0</v>
      </c>
      <c r="D554" s="117" t="s">
        <v>1180</v>
      </c>
      <c r="E554" s="112" t="s">
        <v>1181</v>
      </c>
      <c r="F554" s="117">
        <v>7707019337112</v>
      </c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8" ht="15">
      <c r="A555" s="7" t="s">
        <v>1182</v>
      </c>
      <c r="B555" s="8">
        <v>2</v>
      </c>
      <c r="C555" s="31">
        <v>0</v>
      </c>
      <c r="D555" s="30" t="s">
        <v>1183</v>
      </c>
      <c r="E555" s="8" t="s">
        <v>1166</v>
      </c>
      <c r="F555" s="8">
        <v>7707190180026</v>
      </c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19"/>
      <c r="AB555" s="19"/>
    </row>
    <row r="556" spans="1:28" ht="30">
      <c r="A556" s="117" t="s">
        <v>1184</v>
      </c>
      <c r="B556" s="117">
        <v>3</v>
      </c>
      <c r="C556" s="117">
        <v>0</v>
      </c>
      <c r="D556" s="117" t="s">
        <v>118</v>
      </c>
      <c r="E556" s="112" t="s">
        <v>1185</v>
      </c>
      <c r="F556" s="117">
        <v>7704175687457</v>
      </c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9"/>
      <c r="AB556" s="19"/>
    </row>
    <row r="557" spans="1:28" ht="15">
      <c r="A557" s="440"/>
      <c r="B557" s="440"/>
      <c r="C557" s="440"/>
      <c r="D557" s="440"/>
      <c r="E557" s="440"/>
      <c r="F557" s="440"/>
      <c r="G557" s="440"/>
      <c r="H557" s="440"/>
      <c r="I557" s="440"/>
      <c r="J557" s="440"/>
      <c r="K557" s="440"/>
      <c r="L557" s="440"/>
      <c r="M557" s="440"/>
      <c r="N557" s="440"/>
      <c r="O557" s="440"/>
      <c r="P557" s="440"/>
      <c r="Q557" s="440"/>
      <c r="R557" s="440"/>
      <c r="S557" s="440"/>
      <c r="T557" s="440"/>
      <c r="U557" s="440"/>
      <c r="V557" s="440"/>
      <c r="W557" s="440"/>
      <c r="X557" s="440"/>
      <c r="Y557" s="440"/>
      <c r="Z557" s="440"/>
      <c r="AA557" s="440"/>
      <c r="AB557" s="440"/>
    </row>
    <row r="558" spans="1:28" ht="30">
      <c r="A558" s="43" t="s">
        <v>1186</v>
      </c>
      <c r="B558" s="117">
        <v>1</v>
      </c>
      <c r="C558" s="19">
        <v>0</v>
      </c>
      <c r="D558" s="19" t="s">
        <v>7</v>
      </c>
      <c r="E558" s="43" t="s">
        <v>1187</v>
      </c>
      <c r="F558" s="19">
        <v>7702896136940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60" spans="1:28" ht="15">
      <c r="A560" s="440"/>
      <c r="B560" s="440"/>
      <c r="C560" s="440"/>
      <c r="D560" s="440"/>
      <c r="E560" s="440"/>
      <c r="F560" s="440"/>
      <c r="G560" s="440"/>
      <c r="H560" s="440"/>
      <c r="I560" s="440"/>
      <c r="J560" s="440"/>
      <c r="K560" s="440"/>
      <c r="L560" s="440"/>
      <c r="M560" s="440"/>
      <c r="N560" s="440"/>
      <c r="O560" s="440"/>
      <c r="P560" s="440"/>
      <c r="Q560" s="440"/>
      <c r="R560" s="440"/>
      <c r="S560" s="440"/>
      <c r="T560" s="440"/>
      <c r="U560" s="440"/>
      <c r="V560" s="440"/>
      <c r="W560" s="440"/>
      <c r="X560" s="440"/>
      <c r="Y560" s="440"/>
      <c r="Z560" s="440"/>
      <c r="AA560" s="440"/>
      <c r="AB560" s="440"/>
    </row>
    <row r="561" spans="1:28" ht="15">
      <c r="A561" s="152" t="s">
        <v>1188</v>
      </c>
      <c r="B561" s="96">
        <v>1</v>
      </c>
      <c r="C561" s="97">
        <v>0</v>
      </c>
      <c r="D561" s="96" t="s">
        <v>38</v>
      </c>
      <c r="E561" s="152" t="s">
        <v>1189</v>
      </c>
      <c r="F561" s="96">
        <v>7702207188620</v>
      </c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 spans="1:28" ht="15">
      <c r="A562" s="8" t="s">
        <v>815</v>
      </c>
      <c r="B562" s="8">
        <v>2</v>
      </c>
      <c r="C562" s="167">
        <v>0</v>
      </c>
      <c r="D562" s="203" t="s">
        <v>808</v>
      </c>
      <c r="E562" s="7" t="s">
        <v>816</v>
      </c>
      <c r="F562" s="8">
        <v>8436024610949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30">
      <c r="A563" s="384" t="s">
        <v>762</v>
      </c>
      <c r="B563" s="384">
        <v>6</v>
      </c>
      <c r="C563" s="385">
        <v>0</v>
      </c>
      <c r="D563" s="384" t="s">
        <v>38</v>
      </c>
      <c r="E563" s="383" t="s">
        <v>121</v>
      </c>
      <c r="F563" s="384">
        <v>7501125184864</v>
      </c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  <c r="AA563" s="117"/>
      <c r="AB563" s="117"/>
    </row>
    <row r="564" spans="1:28" ht="42.75">
      <c r="A564" s="141" t="s">
        <v>1190</v>
      </c>
      <c r="B564" s="141">
        <v>2</v>
      </c>
      <c r="C564" s="236">
        <v>0</v>
      </c>
      <c r="D564" s="237" t="s">
        <v>1191</v>
      </c>
      <c r="E564" s="146" t="s">
        <v>1192</v>
      </c>
      <c r="F564" s="141">
        <v>7702207161166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30">
      <c r="A565" s="32" t="s">
        <v>370</v>
      </c>
      <c r="B565" s="74">
        <v>5</v>
      </c>
      <c r="C565" s="75">
        <v>0</v>
      </c>
      <c r="D565" s="336" t="s">
        <v>85</v>
      </c>
      <c r="E565" s="73" t="s">
        <v>165</v>
      </c>
      <c r="F565" s="32">
        <v>7501033957376</v>
      </c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9"/>
      <c r="AB565" s="19"/>
    </row>
    <row r="566" spans="1:28" ht="15">
      <c r="A566" s="440"/>
      <c r="B566" s="440"/>
      <c r="C566" s="440"/>
      <c r="D566" s="440"/>
      <c r="E566" s="440"/>
      <c r="F566" s="440"/>
      <c r="G566" s="440"/>
      <c r="H566" s="440"/>
      <c r="I566" s="440"/>
      <c r="J566" s="440"/>
      <c r="K566" s="440"/>
      <c r="L566" s="440"/>
      <c r="M566" s="440"/>
      <c r="N566" s="440"/>
      <c r="O566" s="440"/>
      <c r="P566" s="440"/>
      <c r="Q566" s="440"/>
      <c r="R566" s="440"/>
      <c r="S566" s="440"/>
      <c r="T566" s="440"/>
      <c r="U566" s="440"/>
      <c r="V566" s="440"/>
      <c r="W566" s="440"/>
      <c r="X566" s="440"/>
      <c r="Y566" s="440"/>
      <c r="Z566" s="440"/>
      <c r="AA566" s="440"/>
      <c r="AB566" s="440"/>
    </row>
    <row r="567" spans="1:28" ht="30">
      <c r="A567" s="73" t="s">
        <v>1193</v>
      </c>
      <c r="B567" s="32">
        <v>1</v>
      </c>
      <c r="C567" s="72">
        <v>0</v>
      </c>
      <c r="D567" s="83" t="s">
        <v>1194</v>
      </c>
      <c r="E567" s="73" t="s">
        <v>1195</v>
      </c>
      <c r="F567" s="32">
        <v>7702057018054</v>
      </c>
      <c r="G567" s="32"/>
      <c r="H567" s="32"/>
      <c r="I567" s="32"/>
      <c r="J567" s="32"/>
      <c r="K567" s="32"/>
      <c r="L567" s="32"/>
      <c r="M567" s="32"/>
      <c r="N567" s="32"/>
      <c r="O567" s="32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9"/>
      <c r="AB567" s="19"/>
    </row>
    <row r="568" spans="1:28" ht="30">
      <c r="A568" s="112" t="s">
        <v>1196</v>
      </c>
      <c r="B568" s="117">
        <v>1</v>
      </c>
      <c r="C568" s="117">
        <v>0</v>
      </c>
      <c r="D568" s="117" t="s">
        <v>519</v>
      </c>
      <c r="E568" s="112" t="s">
        <v>1197</v>
      </c>
      <c r="F568" s="117">
        <v>7703153032104</v>
      </c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 spans="1:28" ht="30">
      <c r="A569" s="16" t="s">
        <v>1198</v>
      </c>
      <c r="B569" s="18">
        <v>3</v>
      </c>
      <c r="C569" s="184">
        <v>0</v>
      </c>
      <c r="D569" s="17" t="s">
        <v>118</v>
      </c>
      <c r="E569" s="73" t="s">
        <v>1199</v>
      </c>
      <c r="F569" s="18">
        <v>7702184020326</v>
      </c>
    </row>
    <row r="570" spans="1:28">
      <c r="A570" s="28" t="s">
        <v>1200</v>
      </c>
      <c r="B570" s="8">
        <v>2</v>
      </c>
      <c r="C570" s="9">
        <v>0</v>
      </c>
      <c r="D570" s="203" t="s">
        <v>109</v>
      </c>
      <c r="E570" s="28" t="s">
        <v>1201</v>
      </c>
      <c r="F570" s="28">
        <v>7702184020333</v>
      </c>
    </row>
    <row r="571" spans="1:28" ht="15">
      <c r="A571" s="440"/>
      <c r="B571" s="440"/>
      <c r="C571" s="440"/>
      <c r="D571" s="440"/>
      <c r="E571" s="440"/>
      <c r="F571" s="440"/>
      <c r="G571" s="440"/>
      <c r="H571" s="440"/>
      <c r="I571" s="440"/>
      <c r="J571" s="440"/>
      <c r="K571" s="440"/>
      <c r="L571" s="440"/>
      <c r="M571" s="440"/>
      <c r="N571" s="440"/>
      <c r="O571" s="440"/>
      <c r="P571" s="440"/>
      <c r="Q571" s="440"/>
      <c r="R571" s="440"/>
      <c r="S571" s="440"/>
      <c r="T571" s="440"/>
      <c r="U571" s="440"/>
      <c r="V571" s="440"/>
      <c r="W571" s="440"/>
      <c r="X571" s="440"/>
      <c r="Y571" s="440"/>
      <c r="Z571" s="440"/>
      <c r="AA571" s="440"/>
      <c r="AB571" s="440"/>
    </row>
    <row r="572" spans="1:28" ht="45">
      <c r="A572" s="117" t="s">
        <v>1202</v>
      </c>
      <c r="B572" s="117">
        <v>5</v>
      </c>
      <c r="C572" s="345">
        <v>0</v>
      </c>
      <c r="D572" s="117" t="s">
        <v>91</v>
      </c>
      <c r="E572" s="112" t="s">
        <v>1203</v>
      </c>
      <c r="F572" s="117">
        <v>7709587585025</v>
      </c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 spans="1:28" ht="30">
      <c r="A573" s="117" t="s">
        <v>1204</v>
      </c>
      <c r="B573" s="117">
        <v>1</v>
      </c>
      <c r="C573" s="117">
        <v>0</v>
      </c>
      <c r="D573" s="117" t="s">
        <v>808</v>
      </c>
      <c r="E573" s="112" t="s">
        <v>107</v>
      </c>
      <c r="F573" s="117">
        <v>8904159618401</v>
      </c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</row>
    <row r="574" spans="1:28">
      <c r="A574" s="24" t="s">
        <v>1205</v>
      </c>
      <c r="B574" s="30">
        <v>8</v>
      </c>
      <c r="C574" s="31">
        <v>0</v>
      </c>
      <c r="D574" s="98" t="s">
        <v>476</v>
      </c>
      <c r="E574" s="25" t="s">
        <v>1206</v>
      </c>
      <c r="F574" s="63">
        <v>7702605100866</v>
      </c>
      <c r="Z574" s="23"/>
    </row>
    <row r="575" spans="1:28" ht="15">
      <c r="A575" s="440"/>
      <c r="B575" s="440"/>
      <c r="C575" s="440"/>
      <c r="D575" s="440"/>
      <c r="E575" s="440"/>
      <c r="F575" s="440"/>
      <c r="G575" s="440"/>
      <c r="H575" s="440"/>
      <c r="I575" s="440"/>
      <c r="J575" s="440"/>
      <c r="K575" s="440"/>
      <c r="L575" s="440"/>
      <c r="M575" s="440"/>
      <c r="N575" s="440"/>
      <c r="O575" s="440"/>
      <c r="P575" s="440"/>
      <c r="Q575" s="440"/>
      <c r="R575" s="440"/>
      <c r="S575" s="440"/>
      <c r="T575" s="440"/>
      <c r="U575" s="440"/>
      <c r="V575" s="440"/>
      <c r="W575" s="440"/>
      <c r="X575" s="440"/>
      <c r="Y575" s="440"/>
      <c r="Z575" s="440"/>
      <c r="AA575" s="440"/>
      <c r="AB575" s="440"/>
    </row>
    <row r="576" spans="1:28" ht="30">
      <c r="A576" s="73" t="s">
        <v>259</v>
      </c>
      <c r="B576" s="17">
        <v>3</v>
      </c>
      <c r="C576" s="124">
        <v>0</v>
      </c>
      <c r="D576" s="17" t="s">
        <v>32</v>
      </c>
      <c r="E576" s="35" t="s">
        <v>260</v>
      </c>
      <c r="F576" s="17">
        <v>7702184020319</v>
      </c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23"/>
      <c r="AA576" s="117"/>
      <c r="AB576" s="117"/>
    </row>
    <row r="577" spans="1:28" ht="15">
      <c r="A577" s="440"/>
      <c r="B577" s="440"/>
      <c r="C577" s="440"/>
      <c r="D577" s="440"/>
      <c r="E577" s="440"/>
      <c r="F577" s="440"/>
      <c r="G577" s="440"/>
      <c r="H577" s="440"/>
      <c r="I577" s="440"/>
      <c r="J577" s="440"/>
      <c r="K577" s="440"/>
      <c r="L577" s="440"/>
      <c r="M577" s="440"/>
      <c r="N577" s="440"/>
      <c r="O577" s="440"/>
      <c r="P577" s="440"/>
      <c r="Q577" s="440"/>
      <c r="R577" s="440"/>
      <c r="S577" s="440"/>
      <c r="T577" s="440"/>
      <c r="U577" s="440"/>
      <c r="V577" s="440"/>
      <c r="W577" s="440"/>
      <c r="X577" s="440"/>
      <c r="Y577" s="440"/>
      <c r="Z577" s="440"/>
      <c r="AA577" s="440"/>
      <c r="AB577" s="440"/>
    </row>
    <row r="578" spans="1:28" ht="15">
      <c r="A578" s="22" t="s">
        <v>1207</v>
      </c>
      <c r="B578" s="23">
        <v>1</v>
      </c>
      <c r="C578" s="51">
        <v>0</v>
      </c>
      <c r="D578" s="51" t="s">
        <v>133</v>
      </c>
      <c r="E578" s="39" t="s">
        <v>1208</v>
      </c>
      <c r="F578">
        <v>3594455200469</v>
      </c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8" ht="29.25">
      <c r="A579" s="24" t="s">
        <v>1209</v>
      </c>
      <c r="B579" s="28">
        <v>1</v>
      </c>
      <c r="C579" s="192">
        <v>0</v>
      </c>
      <c r="D579" s="25" t="s">
        <v>1210</v>
      </c>
      <c r="E579" s="24" t="s">
        <v>872</v>
      </c>
      <c r="F579" s="63">
        <v>7896006202516</v>
      </c>
      <c r="G579" s="28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28.5">
      <c r="A580" s="22" t="s">
        <v>1211</v>
      </c>
      <c r="B580" s="41">
        <v>1</v>
      </c>
      <c r="C580" s="269">
        <v>0.19</v>
      </c>
      <c r="D580" s="38" t="s">
        <v>1212</v>
      </c>
      <c r="E580" s="22" t="s">
        <v>1213</v>
      </c>
      <c r="F580" s="22">
        <v>7707397792763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 spans="1:28" ht="15">
      <c r="A581" s="440"/>
      <c r="B581" s="440"/>
      <c r="C581" s="440"/>
      <c r="D581" s="440"/>
      <c r="E581" s="440"/>
      <c r="F581" s="440"/>
      <c r="G581" s="440"/>
      <c r="H581" s="440"/>
      <c r="I581" s="440"/>
      <c r="J581" s="440"/>
      <c r="K581" s="440"/>
      <c r="L581" s="440"/>
      <c r="M581" s="440"/>
      <c r="N581" s="440"/>
      <c r="O581" s="440"/>
      <c r="P581" s="440"/>
      <c r="Q581" s="440"/>
      <c r="R581" s="440"/>
      <c r="S581" s="440"/>
      <c r="T581" s="440"/>
      <c r="U581" s="440"/>
      <c r="V581" s="440"/>
      <c r="W581" s="440"/>
      <c r="X581" s="440"/>
      <c r="Y581" s="440"/>
      <c r="Z581" s="440"/>
      <c r="AA581" s="440"/>
      <c r="AB581" s="440"/>
    </row>
    <row r="582" spans="1:28" ht="30">
      <c r="A582" s="181" t="s">
        <v>688</v>
      </c>
      <c r="B582" s="347">
        <v>2</v>
      </c>
      <c r="C582" s="395">
        <v>0</v>
      </c>
      <c r="D582" s="347" t="s">
        <v>91</v>
      </c>
      <c r="E582" s="181" t="s">
        <v>689</v>
      </c>
      <c r="F582" s="396">
        <v>7707321982093</v>
      </c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9"/>
      <c r="AB582" s="19"/>
    </row>
    <row r="583" spans="1:28" ht="30">
      <c r="A583" s="181" t="s">
        <v>688</v>
      </c>
      <c r="B583" s="347">
        <v>4</v>
      </c>
      <c r="C583" s="395">
        <v>0</v>
      </c>
      <c r="D583" s="347" t="s">
        <v>91</v>
      </c>
      <c r="E583" s="181" t="s">
        <v>689</v>
      </c>
      <c r="F583" s="396">
        <v>7707321982093</v>
      </c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9"/>
      <c r="AB583" s="19"/>
    </row>
    <row r="584" spans="1:28" ht="28.5">
      <c r="A584" t="s">
        <v>1214</v>
      </c>
      <c r="B584" s="39">
        <v>1</v>
      </c>
      <c r="C584" s="40">
        <v>0</v>
      </c>
      <c r="D584" s="39" t="s">
        <v>652</v>
      </c>
      <c r="E584" s="22" t="s">
        <v>653</v>
      </c>
      <c r="F584">
        <v>7703038873167</v>
      </c>
    </row>
    <row r="585" spans="1:28" ht="15">
      <c r="A585" s="16" t="s">
        <v>1215</v>
      </c>
      <c r="B585" s="12">
        <v>1</v>
      </c>
      <c r="C585" s="59">
        <v>0</v>
      </c>
      <c r="D585" s="12" t="s">
        <v>250</v>
      </c>
      <c r="E585" s="18" t="s">
        <v>1216</v>
      </c>
      <c r="F585" s="18">
        <v>7702195300516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57">
      <c r="A586" t="s">
        <v>1217</v>
      </c>
      <c r="B586" s="39">
        <v>1</v>
      </c>
      <c r="C586" s="39">
        <v>0</v>
      </c>
      <c r="D586" s="39" t="s">
        <v>80</v>
      </c>
      <c r="E586" s="22" t="s">
        <v>1218</v>
      </c>
      <c r="F586">
        <v>7506339350890</v>
      </c>
    </row>
    <row r="587" spans="1:28" ht="30">
      <c r="A587" s="53" t="s">
        <v>770</v>
      </c>
      <c r="B587" s="96">
        <v>5</v>
      </c>
      <c r="C587" s="55">
        <v>0</v>
      </c>
      <c r="D587" s="83" t="s">
        <v>85</v>
      </c>
      <c r="E587" s="152" t="s">
        <v>165</v>
      </c>
      <c r="F587" s="155">
        <v>7501033957369</v>
      </c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28.5">
      <c r="A588" t="s">
        <v>1219</v>
      </c>
      <c r="B588" s="39">
        <v>1</v>
      </c>
      <c r="C588" s="39">
        <v>0</v>
      </c>
      <c r="D588" s="39" t="s">
        <v>59</v>
      </c>
      <c r="E588" s="22" t="s">
        <v>573</v>
      </c>
      <c r="F588">
        <v>7702184012093</v>
      </c>
    </row>
    <row r="589" spans="1:28" ht="30">
      <c r="A589" s="18" t="s">
        <v>1220</v>
      </c>
      <c r="B589" s="32">
        <v>2</v>
      </c>
      <c r="C589" s="72">
        <v>0</v>
      </c>
      <c r="D589" s="72" t="s">
        <v>747</v>
      </c>
      <c r="E589" s="16" t="s">
        <v>1221</v>
      </c>
      <c r="F589" s="18">
        <v>7702195873256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17"/>
      <c r="AB589" s="117"/>
    </row>
    <row r="590" spans="1:28" ht="30">
      <c r="A590" s="16" t="s">
        <v>1222</v>
      </c>
      <c r="B590" s="32">
        <v>5</v>
      </c>
      <c r="C590" s="422">
        <v>0</v>
      </c>
      <c r="D590" s="422" t="s">
        <v>91</v>
      </c>
      <c r="E590" s="16" t="s">
        <v>1223</v>
      </c>
      <c r="F590" s="18">
        <v>7703197053059</v>
      </c>
      <c r="G590" s="21"/>
      <c r="H590" s="21"/>
      <c r="I590" s="21"/>
      <c r="J590" s="21"/>
      <c r="K590" s="21"/>
      <c r="L590" s="21"/>
      <c r="M590" s="21"/>
      <c r="N590" s="21"/>
      <c r="O590" s="21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28.5">
      <c r="A591" s="22" t="s">
        <v>1224</v>
      </c>
      <c r="B591" s="39">
        <v>1</v>
      </c>
      <c r="C591" s="40">
        <v>0</v>
      </c>
      <c r="D591" s="39" t="s">
        <v>519</v>
      </c>
      <c r="E591" t="s">
        <v>1225</v>
      </c>
      <c r="F591">
        <v>7707173600459</v>
      </c>
    </row>
    <row r="592" spans="1:28" ht="15">
      <c r="A592" s="440"/>
      <c r="B592" s="440"/>
      <c r="C592" s="440"/>
      <c r="D592" s="440"/>
      <c r="E592" s="440"/>
      <c r="F592" s="440"/>
      <c r="G592" s="440"/>
      <c r="H592" s="440"/>
      <c r="I592" s="440"/>
      <c r="J592" s="440"/>
      <c r="K592" s="440"/>
      <c r="L592" s="440"/>
      <c r="M592" s="440"/>
      <c r="N592" s="440"/>
      <c r="O592" s="440"/>
      <c r="P592" s="440"/>
      <c r="Q592" s="440"/>
      <c r="R592" s="440"/>
      <c r="S592" s="440"/>
      <c r="T592" s="440"/>
      <c r="U592" s="440"/>
      <c r="V592" s="440"/>
      <c r="W592" s="440"/>
      <c r="X592" s="440"/>
      <c r="Y592" s="440"/>
      <c r="Z592" s="440"/>
      <c r="AA592" s="440"/>
      <c r="AB592" s="440"/>
    </row>
    <row r="593" spans="1:28" ht="15">
      <c r="A593" s="53" t="s">
        <v>1226</v>
      </c>
      <c r="B593" s="53">
        <v>1</v>
      </c>
      <c r="C593" s="55">
        <v>0</v>
      </c>
      <c r="D593" s="225" t="s">
        <v>191</v>
      </c>
      <c r="E593" s="53" t="s">
        <v>1227</v>
      </c>
      <c r="F593" s="53">
        <v>7703546043601</v>
      </c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23"/>
      <c r="AA593" s="117"/>
      <c r="AB593" s="117"/>
    </row>
    <row r="594" spans="1:28" ht="15">
      <c r="A594" s="53" t="s">
        <v>1226</v>
      </c>
      <c r="B594" s="53">
        <v>1</v>
      </c>
      <c r="C594" s="55">
        <v>0</v>
      </c>
      <c r="D594" s="225" t="s">
        <v>191</v>
      </c>
      <c r="E594" s="53" t="s">
        <v>1227</v>
      </c>
      <c r="F594" s="53">
        <v>7703546043601</v>
      </c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23"/>
      <c r="AA594" s="117"/>
      <c r="AB594" s="117"/>
    </row>
    <row r="595" spans="1:28" ht="15">
      <c r="A595" s="24" t="s">
        <v>1228</v>
      </c>
      <c r="B595" s="30">
        <v>1</v>
      </c>
      <c r="C595" s="31">
        <v>0</v>
      </c>
      <c r="D595" s="30" t="s">
        <v>1229</v>
      </c>
      <c r="E595" s="8" t="s">
        <v>116</v>
      </c>
      <c r="F595" s="28">
        <v>7702605109128</v>
      </c>
      <c r="AA595" s="117"/>
    </row>
    <row r="596" spans="1:28" ht="30">
      <c r="A596" s="74" t="s">
        <v>1230</v>
      </c>
      <c r="B596" s="74">
        <v>1</v>
      </c>
      <c r="C596" s="75">
        <v>0</v>
      </c>
      <c r="D596" s="74" t="s">
        <v>497</v>
      </c>
      <c r="E596" s="76" t="s">
        <v>1231</v>
      </c>
      <c r="F596" s="372">
        <v>7707232095608</v>
      </c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117"/>
      <c r="AA596" s="117"/>
      <c r="AB596" s="117"/>
    </row>
    <row r="597" spans="1:28" ht="30">
      <c r="A597" s="112" t="s">
        <v>1232</v>
      </c>
      <c r="B597" s="112">
        <v>1</v>
      </c>
      <c r="C597" s="350">
        <v>0.19</v>
      </c>
      <c r="D597" s="351" t="s">
        <v>1233</v>
      </c>
      <c r="E597" s="112" t="s">
        <v>1234</v>
      </c>
      <c r="F597" s="112">
        <v>7896009498091</v>
      </c>
      <c r="G597" s="112"/>
      <c r="H597" s="112"/>
      <c r="I597" s="112"/>
      <c r="J597" s="112"/>
      <c r="K597" s="112"/>
      <c r="L597" s="112"/>
      <c r="M597" s="112"/>
      <c r="N597" s="112"/>
      <c r="O597" s="112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 spans="1:28" ht="29.25">
      <c r="A598" s="22" t="s">
        <v>1235</v>
      </c>
      <c r="B598">
        <v>1</v>
      </c>
      <c r="C598" s="133">
        <v>0</v>
      </c>
      <c r="D598" s="183" t="s">
        <v>1236</v>
      </c>
      <c r="E598" t="s">
        <v>1237</v>
      </c>
      <c r="F598">
        <v>7702027044090</v>
      </c>
      <c r="AB598" s="19"/>
    </row>
    <row r="599" spans="1:28" ht="28.5">
      <c r="A599" t="s">
        <v>1238</v>
      </c>
      <c r="B599" s="39">
        <v>1</v>
      </c>
      <c r="C599" s="40">
        <v>0.19</v>
      </c>
      <c r="D599" s="39" t="s">
        <v>348</v>
      </c>
      <c r="E599" s="22" t="s">
        <v>1162</v>
      </c>
      <c r="F599">
        <v>650240062063</v>
      </c>
    </row>
    <row r="600" spans="1:28" ht="28.5">
      <c r="A600" s="24" t="s">
        <v>1239</v>
      </c>
      <c r="B600" s="30">
        <v>1</v>
      </c>
      <c r="C600" s="30">
        <v>0</v>
      </c>
      <c r="D600" s="30" t="s">
        <v>1240</v>
      </c>
      <c r="E600" s="24" t="s">
        <v>1241</v>
      </c>
      <c r="F600" s="63">
        <v>7706142707113</v>
      </c>
    </row>
    <row r="601" spans="1:28" ht="15">
      <c r="A601" s="440"/>
      <c r="B601" s="440"/>
      <c r="C601" s="440"/>
      <c r="D601" s="440"/>
      <c r="E601" s="440"/>
      <c r="F601" s="440"/>
      <c r="G601" s="440"/>
      <c r="H601" s="440"/>
      <c r="I601" s="440"/>
      <c r="J601" s="440"/>
      <c r="K601" s="440"/>
      <c r="L601" s="440"/>
      <c r="M601" s="440"/>
      <c r="N601" s="440"/>
      <c r="O601" s="440"/>
      <c r="P601" s="440"/>
      <c r="Q601" s="440"/>
      <c r="R601" s="440"/>
      <c r="S601" s="440"/>
      <c r="T601" s="440"/>
      <c r="U601" s="440"/>
      <c r="V601" s="440"/>
      <c r="W601" s="440"/>
      <c r="X601" s="440"/>
      <c r="Y601" s="440"/>
      <c r="Z601" s="440"/>
      <c r="AA601" s="440"/>
      <c r="AB601" s="440"/>
    </row>
    <row r="602" spans="1:28">
      <c r="A602" s="22" t="s">
        <v>1242</v>
      </c>
      <c r="B602" s="23">
        <v>1</v>
      </c>
      <c r="C602" s="238"/>
      <c r="D602" s="50" t="s">
        <v>1243</v>
      </c>
      <c r="E602" t="s">
        <v>1244</v>
      </c>
      <c r="F602">
        <v>7706263200364</v>
      </c>
    </row>
    <row r="603" spans="1:28" ht="15">
      <c r="A603" s="96" t="s">
        <v>550</v>
      </c>
      <c r="B603" s="96">
        <v>2</v>
      </c>
      <c r="C603" s="97">
        <v>0.19</v>
      </c>
      <c r="D603" s="96" t="s">
        <v>7</v>
      </c>
      <c r="E603" s="152" t="s">
        <v>551</v>
      </c>
      <c r="F603" s="96">
        <v>7701684000043</v>
      </c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 spans="1:28" ht="29.25">
      <c r="A604" s="24" t="s">
        <v>1209</v>
      </c>
      <c r="B604" s="28">
        <v>1</v>
      </c>
      <c r="C604" s="192">
        <v>0</v>
      </c>
      <c r="D604" s="25" t="s">
        <v>1210</v>
      </c>
      <c r="E604" s="24" t="s">
        <v>872</v>
      </c>
      <c r="F604" s="63">
        <v>7896006202516</v>
      </c>
      <c r="G604" s="28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28.5">
      <c r="A605" t="s">
        <v>1245</v>
      </c>
      <c r="B605" s="39">
        <v>1</v>
      </c>
      <c r="C605" s="39">
        <v>0</v>
      </c>
      <c r="D605" s="39" t="s">
        <v>10</v>
      </c>
      <c r="E605" s="22" t="s">
        <v>107</v>
      </c>
      <c r="F605">
        <v>7703258113340</v>
      </c>
    </row>
    <row r="606" spans="1:28" ht="15">
      <c r="A606" s="440"/>
      <c r="B606" s="440"/>
      <c r="C606" s="440"/>
      <c r="D606" s="440"/>
      <c r="E606" s="440"/>
      <c r="F606" s="440"/>
      <c r="G606" s="440"/>
      <c r="H606" s="440"/>
      <c r="I606" s="440"/>
      <c r="J606" s="440"/>
      <c r="K606" s="440"/>
      <c r="L606" s="440"/>
      <c r="M606" s="440"/>
      <c r="N606" s="440"/>
      <c r="O606" s="440"/>
      <c r="P606" s="440"/>
      <c r="Q606" s="440"/>
      <c r="R606" s="440"/>
      <c r="S606" s="440"/>
      <c r="T606" s="440"/>
      <c r="U606" s="440"/>
      <c r="V606" s="440"/>
      <c r="W606" s="440"/>
      <c r="X606" s="440"/>
      <c r="Y606" s="440"/>
      <c r="Z606" s="440"/>
      <c r="AA606" s="440"/>
      <c r="AB606" s="440"/>
    </row>
    <row r="607" spans="1:28" ht="30">
      <c r="A607" s="43" t="s">
        <v>1186</v>
      </c>
      <c r="B607" s="117">
        <v>1</v>
      </c>
      <c r="C607" s="19">
        <v>0</v>
      </c>
      <c r="D607" s="19" t="s">
        <v>7</v>
      </c>
      <c r="E607" s="43" t="s">
        <v>1187</v>
      </c>
      <c r="F607" s="19">
        <v>7702896136940</v>
      </c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5">
      <c r="A608" t="s">
        <v>1246</v>
      </c>
      <c r="B608" s="39">
        <v>2</v>
      </c>
      <c r="C608" s="140">
        <v>0</v>
      </c>
      <c r="D608" s="23" t="s">
        <v>585</v>
      </c>
      <c r="E608" t="s">
        <v>921</v>
      </c>
      <c r="F608">
        <v>6921875009230</v>
      </c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19"/>
      <c r="AB608" s="19"/>
    </row>
    <row r="609" spans="1:28" ht="15">
      <c r="A609" s="71" t="s">
        <v>1247</v>
      </c>
      <c r="B609" s="71">
        <v>1</v>
      </c>
      <c r="C609" s="206">
        <v>0</v>
      </c>
      <c r="D609" s="14" t="s">
        <v>53</v>
      </c>
      <c r="E609" s="69" t="s">
        <v>1248</v>
      </c>
      <c r="F609" s="71">
        <v>7703038050247</v>
      </c>
      <c r="G609" s="71"/>
      <c r="H609" s="71"/>
      <c r="I609" s="71"/>
      <c r="J609" s="71"/>
      <c r="K609" s="71"/>
      <c r="L609" s="71"/>
      <c r="M609" s="71"/>
      <c r="N609" s="71"/>
      <c r="O609" s="71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5">
      <c r="A610" s="56" t="s">
        <v>935</v>
      </c>
      <c r="B610" s="53">
        <v>1</v>
      </c>
      <c r="C610" s="122">
        <v>0</v>
      </c>
      <c r="D610" s="123" t="s">
        <v>109</v>
      </c>
      <c r="E610" s="53" t="s">
        <v>936</v>
      </c>
      <c r="F610" s="53">
        <v>7702896001897</v>
      </c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8" ht="15">
      <c r="A611" s="440"/>
      <c r="B611" s="440"/>
      <c r="C611" s="440"/>
      <c r="D611" s="440"/>
      <c r="E611" s="440"/>
      <c r="F611" s="440"/>
      <c r="G611" s="440"/>
      <c r="H611" s="440"/>
      <c r="I611" s="440"/>
      <c r="J611" s="440"/>
      <c r="K611" s="440"/>
      <c r="L611" s="440"/>
      <c r="M611" s="440"/>
      <c r="N611" s="440"/>
      <c r="O611" s="440"/>
      <c r="P611" s="440"/>
      <c r="Q611" s="440"/>
      <c r="R611" s="440"/>
      <c r="S611" s="440"/>
      <c r="T611" s="440"/>
      <c r="U611" s="440"/>
      <c r="V611" s="440"/>
      <c r="W611" s="440"/>
      <c r="X611" s="440"/>
      <c r="Y611" s="440"/>
      <c r="Z611" s="440"/>
      <c r="AA611" s="440"/>
      <c r="AB611" s="440"/>
    </row>
    <row r="612" spans="1:28">
      <c r="A612" s="12" t="s">
        <v>1249</v>
      </c>
      <c r="B612" s="12">
        <v>1</v>
      </c>
      <c r="C612" s="12">
        <v>0</v>
      </c>
      <c r="D612" s="111" t="s">
        <v>32</v>
      </c>
      <c r="E612" s="12" t="s">
        <v>639</v>
      </c>
      <c r="F612" s="12">
        <v>7701684000715</v>
      </c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8" ht="42.75">
      <c r="A613" t="s">
        <v>1250</v>
      </c>
      <c r="B613">
        <v>1</v>
      </c>
      <c r="C613" s="133">
        <v>0</v>
      </c>
      <c r="D613" t="s">
        <v>68</v>
      </c>
      <c r="E613" s="22" t="s">
        <v>1251</v>
      </c>
      <c r="F613">
        <v>7703381000463</v>
      </c>
    </row>
    <row r="614" spans="1:28" ht="30">
      <c r="A614" s="32" t="s">
        <v>1252</v>
      </c>
      <c r="B614" s="32">
        <v>2</v>
      </c>
      <c r="C614" s="72">
        <v>0</v>
      </c>
      <c r="D614" s="32" t="s">
        <v>88</v>
      </c>
      <c r="E614" s="73" t="s">
        <v>1253</v>
      </c>
      <c r="F614" s="32">
        <v>7441026003348</v>
      </c>
      <c r="G614" s="74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 spans="1:28" ht="30">
      <c r="A615" s="76" t="s">
        <v>1254</v>
      </c>
      <c r="B615" s="74">
        <v>3</v>
      </c>
      <c r="C615" s="75">
        <v>0</v>
      </c>
      <c r="D615" s="91" t="s">
        <v>74</v>
      </c>
      <c r="E615" s="76" t="s">
        <v>1255</v>
      </c>
      <c r="F615" s="74">
        <v>7707172685778</v>
      </c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9"/>
      <c r="AB615" s="19"/>
    </row>
    <row r="616" spans="1:28" ht="28.5">
      <c r="A616" s="141" t="s">
        <v>1256</v>
      </c>
      <c r="B616" s="141">
        <v>1</v>
      </c>
      <c r="C616" s="236">
        <v>0</v>
      </c>
      <c r="D616" s="237" t="s">
        <v>1257</v>
      </c>
      <c r="E616" s="146" t="s">
        <v>1258</v>
      </c>
      <c r="F616" s="160">
        <v>7707239270022</v>
      </c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8" ht="28.5">
      <c r="A617" s="141" t="s">
        <v>1259</v>
      </c>
      <c r="B617" s="141">
        <v>1</v>
      </c>
      <c r="C617" s="236">
        <v>0</v>
      </c>
      <c r="D617" s="237" t="s">
        <v>458</v>
      </c>
      <c r="E617" s="146" t="s">
        <v>1260</v>
      </c>
      <c r="F617" s="160">
        <v>7707239275829</v>
      </c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8" ht="15">
      <c r="A618" s="19" t="s">
        <v>303</v>
      </c>
      <c r="B618" s="117">
        <v>1</v>
      </c>
      <c r="C618" s="19">
        <v>0</v>
      </c>
      <c r="D618" s="19" t="s">
        <v>1261</v>
      </c>
      <c r="E618" s="19" t="s">
        <v>305</v>
      </c>
      <c r="F618" s="19">
        <v>7707350411069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28.5">
      <c r="A619" s="28" t="s">
        <v>1262</v>
      </c>
      <c r="B619" s="8">
        <v>1</v>
      </c>
      <c r="C619" s="8">
        <v>0</v>
      </c>
      <c r="D619" s="8" t="s">
        <v>191</v>
      </c>
      <c r="E619" s="24" t="s">
        <v>1263</v>
      </c>
      <c r="F619" s="63">
        <v>7702057168056</v>
      </c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8" ht="15">
      <c r="A620" s="440"/>
      <c r="B620" s="440"/>
      <c r="C620" s="440"/>
      <c r="D620" s="440"/>
      <c r="E620" s="440"/>
      <c r="F620" s="440"/>
      <c r="G620" s="440"/>
      <c r="H620" s="440"/>
      <c r="I620" s="440"/>
      <c r="J620" s="440"/>
      <c r="K620" s="440"/>
      <c r="L620" s="440"/>
      <c r="M620" s="440"/>
      <c r="N620" s="440"/>
      <c r="O620" s="440"/>
      <c r="P620" s="440"/>
      <c r="Q620" s="440"/>
      <c r="R620" s="440"/>
      <c r="S620" s="440"/>
      <c r="T620" s="440"/>
      <c r="U620" s="440"/>
      <c r="V620" s="440"/>
      <c r="W620" s="440"/>
      <c r="X620" s="440"/>
      <c r="Y620" s="440"/>
      <c r="Z620" s="440"/>
      <c r="AA620" s="440"/>
      <c r="AB620" s="440"/>
    </row>
    <row r="621" spans="1:28" ht="29.25">
      <c r="A621" s="24" t="s">
        <v>1264</v>
      </c>
      <c r="B621" s="28">
        <v>12</v>
      </c>
      <c r="C621" s="31">
        <v>0.19</v>
      </c>
      <c r="D621" s="99" t="s">
        <v>7</v>
      </c>
      <c r="E621" s="24" t="s">
        <v>1265</v>
      </c>
      <c r="F621" s="28">
        <v>7707202224281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19"/>
      <c r="AA621" s="19"/>
      <c r="AB621" s="19"/>
    </row>
    <row r="622" spans="1:28" ht="28.5">
      <c r="A622" s="24" t="s">
        <v>1266</v>
      </c>
      <c r="B622" s="28">
        <v>1</v>
      </c>
      <c r="C622" s="105">
        <v>0.19</v>
      </c>
      <c r="D622" s="99" t="s">
        <v>1267</v>
      </c>
      <c r="E622" s="24" t="s">
        <v>1268</v>
      </c>
      <c r="F622" s="63">
        <v>7707280395095</v>
      </c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 spans="1:28" ht="28.5">
      <c r="A623" s="22" t="s">
        <v>1269</v>
      </c>
      <c r="B623">
        <v>4</v>
      </c>
      <c r="C623" s="133">
        <v>0.19</v>
      </c>
      <c r="D623" s="50" t="s">
        <v>1270</v>
      </c>
      <c r="E623" t="s">
        <v>1271</v>
      </c>
      <c r="F623" s="42">
        <v>7707280392001</v>
      </c>
    </row>
    <row r="624" spans="1:28" ht="15">
      <c r="A624" s="440"/>
      <c r="B624" s="440"/>
      <c r="C624" s="440"/>
      <c r="D624" s="440"/>
      <c r="E624" s="440"/>
      <c r="F624" s="440"/>
      <c r="G624" s="440"/>
      <c r="H624" s="440"/>
      <c r="I624" s="440"/>
      <c r="J624" s="440"/>
      <c r="K624" s="440"/>
      <c r="L624" s="440"/>
      <c r="M624" s="440"/>
      <c r="N624" s="440"/>
      <c r="O624" s="440"/>
      <c r="P624" s="440"/>
      <c r="Q624" s="440"/>
      <c r="R624" s="440"/>
      <c r="S624" s="440"/>
      <c r="T624" s="440"/>
      <c r="U624" s="440"/>
      <c r="V624" s="440"/>
      <c r="W624" s="440"/>
      <c r="X624" s="440"/>
      <c r="Y624" s="440"/>
      <c r="Z624" s="440"/>
      <c r="AA624" s="440"/>
      <c r="AB624" s="440"/>
    </row>
    <row r="625" spans="1:28" ht="28.5">
      <c r="A625" s="272" t="s">
        <v>508</v>
      </c>
      <c r="B625" s="71">
        <v>50</v>
      </c>
      <c r="C625" s="105">
        <v>0</v>
      </c>
      <c r="D625" s="14" t="s">
        <v>1272</v>
      </c>
      <c r="E625" s="13" t="s">
        <v>280</v>
      </c>
      <c r="F625" s="61">
        <v>7702195116964</v>
      </c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8" ht="15">
      <c r="A626" s="440"/>
      <c r="B626" s="440"/>
      <c r="C626" s="440"/>
      <c r="D626" s="440"/>
      <c r="E626" s="440"/>
      <c r="F626" s="440"/>
      <c r="G626" s="440"/>
      <c r="H626" s="440"/>
      <c r="I626" s="440"/>
      <c r="J626" s="440"/>
      <c r="K626" s="440"/>
      <c r="L626" s="440"/>
      <c r="M626" s="440"/>
      <c r="N626" s="440"/>
      <c r="O626" s="440"/>
      <c r="P626" s="440"/>
      <c r="Q626" s="440"/>
      <c r="R626" s="440"/>
      <c r="S626" s="440"/>
      <c r="T626" s="440"/>
      <c r="U626" s="440"/>
      <c r="V626" s="440"/>
      <c r="W626" s="440"/>
      <c r="X626" s="440"/>
      <c r="Y626" s="440"/>
      <c r="Z626" s="440"/>
      <c r="AA626" s="440"/>
      <c r="AB626" s="4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48"/>
  <sheetViews>
    <sheetView topLeftCell="A738" workbookViewId="0">
      <pane xSplit="1" topLeftCell="B1" activePane="topRight" state="frozen"/>
      <selection pane="topRight" activeCell="A2" sqref="A2:F747"/>
    </sheetView>
  </sheetViews>
  <sheetFormatPr baseColWidth="10" defaultColWidth="9.125" defaultRowHeight="15"/>
  <cols>
    <col min="1" max="1" width="52.75" style="19" customWidth="1"/>
    <col min="2" max="2" width="19.125" style="117" customWidth="1"/>
    <col min="3" max="4" width="19.125" style="19" customWidth="1"/>
    <col min="5" max="5" width="30.375" style="19" customWidth="1"/>
    <col min="6" max="6" width="19.125" style="19" customWidth="1"/>
    <col min="7" max="16384" width="9.125" style="19"/>
  </cols>
  <sheetData>
    <row r="1" spans="1:28" s="418" customFormat="1" ht="32.25" customHeight="1">
      <c r="A1" s="412" t="s">
        <v>0</v>
      </c>
      <c r="B1" s="439" t="s">
        <v>1</v>
      </c>
      <c r="C1" s="414" t="s">
        <v>2</v>
      </c>
      <c r="D1" s="414" t="s">
        <v>3</v>
      </c>
      <c r="E1" s="413" t="s">
        <v>4</v>
      </c>
      <c r="F1" s="415" t="s">
        <v>5</v>
      </c>
      <c r="G1" s="416"/>
      <c r="H1" s="416"/>
      <c r="I1" s="416"/>
      <c r="J1" s="416"/>
      <c r="K1" s="416"/>
      <c r="L1" s="416"/>
      <c r="M1" s="416"/>
      <c r="N1" s="416"/>
      <c r="O1" s="416"/>
      <c r="P1" s="417"/>
    </row>
    <row r="2" spans="1:28" ht="30">
      <c r="A2" s="53" t="s">
        <v>1273</v>
      </c>
      <c r="B2" s="96">
        <v>1</v>
      </c>
      <c r="C2" s="55">
        <v>0</v>
      </c>
      <c r="D2" s="153" t="s">
        <v>1274</v>
      </c>
      <c r="E2" s="56" t="s">
        <v>1275</v>
      </c>
      <c r="F2" s="53">
        <v>7702057077273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117"/>
    </row>
    <row r="3" spans="1:28">
      <c r="A3" s="45" t="s">
        <v>1276</v>
      </c>
      <c r="B3" s="74">
        <v>1</v>
      </c>
      <c r="C3" s="164">
        <v>0</v>
      </c>
      <c r="D3" s="349" t="s">
        <v>318</v>
      </c>
      <c r="E3" s="228" t="s">
        <v>1277</v>
      </c>
      <c r="F3" s="77">
        <v>3582910009900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8">
      <c r="A4" s="45" t="s">
        <v>1278</v>
      </c>
      <c r="B4" s="74">
        <v>1</v>
      </c>
      <c r="C4" s="177">
        <v>0.19</v>
      </c>
      <c r="D4" s="329" t="s">
        <v>1279</v>
      </c>
      <c r="E4" s="21" t="s">
        <v>1280</v>
      </c>
      <c r="F4" s="21">
        <v>7702277610137</v>
      </c>
      <c r="G4" s="21"/>
    </row>
    <row r="5" spans="1:28">
      <c r="A5" s="45" t="s">
        <v>1281</v>
      </c>
      <c r="B5" s="74">
        <v>2</v>
      </c>
      <c r="C5" s="177">
        <v>0.19</v>
      </c>
      <c r="D5" s="329" t="s">
        <v>1282</v>
      </c>
      <c r="E5" s="21" t="s">
        <v>1283</v>
      </c>
      <c r="F5" s="21">
        <v>7702277509554</v>
      </c>
      <c r="G5" s="21"/>
    </row>
    <row r="6" spans="1:28" ht="30">
      <c r="A6" s="117" t="s">
        <v>627</v>
      </c>
      <c r="B6" s="117">
        <v>1</v>
      </c>
      <c r="C6" s="345">
        <v>0.19</v>
      </c>
      <c r="D6" s="117" t="s">
        <v>26</v>
      </c>
      <c r="E6" s="112" t="s">
        <v>628</v>
      </c>
      <c r="F6" s="117">
        <v>8411135009677</v>
      </c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8" ht="30">
      <c r="A7" s="117" t="s">
        <v>1184</v>
      </c>
      <c r="B7" s="117">
        <v>2</v>
      </c>
      <c r="C7" s="117">
        <v>0</v>
      </c>
      <c r="D7" s="117" t="s">
        <v>118</v>
      </c>
      <c r="E7" s="112" t="s">
        <v>1185</v>
      </c>
      <c r="F7" s="117">
        <v>7704175687457</v>
      </c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8" s="418" customFormat="1">
      <c r="B8" s="440"/>
    </row>
    <row r="9" spans="1:28" ht="30">
      <c r="A9" s="16" t="s">
        <v>1284</v>
      </c>
      <c r="B9" s="74">
        <v>1</v>
      </c>
      <c r="C9" s="177">
        <v>0</v>
      </c>
      <c r="D9" s="419" t="s">
        <v>1285</v>
      </c>
      <c r="E9" s="45" t="s">
        <v>1286</v>
      </c>
      <c r="F9" s="46">
        <v>7702605103881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8">
      <c r="A10" s="45" t="s">
        <v>1287</v>
      </c>
      <c r="B10" s="32">
        <v>5</v>
      </c>
      <c r="C10" s="33">
        <v>0</v>
      </c>
      <c r="D10" s="202" t="s">
        <v>625</v>
      </c>
      <c r="E10" s="74" t="s">
        <v>1288</v>
      </c>
      <c r="F10" s="21">
        <v>7707816987145</v>
      </c>
    </row>
    <row r="11" spans="1:28">
      <c r="A11" s="19" t="s">
        <v>1289</v>
      </c>
      <c r="B11" s="117">
        <v>1</v>
      </c>
      <c r="C11" s="208">
        <v>0</v>
      </c>
      <c r="D11" s="37" t="s">
        <v>68</v>
      </c>
      <c r="E11" s="19" t="s">
        <v>1290</v>
      </c>
      <c r="F11" s="19">
        <v>7707016401014</v>
      </c>
    </row>
    <row r="12" spans="1:28" s="418" customFormat="1">
      <c r="B12" s="440"/>
    </row>
    <row r="13" spans="1:28">
      <c r="A13" s="117" t="s">
        <v>9</v>
      </c>
      <c r="B13" s="74">
        <v>4</v>
      </c>
      <c r="C13" s="75">
        <v>0</v>
      </c>
      <c r="D13" s="336" t="s">
        <v>10</v>
      </c>
      <c r="E13" s="76" t="s">
        <v>11</v>
      </c>
      <c r="F13" s="74">
        <v>7703689317386</v>
      </c>
      <c r="G13" s="74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8">
      <c r="A14" s="418"/>
      <c r="B14" s="440"/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8"/>
      <c r="T14" s="418"/>
      <c r="U14" s="418"/>
      <c r="V14" s="418"/>
      <c r="W14" s="418"/>
      <c r="X14" s="418"/>
      <c r="Y14" s="418"/>
      <c r="Z14" s="418"/>
      <c r="AA14" s="418"/>
      <c r="AB14" s="418"/>
    </row>
    <row r="15" spans="1:28">
      <c r="A15" s="45" t="s">
        <v>1291</v>
      </c>
      <c r="B15" s="117">
        <v>1</v>
      </c>
      <c r="C15" s="177">
        <v>0.19</v>
      </c>
      <c r="D15" s="329" t="s">
        <v>1292</v>
      </c>
      <c r="E15" s="21" t="s">
        <v>1283</v>
      </c>
      <c r="F15" s="21">
        <v>7702277963752</v>
      </c>
      <c r="G15" s="21"/>
      <c r="AA15" s="117"/>
      <c r="AB15" s="117"/>
    </row>
    <row r="16" spans="1:28">
      <c r="A16" s="117" t="s">
        <v>568</v>
      </c>
      <c r="B16" s="117">
        <v>2</v>
      </c>
      <c r="C16" s="345">
        <v>0</v>
      </c>
      <c r="D16" s="345" t="s">
        <v>569</v>
      </c>
      <c r="E16" s="117" t="s">
        <v>570</v>
      </c>
      <c r="F16" s="117">
        <v>751273778140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8">
      <c r="A17" s="418"/>
      <c r="B17" s="440"/>
      <c r="C17" s="418"/>
      <c r="D17" s="418"/>
      <c r="E17" s="418"/>
      <c r="F17" s="418"/>
      <c r="G17" s="418"/>
      <c r="H17" s="418"/>
      <c r="I17" s="418"/>
      <c r="J17" s="418"/>
      <c r="K17" s="418"/>
      <c r="L17" s="418"/>
      <c r="M17" s="418"/>
      <c r="N17" s="418"/>
      <c r="O17" s="418"/>
      <c r="P17" s="418"/>
      <c r="Q17" s="418"/>
      <c r="R17" s="418"/>
      <c r="S17" s="418"/>
      <c r="T17" s="418"/>
      <c r="U17" s="418"/>
      <c r="V17" s="418"/>
      <c r="W17" s="418"/>
      <c r="X17" s="418"/>
      <c r="Y17" s="418"/>
      <c r="Z17" s="418"/>
      <c r="AA17" s="418"/>
      <c r="AB17" s="418"/>
    </row>
    <row r="18" spans="1:28" ht="30">
      <c r="A18" s="73" t="s">
        <v>1193</v>
      </c>
      <c r="B18" s="32">
        <v>2</v>
      </c>
      <c r="C18" s="124">
        <v>0</v>
      </c>
      <c r="D18" s="204" t="s">
        <v>1293</v>
      </c>
      <c r="E18" s="73" t="s">
        <v>1195</v>
      </c>
      <c r="F18" s="32">
        <v>7702057018054</v>
      </c>
      <c r="G18" s="32"/>
      <c r="H18" s="32"/>
      <c r="I18" s="32"/>
      <c r="J18" s="32"/>
      <c r="K18" s="32"/>
      <c r="L18" s="32"/>
      <c r="M18" s="32"/>
      <c r="N18" s="32"/>
      <c r="O18" s="32"/>
    </row>
    <row r="19" spans="1:28" ht="30">
      <c r="A19" s="200" t="s">
        <v>1061</v>
      </c>
      <c r="B19" s="200">
        <v>2</v>
      </c>
      <c r="C19" s="198">
        <v>0</v>
      </c>
      <c r="D19" s="197" t="s">
        <v>1062</v>
      </c>
      <c r="E19" s="195" t="s">
        <v>1063</v>
      </c>
      <c r="F19" s="420">
        <v>7702195086748</v>
      </c>
    </row>
    <row r="20" spans="1:28">
      <c r="A20" s="418"/>
      <c r="B20" s="440"/>
      <c r="C20" s="418"/>
      <c r="D20" s="418"/>
      <c r="E20" s="418"/>
      <c r="F20" s="418"/>
      <c r="G20" s="418"/>
      <c r="H20" s="418"/>
      <c r="I20" s="418"/>
      <c r="J20" s="418"/>
      <c r="K20" s="418"/>
      <c r="L20" s="418"/>
      <c r="M20" s="418"/>
      <c r="N20" s="418"/>
      <c r="O20" s="418"/>
      <c r="P20" s="418"/>
      <c r="Q20" s="418"/>
      <c r="R20" s="418"/>
      <c r="S20" s="418"/>
      <c r="T20" s="418"/>
      <c r="U20" s="418"/>
      <c r="V20" s="418"/>
      <c r="W20" s="418"/>
      <c r="X20" s="418"/>
      <c r="Y20" s="418"/>
      <c r="Z20" s="418"/>
      <c r="AA20" s="418"/>
      <c r="AB20" s="418"/>
    </row>
    <row r="21" spans="1:28" ht="30">
      <c r="A21" s="195" t="s">
        <v>616</v>
      </c>
      <c r="B21" s="200">
        <v>3</v>
      </c>
      <c r="C21" s="198">
        <v>0</v>
      </c>
      <c r="D21" s="197" t="s">
        <v>1294</v>
      </c>
      <c r="E21" s="195" t="s">
        <v>618</v>
      </c>
      <c r="F21" s="420">
        <v>7702870071465</v>
      </c>
      <c r="G21" s="200"/>
      <c r="H21" s="200"/>
      <c r="I21" s="200"/>
      <c r="J21" s="200"/>
      <c r="K21" s="200"/>
      <c r="L21" s="200"/>
      <c r="M21" s="200"/>
      <c r="N21" s="200"/>
      <c r="O21" s="200"/>
    </row>
    <row r="22" spans="1:28" ht="30">
      <c r="A22" s="76" t="s">
        <v>42</v>
      </c>
      <c r="B22" s="76">
        <v>3</v>
      </c>
      <c r="C22" s="229">
        <v>0</v>
      </c>
      <c r="D22" s="36" t="s">
        <v>1294</v>
      </c>
      <c r="E22" s="228" t="s">
        <v>44</v>
      </c>
      <c r="F22" s="228">
        <v>7702870004425</v>
      </c>
      <c r="G22" s="36"/>
      <c r="H22" s="37"/>
      <c r="I22" s="37"/>
      <c r="J22" s="37"/>
      <c r="K22" s="37"/>
      <c r="L22" s="37"/>
      <c r="M22" s="37"/>
      <c r="N22" s="37"/>
      <c r="O22" s="37"/>
    </row>
    <row r="23" spans="1:28" ht="30">
      <c r="A23" s="19" t="s">
        <v>1295</v>
      </c>
      <c r="B23" s="112">
        <v>1</v>
      </c>
      <c r="C23" s="421">
        <v>0</v>
      </c>
      <c r="D23" s="37" t="s">
        <v>1296</v>
      </c>
      <c r="E23" s="43" t="s">
        <v>1297</v>
      </c>
      <c r="F23" s="43">
        <v>7703038984504</v>
      </c>
    </row>
    <row r="24" spans="1:28">
      <c r="A24" s="73" t="s">
        <v>1298</v>
      </c>
      <c r="B24" s="32">
        <v>4</v>
      </c>
      <c r="C24" s="124">
        <v>0</v>
      </c>
      <c r="D24" s="204" t="s">
        <v>222</v>
      </c>
      <c r="E24" s="35" t="s">
        <v>1299</v>
      </c>
      <c r="F24" s="17">
        <v>7703546028226</v>
      </c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7"/>
    </row>
    <row r="25" spans="1:28">
      <c r="A25" s="73" t="s">
        <v>1298</v>
      </c>
      <c r="B25" s="32">
        <v>1</v>
      </c>
      <c r="C25" s="124">
        <v>0</v>
      </c>
      <c r="D25" s="204" t="s">
        <v>222</v>
      </c>
      <c r="E25" s="35" t="s">
        <v>1299</v>
      </c>
      <c r="F25" s="17">
        <v>7703546028226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7"/>
    </row>
    <row r="26" spans="1:28" ht="30">
      <c r="A26" s="18" t="s">
        <v>1300</v>
      </c>
      <c r="B26" s="32">
        <v>1</v>
      </c>
      <c r="C26" s="124">
        <v>0</v>
      </c>
      <c r="D26" s="204" t="s">
        <v>1301</v>
      </c>
      <c r="E26" s="16" t="s">
        <v>1302</v>
      </c>
      <c r="F26" s="18">
        <v>7707236127640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>
      <c r="A27" s="43" t="s">
        <v>944</v>
      </c>
      <c r="B27" s="117">
        <v>1</v>
      </c>
      <c r="C27" s="114">
        <v>0</v>
      </c>
      <c r="D27" s="114" t="s">
        <v>945</v>
      </c>
      <c r="E27" s="19" t="s">
        <v>946</v>
      </c>
      <c r="F27" s="115">
        <v>7702057091439</v>
      </c>
    </row>
    <row r="28" spans="1:28" ht="30">
      <c r="A28" s="32" t="s">
        <v>120</v>
      </c>
      <c r="B28" s="32">
        <v>5</v>
      </c>
      <c r="C28" s="72">
        <v>0</v>
      </c>
      <c r="D28" s="72" t="s">
        <v>38</v>
      </c>
      <c r="E28" s="73" t="s">
        <v>121</v>
      </c>
      <c r="F28" s="32">
        <v>7501125176548</v>
      </c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8" ht="30">
      <c r="A29" s="74" t="s">
        <v>1303</v>
      </c>
      <c r="B29" s="74">
        <v>1</v>
      </c>
      <c r="C29" s="75">
        <v>0</v>
      </c>
      <c r="D29" s="336" t="s">
        <v>1304</v>
      </c>
      <c r="E29" s="76" t="s">
        <v>1305</v>
      </c>
      <c r="F29" s="74">
        <v>7594002621989</v>
      </c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spans="1:28">
      <c r="A30" s="16" t="s">
        <v>264</v>
      </c>
      <c r="B30" s="32">
        <v>1</v>
      </c>
      <c r="C30" s="55">
        <v>0</v>
      </c>
      <c r="D30" s="225" t="s">
        <v>214</v>
      </c>
      <c r="E30" s="32" t="s">
        <v>265</v>
      </c>
      <c r="F30" s="18">
        <v>7702870071502</v>
      </c>
    </row>
    <row r="31" spans="1:28">
      <c r="A31" s="19" t="s">
        <v>1306</v>
      </c>
      <c r="B31" s="117">
        <v>1</v>
      </c>
      <c r="C31" s="19">
        <v>0</v>
      </c>
      <c r="D31" s="19" t="s">
        <v>59</v>
      </c>
      <c r="E31" s="19" t="s">
        <v>1307</v>
      </c>
      <c r="F31" s="19">
        <v>7703889153661</v>
      </c>
    </row>
    <row r="32" spans="1:28">
      <c r="A32" s="76" t="s">
        <v>1308</v>
      </c>
      <c r="B32" s="76">
        <v>1</v>
      </c>
      <c r="C32" s="229">
        <v>0</v>
      </c>
      <c r="D32" s="285" t="s">
        <v>1309</v>
      </c>
      <c r="E32" s="76" t="s">
        <v>1310</v>
      </c>
      <c r="F32" s="76">
        <v>7703038066637</v>
      </c>
    </row>
    <row r="33" spans="1:28" ht="30">
      <c r="A33" s="73" t="s">
        <v>164</v>
      </c>
      <c r="B33" s="74">
        <v>3</v>
      </c>
      <c r="C33" s="75">
        <v>0</v>
      </c>
      <c r="D33" s="74" t="s">
        <v>85</v>
      </c>
      <c r="E33" s="73" t="s">
        <v>165</v>
      </c>
      <c r="F33" s="379">
        <v>7501033961557</v>
      </c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8" ht="30">
      <c r="A34" s="32" t="s">
        <v>370</v>
      </c>
      <c r="B34" s="74">
        <v>6</v>
      </c>
      <c r="C34" s="75">
        <v>0</v>
      </c>
      <c r="D34" s="336" t="s">
        <v>85</v>
      </c>
      <c r="E34" s="73" t="s">
        <v>165</v>
      </c>
      <c r="F34" s="32">
        <v>7501033957376</v>
      </c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8">
      <c r="A35" s="418"/>
      <c r="B35" s="440"/>
      <c r="C35" s="418"/>
      <c r="D35" s="418"/>
      <c r="E35" s="418"/>
      <c r="F35" s="418"/>
      <c r="G35" s="418"/>
      <c r="H35" s="418"/>
      <c r="I35" s="418"/>
      <c r="J35" s="418"/>
      <c r="K35" s="418"/>
      <c r="L35" s="418"/>
      <c r="M35" s="418"/>
      <c r="N35" s="418"/>
      <c r="O35" s="418"/>
      <c r="P35" s="418"/>
      <c r="Q35" s="418"/>
      <c r="R35" s="418"/>
      <c r="S35" s="418"/>
      <c r="T35" s="418"/>
      <c r="U35" s="418"/>
      <c r="V35" s="418"/>
      <c r="W35" s="418"/>
      <c r="X35" s="418"/>
      <c r="Y35" s="418"/>
      <c r="Z35" s="418"/>
      <c r="AA35" s="418"/>
      <c r="AB35" s="418"/>
    </row>
    <row r="36" spans="1:28" ht="30">
      <c r="A36" s="117" t="s">
        <v>365</v>
      </c>
      <c r="B36" s="117">
        <v>4</v>
      </c>
      <c r="C36" s="345">
        <v>0.19</v>
      </c>
      <c r="D36" s="117" t="s">
        <v>366</v>
      </c>
      <c r="E36" s="112" t="s">
        <v>367</v>
      </c>
      <c r="F36" s="117">
        <v>7707242970575</v>
      </c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</row>
    <row r="37" spans="1:28">
      <c r="A37" s="74" t="s">
        <v>162</v>
      </c>
      <c r="B37" s="74">
        <v>6</v>
      </c>
      <c r="C37" s="75">
        <v>0</v>
      </c>
      <c r="D37" s="74" t="s">
        <v>109</v>
      </c>
      <c r="E37" s="74" t="s">
        <v>163</v>
      </c>
      <c r="F37" s="74">
        <v>7706569001184</v>
      </c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</row>
    <row r="38" spans="1:28">
      <c r="A38" s="117" t="s">
        <v>1132</v>
      </c>
      <c r="B38" s="117">
        <v>6</v>
      </c>
      <c r="C38" s="345">
        <v>0</v>
      </c>
      <c r="D38" s="119" t="s">
        <v>109</v>
      </c>
      <c r="E38" s="112" t="s">
        <v>1133</v>
      </c>
      <c r="F38" s="117">
        <v>7702195061400</v>
      </c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8" ht="30">
      <c r="A39" s="19" t="s">
        <v>1311</v>
      </c>
      <c r="B39" s="117">
        <v>1</v>
      </c>
      <c r="C39" s="126">
        <v>0</v>
      </c>
      <c r="D39" s="19" t="s">
        <v>53</v>
      </c>
      <c r="E39" s="43" t="s">
        <v>83</v>
      </c>
      <c r="F39" s="19">
        <v>7706849115921</v>
      </c>
    </row>
    <row r="40" spans="1:28" ht="30">
      <c r="A40" s="16" t="s">
        <v>1222</v>
      </c>
      <c r="B40" s="32">
        <v>3</v>
      </c>
      <c r="C40" s="422">
        <v>0</v>
      </c>
      <c r="D40" s="422" t="s">
        <v>91</v>
      </c>
      <c r="E40" s="16" t="s">
        <v>1223</v>
      </c>
      <c r="F40" s="18">
        <v>7703197053059</v>
      </c>
      <c r="G40" s="21"/>
      <c r="H40" s="21"/>
      <c r="I40" s="21"/>
      <c r="J40" s="21"/>
      <c r="K40" s="21"/>
      <c r="L40" s="21"/>
      <c r="M40" s="21"/>
      <c r="N40" s="21"/>
      <c r="O40" s="21"/>
    </row>
    <row r="41" spans="1:28" ht="30">
      <c r="A41" s="16" t="s">
        <v>1312</v>
      </c>
      <c r="B41" s="32">
        <v>1</v>
      </c>
      <c r="C41" s="422">
        <v>0</v>
      </c>
      <c r="D41" s="422" t="s">
        <v>112</v>
      </c>
      <c r="E41" s="16" t="s">
        <v>1313</v>
      </c>
      <c r="F41" s="18">
        <v>7703197053141</v>
      </c>
      <c r="G41" s="21"/>
      <c r="H41" s="21"/>
      <c r="I41" s="21"/>
      <c r="J41" s="21"/>
      <c r="K41" s="21"/>
      <c r="L41" s="21"/>
      <c r="M41" s="21"/>
      <c r="N41" s="21"/>
      <c r="O41" s="21"/>
    </row>
    <row r="42" spans="1:28">
      <c r="A42" s="418"/>
      <c r="B42" s="440"/>
      <c r="C42" s="418"/>
      <c r="D42" s="418"/>
      <c r="E42" s="418"/>
      <c r="F42" s="418"/>
      <c r="G42" s="418"/>
      <c r="H42" s="418"/>
      <c r="I42" s="418"/>
      <c r="J42" s="418"/>
      <c r="K42" s="418"/>
      <c r="L42" s="418"/>
      <c r="M42" s="418"/>
      <c r="N42" s="418"/>
      <c r="O42" s="418"/>
      <c r="P42" s="418"/>
      <c r="Q42" s="418"/>
      <c r="R42" s="418"/>
      <c r="S42" s="418"/>
      <c r="T42" s="418"/>
      <c r="U42" s="418"/>
      <c r="V42" s="418"/>
      <c r="W42" s="418"/>
      <c r="X42" s="418"/>
      <c r="Y42" s="418"/>
      <c r="Z42" s="418"/>
      <c r="AA42" s="418"/>
      <c r="AB42" s="418"/>
    </row>
    <row r="43" spans="1:28" ht="30">
      <c r="A43" s="181" t="s">
        <v>688</v>
      </c>
      <c r="B43" s="347">
        <v>6</v>
      </c>
      <c r="C43" s="395">
        <v>0</v>
      </c>
      <c r="D43" s="347" t="s">
        <v>91</v>
      </c>
      <c r="E43" s="181" t="s">
        <v>689</v>
      </c>
      <c r="F43" s="396">
        <v>7707321982093</v>
      </c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8">
      <c r="A44" s="117" t="s">
        <v>1127</v>
      </c>
      <c r="B44" s="117">
        <v>10</v>
      </c>
      <c r="C44" s="117">
        <v>0</v>
      </c>
      <c r="D44" s="117" t="s">
        <v>527</v>
      </c>
      <c r="E44" s="117" t="s">
        <v>228</v>
      </c>
      <c r="F44" s="117">
        <v>8903726322109</v>
      </c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8">
      <c r="A45" s="43" t="s">
        <v>913</v>
      </c>
      <c r="B45" s="117">
        <v>8</v>
      </c>
      <c r="C45" s="423">
        <v>0</v>
      </c>
      <c r="D45" s="424" t="s">
        <v>914</v>
      </c>
      <c r="E45" s="43" t="s">
        <v>915</v>
      </c>
      <c r="F45" s="425">
        <v>7702605102006</v>
      </c>
    </row>
    <row r="46" spans="1:28">
      <c r="A46" s="418"/>
      <c r="B46" s="440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418"/>
      <c r="S46" s="418"/>
      <c r="T46" s="418"/>
      <c r="U46" s="418"/>
      <c r="V46" s="418"/>
      <c r="W46" s="418"/>
      <c r="X46" s="418"/>
      <c r="Y46" s="418"/>
      <c r="Z46" s="418"/>
      <c r="AA46" s="418"/>
      <c r="AB46" s="418"/>
    </row>
    <row r="47" spans="1:28">
      <c r="A47" s="117" t="s">
        <v>284</v>
      </c>
      <c r="B47" s="117">
        <v>8</v>
      </c>
      <c r="C47" s="117">
        <v>0</v>
      </c>
      <c r="D47" s="117" t="s">
        <v>285</v>
      </c>
      <c r="E47" s="117" t="s">
        <v>286</v>
      </c>
      <c r="F47" s="117">
        <v>7702605106523</v>
      </c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8">
      <c r="A48" s="418"/>
      <c r="B48" s="440"/>
      <c r="C48" s="418"/>
      <c r="D48" s="418"/>
      <c r="E48" s="418"/>
      <c r="F48" s="418"/>
      <c r="G48" s="418"/>
      <c r="H48" s="418"/>
      <c r="I48" s="418"/>
      <c r="J48" s="418"/>
      <c r="K48" s="418"/>
      <c r="L48" s="418"/>
      <c r="M48" s="418"/>
      <c r="N48" s="418"/>
      <c r="O48" s="418"/>
      <c r="P48" s="418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  <c r="AB48" s="418"/>
    </row>
    <row r="49" spans="1:28">
      <c r="A49" s="73" t="s">
        <v>55</v>
      </c>
      <c r="B49" s="32">
        <v>1</v>
      </c>
      <c r="C49" s="72">
        <v>0</v>
      </c>
      <c r="D49" s="81" t="s">
        <v>56</v>
      </c>
      <c r="E49" s="32" t="s">
        <v>57</v>
      </c>
      <c r="F49" s="321">
        <v>7709990697889</v>
      </c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117"/>
      <c r="AA49" s="117"/>
      <c r="AB49" s="117"/>
    </row>
    <row r="50" spans="1:28">
      <c r="A50" s="18" t="s">
        <v>90</v>
      </c>
      <c r="B50" s="32">
        <v>2</v>
      </c>
      <c r="C50" s="124">
        <v>0.19</v>
      </c>
      <c r="D50" s="204" t="s">
        <v>91</v>
      </c>
      <c r="E50" s="32" t="s">
        <v>92</v>
      </c>
      <c r="F50" s="20">
        <v>7707277580459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 spans="1:28">
      <c r="A51" s="418"/>
      <c r="B51" s="440"/>
      <c r="C51" s="418"/>
      <c r="D51" s="418"/>
      <c r="E51" s="418"/>
      <c r="F51" s="418"/>
      <c r="G51" s="418"/>
      <c r="H51" s="418"/>
      <c r="I51" s="418"/>
      <c r="J51" s="418"/>
      <c r="K51" s="418"/>
      <c r="L51" s="418"/>
      <c r="M51" s="418"/>
      <c r="N51" s="418"/>
      <c r="O51" s="418"/>
      <c r="P51" s="418"/>
      <c r="Q51" s="418"/>
      <c r="R51" s="418"/>
      <c r="S51" s="418"/>
      <c r="T51" s="418"/>
      <c r="U51" s="418"/>
      <c r="V51" s="418"/>
      <c r="W51" s="418"/>
      <c r="X51" s="418"/>
      <c r="Y51" s="418"/>
      <c r="Z51" s="418"/>
      <c r="AA51" s="418"/>
      <c r="AB51" s="418"/>
    </row>
    <row r="52" spans="1:28">
      <c r="A52" s="76" t="s">
        <v>314</v>
      </c>
      <c r="B52" s="74">
        <v>1</v>
      </c>
      <c r="C52" s="164">
        <v>0</v>
      </c>
      <c r="D52" s="349" t="s">
        <v>315</v>
      </c>
      <c r="E52" s="76" t="s">
        <v>316</v>
      </c>
      <c r="F52" s="46">
        <v>7702057712396</v>
      </c>
    </row>
    <row r="53" spans="1:28" ht="30">
      <c r="A53" s="19" t="s">
        <v>1002</v>
      </c>
      <c r="B53" s="117">
        <v>1</v>
      </c>
      <c r="C53" s="19">
        <v>0</v>
      </c>
      <c r="D53" s="19" t="s">
        <v>546</v>
      </c>
      <c r="E53" s="43" t="s">
        <v>1003</v>
      </c>
      <c r="F53" s="19">
        <v>736085410624</v>
      </c>
    </row>
    <row r="54" spans="1:28" ht="30">
      <c r="A54" s="117" t="s">
        <v>1314</v>
      </c>
      <c r="B54" s="117">
        <v>2</v>
      </c>
      <c r="C54" s="117">
        <v>0</v>
      </c>
      <c r="D54" s="117" t="s">
        <v>747</v>
      </c>
      <c r="E54" s="112" t="s">
        <v>1315</v>
      </c>
      <c r="F54" s="117">
        <v>7703286111752</v>
      </c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</row>
    <row r="55" spans="1:28">
      <c r="A55" s="45" t="s">
        <v>1316</v>
      </c>
      <c r="B55" s="76">
        <v>1</v>
      </c>
      <c r="C55" s="426">
        <v>0.05</v>
      </c>
      <c r="D55" s="427" t="s">
        <v>1317</v>
      </c>
      <c r="E55" s="76" t="s">
        <v>523</v>
      </c>
      <c r="F55" s="77">
        <v>7703006283332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37"/>
    </row>
    <row r="56" spans="1:28" ht="30">
      <c r="A56" s="19" t="s">
        <v>40</v>
      </c>
      <c r="B56" s="117">
        <v>3</v>
      </c>
      <c r="C56" s="19">
        <v>0</v>
      </c>
      <c r="D56" s="19" t="s">
        <v>7</v>
      </c>
      <c r="E56" s="43" t="s">
        <v>41</v>
      </c>
      <c r="F56" s="19">
        <v>7705451000106</v>
      </c>
    </row>
    <row r="57" spans="1:28" ht="30">
      <c r="A57" s="45" t="s">
        <v>1318</v>
      </c>
      <c r="B57" s="74">
        <v>1</v>
      </c>
      <c r="C57" s="75">
        <v>0</v>
      </c>
      <c r="D57" s="336" t="s">
        <v>381</v>
      </c>
      <c r="E57" s="45" t="s">
        <v>1319</v>
      </c>
      <c r="F57" s="21">
        <v>7730698364148</v>
      </c>
      <c r="G57" s="21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8" ht="30">
      <c r="A58" s="43" t="s">
        <v>541</v>
      </c>
      <c r="B58" s="117">
        <v>1</v>
      </c>
      <c r="C58" s="19">
        <v>0</v>
      </c>
      <c r="D58" s="19" t="s">
        <v>68</v>
      </c>
      <c r="E58" s="43" t="s">
        <v>542</v>
      </c>
      <c r="F58" s="19">
        <v>7703283163013</v>
      </c>
    </row>
    <row r="59" spans="1:28" ht="30">
      <c r="A59" s="73" t="s">
        <v>1320</v>
      </c>
      <c r="B59" s="32">
        <v>1</v>
      </c>
      <c r="C59" s="124">
        <v>0</v>
      </c>
      <c r="D59" s="17" t="s">
        <v>68</v>
      </c>
      <c r="E59" s="73" t="s">
        <v>184</v>
      </c>
      <c r="F59" s="32">
        <v>7709990384949</v>
      </c>
    </row>
    <row r="60" spans="1:28">
      <c r="A60" s="418"/>
      <c r="B60" s="440"/>
      <c r="C60" s="418"/>
      <c r="D60" s="418"/>
      <c r="E60" s="418"/>
      <c r="F60" s="418"/>
      <c r="G60" s="418"/>
      <c r="H60" s="418"/>
      <c r="I60" s="418"/>
      <c r="J60" s="418"/>
      <c r="K60" s="418"/>
      <c r="L60" s="418"/>
      <c r="M60" s="418"/>
      <c r="N60" s="418"/>
      <c r="O60" s="418"/>
      <c r="P60" s="418"/>
      <c r="Q60" s="418"/>
      <c r="R60" s="418"/>
      <c r="S60" s="418"/>
      <c r="T60" s="418"/>
      <c r="U60" s="418"/>
      <c r="V60" s="418"/>
      <c r="W60" s="418"/>
      <c r="X60" s="418"/>
      <c r="Y60" s="418"/>
      <c r="Z60" s="418"/>
      <c r="AA60" s="418"/>
      <c r="AB60" s="418"/>
    </row>
    <row r="61" spans="1:28">
      <c r="A61" s="73" t="s">
        <v>1321</v>
      </c>
      <c r="B61" s="32">
        <v>1</v>
      </c>
      <c r="C61" s="124">
        <v>0</v>
      </c>
      <c r="D61" s="17" t="s">
        <v>1322</v>
      </c>
      <c r="E61" s="35" t="s">
        <v>1323</v>
      </c>
      <c r="F61" s="17">
        <v>7702132009656</v>
      </c>
      <c r="G61" s="3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spans="1:28" ht="30">
      <c r="A62" s="19" t="s">
        <v>1324</v>
      </c>
      <c r="B62" s="117">
        <v>1</v>
      </c>
      <c r="C62" s="19">
        <v>0</v>
      </c>
      <c r="D62" s="19" t="s">
        <v>1325</v>
      </c>
      <c r="E62" s="43" t="s">
        <v>1326</v>
      </c>
      <c r="F62" s="19">
        <v>7705028567063</v>
      </c>
    </row>
    <row r="63" spans="1:28">
      <c r="A63" s="195" t="s">
        <v>475</v>
      </c>
      <c r="B63" s="200">
        <v>3</v>
      </c>
      <c r="C63" s="198">
        <v>0</v>
      </c>
      <c r="D63" s="198" t="s">
        <v>476</v>
      </c>
      <c r="E63" s="428" t="s">
        <v>477</v>
      </c>
      <c r="F63" s="201">
        <v>7703712030695</v>
      </c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spans="1:28" ht="30">
      <c r="A64" s="16" t="s">
        <v>155</v>
      </c>
      <c r="B64" s="117">
        <v>1</v>
      </c>
      <c r="C64" s="72">
        <v>0</v>
      </c>
      <c r="D64" s="204" t="s">
        <v>156</v>
      </c>
      <c r="E64" s="35" t="s">
        <v>54</v>
      </c>
      <c r="F64" s="110">
        <v>7703038066606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spans="1:28" ht="30">
      <c r="A65" s="76" t="s">
        <v>1327</v>
      </c>
      <c r="B65" s="74">
        <v>1</v>
      </c>
      <c r="C65" s="75">
        <v>0</v>
      </c>
      <c r="D65" s="336" t="s">
        <v>103</v>
      </c>
      <c r="E65" s="76" t="s">
        <v>1328</v>
      </c>
      <c r="F65" s="74">
        <v>7702027041662</v>
      </c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 spans="1:28" ht="30">
      <c r="A66" s="18" t="s">
        <v>1329</v>
      </c>
      <c r="B66" s="32">
        <v>1</v>
      </c>
      <c r="C66" s="17">
        <v>0</v>
      </c>
      <c r="D66" s="204" t="s">
        <v>405</v>
      </c>
      <c r="E66" s="16" t="s">
        <v>406</v>
      </c>
      <c r="F66" s="18">
        <v>7702027424038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ht="30">
      <c r="A67" s="19" t="s">
        <v>1330</v>
      </c>
      <c r="B67" s="117">
        <v>4</v>
      </c>
      <c r="C67" s="126">
        <v>0</v>
      </c>
      <c r="D67" s="19" t="s">
        <v>1331</v>
      </c>
      <c r="E67" s="43" t="s">
        <v>1332</v>
      </c>
      <c r="F67" s="19">
        <v>7708636936061</v>
      </c>
    </row>
    <row r="68" spans="1:28">
      <c r="A68" s="418"/>
      <c r="B68" s="440"/>
      <c r="C68" s="418"/>
      <c r="D68" s="418"/>
      <c r="E68" s="418"/>
      <c r="F68" s="418"/>
      <c r="G68" s="418"/>
      <c r="H68" s="418"/>
      <c r="I68" s="418"/>
      <c r="J68" s="418"/>
      <c r="K68" s="418"/>
      <c r="L68" s="418"/>
      <c r="M68" s="418"/>
      <c r="N68" s="418"/>
      <c r="O68" s="418"/>
      <c r="P68" s="418"/>
      <c r="Q68" s="418"/>
      <c r="R68" s="418"/>
      <c r="S68" s="418"/>
      <c r="T68" s="418"/>
      <c r="U68" s="418"/>
      <c r="V68" s="418"/>
      <c r="W68" s="418"/>
      <c r="X68" s="418"/>
      <c r="Y68" s="418"/>
      <c r="Z68" s="418"/>
      <c r="AA68" s="418"/>
      <c r="AB68" s="418"/>
    </row>
    <row r="69" spans="1:28">
      <c r="A69" s="19" t="s">
        <v>1333</v>
      </c>
      <c r="B69" s="117">
        <v>2</v>
      </c>
      <c r="C69" s="429">
        <v>0</v>
      </c>
      <c r="D69" s="37" t="s">
        <v>103</v>
      </c>
      <c r="E69" s="19" t="s">
        <v>1334</v>
      </c>
      <c r="F69" s="19">
        <v>6921875009193</v>
      </c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8" ht="30">
      <c r="A70" s="73" t="s">
        <v>84</v>
      </c>
      <c r="B70" s="32">
        <v>6</v>
      </c>
      <c r="C70" s="72">
        <v>0</v>
      </c>
      <c r="D70" s="83" t="s">
        <v>85</v>
      </c>
      <c r="E70" s="73" t="s">
        <v>86</v>
      </c>
      <c r="F70" s="321">
        <v>7709990383621</v>
      </c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8" ht="30">
      <c r="A71" s="53" t="s">
        <v>1273</v>
      </c>
      <c r="B71" s="96">
        <v>1</v>
      </c>
      <c r="C71" s="55">
        <v>0</v>
      </c>
      <c r="D71" s="153" t="s">
        <v>1274</v>
      </c>
      <c r="E71" s="56" t="s">
        <v>1275</v>
      </c>
      <c r="F71" s="53">
        <v>7702057077273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8">
      <c r="A72" s="76" t="s">
        <v>883</v>
      </c>
      <c r="B72" s="74">
        <v>5</v>
      </c>
      <c r="C72" s="74">
        <v>0</v>
      </c>
      <c r="D72" s="74" t="s">
        <v>118</v>
      </c>
      <c r="E72" s="74" t="s">
        <v>884</v>
      </c>
      <c r="F72" s="74">
        <v>7702870071489</v>
      </c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</row>
    <row r="73" spans="1:28" ht="30">
      <c r="A73" s="19" t="s">
        <v>916</v>
      </c>
      <c r="B73" s="117">
        <v>1</v>
      </c>
      <c r="C73" s="19">
        <v>0</v>
      </c>
      <c r="D73" s="19" t="s">
        <v>917</v>
      </c>
      <c r="E73" s="43" t="s">
        <v>918</v>
      </c>
      <c r="F73" s="19">
        <v>7612797656464</v>
      </c>
    </row>
    <row r="74" spans="1:28" ht="30">
      <c r="A74" s="73" t="s">
        <v>1335</v>
      </c>
      <c r="B74" s="32">
        <v>1</v>
      </c>
      <c r="C74" s="72">
        <v>0</v>
      </c>
      <c r="D74" s="83" t="s">
        <v>1336</v>
      </c>
      <c r="E74" s="73" t="s">
        <v>1337</v>
      </c>
      <c r="F74" s="321">
        <v>8437019299583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8" ht="30">
      <c r="A75" s="32" t="s">
        <v>722</v>
      </c>
      <c r="B75" s="32">
        <v>1</v>
      </c>
      <c r="C75" s="72">
        <v>0</v>
      </c>
      <c r="D75" s="17" t="s">
        <v>723</v>
      </c>
      <c r="E75" s="73" t="s">
        <v>724</v>
      </c>
      <c r="F75" s="321">
        <v>300651431483</v>
      </c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spans="1:28">
      <c r="A76" s="418"/>
      <c r="B76" s="440"/>
      <c r="C76" s="418"/>
      <c r="D76" s="418"/>
      <c r="E76" s="418"/>
      <c r="F76" s="418"/>
      <c r="G76" s="418"/>
      <c r="H76" s="418"/>
      <c r="I76" s="418"/>
      <c r="J76" s="418"/>
      <c r="K76" s="418"/>
      <c r="L76" s="418"/>
      <c r="M76" s="418"/>
      <c r="N76" s="418"/>
      <c r="O76" s="418"/>
      <c r="P76" s="418"/>
      <c r="Q76" s="418"/>
      <c r="R76" s="418"/>
      <c r="S76" s="418"/>
      <c r="T76" s="418"/>
      <c r="U76" s="418"/>
      <c r="V76" s="418"/>
      <c r="W76" s="418"/>
      <c r="X76" s="418"/>
      <c r="Y76" s="418"/>
      <c r="Z76" s="418"/>
      <c r="AA76" s="418"/>
      <c r="AB76" s="418"/>
    </row>
    <row r="77" spans="1:28">
      <c r="A77" s="21" t="s">
        <v>1338</v>
      </c>
      <c r="B77" s="74">
        <v>2</v>
      </c>
      <c r="C77" s="430">
        <v>0</v>
      </c>
      <c r="D77" s="431" t="s">
        <v>91</v>
      </c>
      <c r="E77" s="21" t="s">
        <v>942</v>
      </c>
      <c r="F77" s="21">
        <v>7703546701839</v>
      </c>
    </row>
    <row r="78" spans="1:28">
      <c r="A78" s="21" t="s">
        <v>1338</v>
      </c>
      <c r="B78" s="74">
        <v>1</v>
      </c>
      <c r="C78" s="430">
        <v>0</v>
      </c>
      <c r="D78" s="431" t="s">
        <v>91</v>
      </c>
      <c r="E78" s="21" t="s">
        <v>942</v>
      </c>
      <c r="F78" s="21">
        <v>7703546701839</v>
      </c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8">
      <c r="A79" s="112" t="s">
        <v>1339</v>
      </c>
      <c r="B79" s="32">
        <v>4</v>
      </c>
      <c r="C79" s="72">
        <v>0</v>
      </c>
      <c r="D79" s="81" t="s">
        <v>1116</v>
      </c>
      <c r="E79" s="73" t="s">
        <v>1340</v>
      </c>
      <c r="F79" s="321">
        <v>7703689000448</v>
      </c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8">
      <c r="A80" s="73" t="s">
        <v>269</v>
      </c>
      <c r="B80" s="32">
        <v>2</v>
      </c>
      <c r="C80" s="124">
        <v>0</v>
      </c>
      <c r="D80" s="17" t="s">
        <v>270</v>
      </c>
      <c r="E80" s="73" t="s">
        <v>101</v>
      </c>
      <c r="F80" s="32">
        <v>650240031267</v>
      </c>
    </row>
    <row r="81" spans="1:28">
      <c r="A81" s="152" t="s">
        <v>99</v>
      </c>
      <c r="B81" s="96">
        <v>1</v>
      </c>
      <c r="C81" s="55">
        <v>0</v>
      </c>
      <c r="D81" s="225" t="s">
        <v>100</v>
      </c>
      <c r="E81" s="152" t="s">
        <v>101</v>
      </c>
      <c r="F81" s="96">
        <v>650240003950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</row>
    <row r="82" spans="1:28">
      <c r="A82" s="19" t="s">
        <v>395</v>
      </c>
      <c r="B82" s="117">
        <v>1</v>
      </c>
      <c r="C82" s="345">
        <v>0</v>
      </c>
      <c r="D82" s="345" t="s">
        <v>103</v>
      </c>
      <c r="E82" s="19" t="s">
        <v>396</v>
      </c>
      <c r="F82" s="19">
        <v>7707355059686</v>
      </c>
    </row>
    <row r="83" spans="1:28">
      <c r="A83" s="19" t="s">
        <v>395</v>
      </c>
      <c r="B83" s="117">
        <v>2</v>
      </c>
      <c r="C83" s="345">
        <v>0</v>
      </c>
      <c r="D83" s="345" t="s">
        <v>103</v>
      </c>
      <c r="E83" s="19" t="s">
        <v>396</v>
      </c>
      <c r="F83" s="19">
        <v>7707355059686</v>
      </c>
    </row>
    <row r="84" spans="1:28">
      <c r="A84" s="73" t="s">
        <v>271</v>
      </c>
      <c r="B84" s="32">
        <v>4</v>
      </c>
      <c r="C84" s="72">
        <v>0</v>
      </c>
      <c r="D84" s="83" t="s">
        <v>272</v>
      </c>
      <c r="E84" s="73" t="s">
        <v>273</v>
      </c>
      <c r="F84" s="371">
        <v>7703432422237</v>
      </c>
      <c r="G84" s="32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8">
      <c r="A85" s="73" t="s">
        <v>271</v>
      </c>
      <c r="B85" s="32">
        <v>2</v>
      </c>
      <c r="C85" s="72">
        <v>0</v>
      </c>
      <c r="D85" s="83" t="s">
        <v>272</v>
      </c>
      <c r="E85" s="73" t="s">
        <v>273</v>
      </c>
      <c r="F85" s="371">
        <v>7703432422237</v>
      </c>
      <c r="G85" s="32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8">
      <c r="A86" s="117" t="s">
        <v>518</v>
      </c>
      <c r="B86" s="117">
        <v>1</v>
      </c>
      <c r="C86" s="345">
        <v>0</v>
      </c>
      <c r="D86" s="117" t="s">
        <v>519</v>
      </c>
      <c r="E86" s="117" t="s">
        <v>520</v>
      </c>
      <c r="F86" s="117">
        <v>650240073199</v>
      </c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</row>
    <row r="87" spans="1:28">
      <c r="A87" s="76" t="s">
        <v>1341</v>
      </c>
      <c r="B87" s="74">
        <v>2</v>
      </c>
      <c r="C87" s="352">
        <v>0</v>
      </c>
      <c r="D87" s="336" t="s">
        <v>715</v>
      </c>
      <c r="E87" s="74" t="s">
        <v>1342</v>
      </c>
      <c r="F87" s="378">
        <v>650240000010</v>
      </c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</row>
    <row r="88" spans="1:28">
      <c r="A88" s="418"/>
      <c r="B88" s="440"/>
      <c r="C88" s="418"/>
      <c r="D88" s="418"/>
      <c r="E88" s="418"/>
      <c r="F88" s="418"/>
      <c r="G88" s="418"/>
      <c r="H88" s="418"/>
      <c r="I88" s="418"/>
      <c r="J88" s="418"/>
      <c r="K88" s="418"/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</row>
    <row r="89" spans="1:28">
      <c r="A89" s="117" t="s">
        <v>9</v>
      </c>
      <c r="B89" s="74">
        <v>8</v>
      </c>
      <c r="C89" s="75">
        <v>0</v>
      </c>
      <c r="D89" s="336" t="s">
        <v>10</v>
      </c>
      <c r="E89" s="76" t="s">
        <v>11</v>
      </c>
      <c r="F89" s="74">
        <v>7703689317386</v>
      </c>
      <c r="G89" s="74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8">
      <c r="A90" s="418"/>
      <c r="B90" s="440"/>
      <c r="C90" s="418"/>
      <c r="D90" s="418"/>
      <c r="E90" s="418"/>
      <c r="F90" s="418"/>
      <c r="G90" s="418"/>
      <c r="H90" s="418"/>
      <c r="I90" s="418"/>
      <c r="J90" s="418"/>
      <c r="K90" s="418"/>
      <c r="L90" s="418"/>
      <c r="M90" s="418"/>
      <c r="N90" s="418"/>
      <c r="O90" s="418"/>
      <c r="P90" s="418"/>
      <c r="Q90" s="418"/>
      <c r="R90" s="418"/>
      <c r="S90" s="418"/>
      <c r="T90" s="418"/>
      <c r="U90" s="418"/>
      <c r="V90" s="418"/>
      <c r="W90" s="418"/>
      <c r="X90" s="418"/>
      <c r="Y90" s="418"/>
      <c r="Z90" s="418"/>
      <c r="AA90" s="418"/>
      <c r="AB90" s="418"/>
    </row>
    <row r="91" spans="1:28">
      <c r="A91" s="74" t="s">
        <v>93</v>
      </c>
      <c r="B91" s="74">
        <v>2</v>
      </c>
      <c r="C91" s="75">
        <v>0</v>
      </c>
      <c r="D91" s="336" t="s">
        <v>94</v>
      </c>
      <c r="E91" s="74" t="s">
        <v>95</v>
      </c>
      <c r="F91" s="378">
        <v>7702184011430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117"/>
    </row>
    <row r="92" spans="1:28">
      <c r="A92" s="74" t="s">
        <v>93</v>
      </c>
      <c r="B92" s="74">
        <v>1</v>
      </c>
      <c r="C92" s="75">
        <v>0</v>
      </c>
      <c r="D92" s="336" t="s">
        <v>94</v>
      </c>
      <c r="E92" s="74" t="s">
        <v>95</v>
      </c>
      <c r="F92" s="378">
        <v>7702184011430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117"/>
    </row>
    <row r="93" spans="1:28">
      <c r="A93" s="418"/>
      <c r="B93" s="440"/>
      <c r="C93" s="418"/>
      <c r="D93" s="418"/>
      <c r="E93" s="418"/>
      <c r="F93" s="418"/>
      <c r="G93" s="418"/>
      <c r="H93" s="418"/>
      <c r="I93" s="418"/>
      <c r="J93" s="418"/>
      <c r="K93" s="418"/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</row>
    <row r="94" spans="1:28">
      <c r="A94" s="19" t="s">
        <v>1343</v>
      </c>
      <c r="B94" s="117">
        <v>1</v>
      </c>
      <c r="C94" s="126">
        <v>0.19</v>
      </c>
      <c r="D94" s="19" t="s">
        <v>1344</v>
      </c>
      <c r="E94" s="19" t="s">
        <v>1345</v>
      </c>
      <c r="F94" s="19">
        <v>7707282991189</v>
      </c>
    </row>
    <row r="95" spans="1:28" ht="30">
      <c r="A95" s="19" t="s">
        <v>1346</v>
      </c>
      <c r="B95" s="117">
        <v>3</v>
      </c>
      <c r="C95" s="126">
        <v>0.19</v>
      </c>
      <c r="D95" s="19" t="s">
        <v>747</v>
      </c>
      <c r="E95" s="43" t="s">
        <v>1347</v>
      </c>
      <c r="F95" s="19">
        <v>7707287990064</v>
      </c>
    </row>
    <row r="96" spans="1:28" ht="29.25">
      <c r="A96" s="22" t="s">
        <v>1348</v>
      </c>
      <c r="B96" s="39">
        <v>2</v>
      </c>
      <c r="C96" s="175">
        <v>0.19</v>
      </c>
      <c r="D96" s="176" t="s">
        <v>747</v>
      </c>
      <c r="E96" s="22" t="s">
        <v>136</v>
      </c>
      <c r="F96">
        <v>7707287990057</v>
      </c>
    </row>
    <row r="97" spans="1:28" ht="30">
      <c r="A97" s="43" t="s">
        <v>108</v>
      </c>
      <c r="B97" s="117">
        <v>10</v>
      </c>
      <c r="C97" s="19">
        <v>0</v>
      </c>
      <c r="D97" s="19" t="s">
        <v>109</v>
      </c>
      <c r="E97" s="43" t="s">
        <v>513</v>
      </c>
      <c r="F97" s="19">
        <v>7703712034563</v>
      </c>
    </row>
    <row r="98" spans="1:28" ht="43.5">
      <c r="A98" t="s">
        <v>1349</v>
      </c>
      <c r="B98" s="39">
        <v>4</v>
      </c>
      <c r="C98" s="133">
        <v>0</v>
      </c>
      <c r="D98" s="23" t="s">
        <v>1180</v>
      </c>
      <c r="E98" s="7" t="s">
        <v>1350</v>
      </c>
      <c r="F98">
        <v>7702026148447</v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8" ht="29.25">
      <c r="A99" s="22" t="s">
        <v>1351</v>
      </c>
      <c r="B99" s="39">
        <v>3</v>
      </c>
      <c r="C99" s="51">
        <v>0</v>
      </c>
      <c r="D99" s="23" t="s">
        <v>23</v>
      </c>
      <c r="E99" s="39" t="s">
        <v>1352</v>
      </c>
      <c r="F99">
        <v>7708931620719</v>
      </c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8">
      <c r="A100" s="19" t="s">
        <v>1353</v>
      </c>
      <c r="B100" s="117">
        <v>1</v>
      </c>
      <c r="C100" s="126">
        <v>0</v>
      </c>
      <c r="D100" s="127" t="s">
        <v>427</v>
      </c>
      <c r="E100" s="43" t="s">
        <v>1354</v>
      </c>
      <c r="F100" s="19">
        <v>7705959012397</v>
      </c>
    </row>
    <row r="101" spans="1:28">
      <c r="A101" s="28" t="s">
        <v>278</v>
      </c>
      <c r="B101" s="8">
        <v>5</v>
      </c>
      <c r="C101" s="209">
        <v>0</v>
      </c>
      <c r="D101" s="209" t="s">
        <v>279</v>
      </c>
      <c r="E101" s="28" t="s">
        <v>280</v>
      </c>
      <c r="F101" s="28">
        <v>7702195713507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8" ht="29.25">
      <c r="A102" s="24" t="s">
        <v>1355</v>
      </c>
      <c r="B102" s="8">
        <v>1</v>
      </c>
      <c r="C102" s="31">
        <v>0</v>
      </c>
      <c r="D102" s="98" t="s">
        <v>1356</v>
      </c>
      <c r="E102" s="7" t="s">
        <v>1357</v>
      </c>
      <c r="F102" s="28">
        <v>7702870070604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8">
      <c r="A103" s="64" t="s">
        <v>1358</v>
      </c>
      <c r="B103" s="65">
        <v>2</v>
      </c>
      <c r="C103" s="101">
        <v>0.19</v>
      </c>
      <c r="D103" s="102" t="s">
        <v>10</v>
      </c>
      <c r="E103" s="16" t="s">
        <v>1359</v>
      </c>
      <c r="F103" s="68">
        <v>7702031245285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8">
      <c r="A104" s="56" t="s">
        <v>1360</v>
      </c>
      <c r="B104" s="152">
        <v>2</v>
      </c>
      <c r="C104" s="432">
        <v>0.19</v>
      </c>
      <c r="D104" s="19" t="s">
        <v>10</v>
      </c>
      <c r="E104" s="56" t="s">
        <v>1359</v>
      </c>
      <c r="F104" s="22">
        <v>7702031245223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8">
      <c r="A105" s="56" t="s">
        <v>1361</v>
      </c>
      <c r="B105" s="152">
        <v>2</v>
      </c>
      <c r="C105" s="432">
        <v>0.19</v>
      </c>
      <c r="D105" s="19" t="s">
        <v>10</v>
      </c>
      <c r="E105" s="56" t="s">
        <v>1359</v>
      </c>
      <c r="F105" s="22">
        <v>7702031245254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8" ht="29.25">
      <c r="A106" s="24" t="s">
        <v>1316</v>
      </c>
      <c r="B106" s="7">
        <v>3</v>
      </c>
      <c r="C106" s="322">
        <v>0.05</v>
      </c>
      <c r="D106" s="323" t="s">
        <v>1317</v>
      </c>
      <c r="E106" s="7" t="s">
        <v>523</v>
      </c>
      <c r="F106" s="129">
        <v>7703006283332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3"/>
      <c r="AA106"/>
      <c r="AB106"/>
    </row>
    <row r="107" spans="1:28">
      <c r="A107" t="s">
        <v>1362</v>
      </c>
      <c r="B107" s="39">
        <v>1</v>
      </c>
      <c r="C107" s="23">
        <v>0</v>
      </c>
      <c r="D107" s="23" t="s">
        <v>214</v>
      </c>
      <c r="E107" s="22" t="s">
        <v>265</v>
      </c>
      <c r="F107">
        <v>7702870680278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8">
      <c r="A108" s="73" t="s">
        <v>973</v>
      </c>
      <c r="B108" s="32">
        <v>8</v>
      </c>
      <c r="C108" s="72">
        <v>0</v>
      </c>
      <c r="D108" s="72" t="s">
        <v>974</v>
      </c>
      <c r="E108" s="73" t="s">
        <v>975</v>
      </c>
      <c r="F108" s="32">
        <v>7501125132070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8" ht="30">
      <c r="A109" s="73" t="s">
        <v>735</v>
      </c>
      <c r="B109" s="32">
        <v>10</v>
      </c>
      <c r="C109" s="72">
        <v>0</v>
      </c>
      <c r="D109" s="83" t="s">
        <v>80</v>
      </c>
      <c r="E109" s="73" t="s">
        <v>81</v>
      </c>
      <c r="F109" s="321">
        <v>7501125132056</v>
      </c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117"/>
    </row>
    <row r="110" spans="1:28" ht="30">
      <c r="A110" s="73" t="s">
        <v>164</v>
      </c>
      <c r="B110" s="74">
        <v>3</v>
      </c>
      <c r="C110" s="75">
        <v>0</v>
      </c>
      <c r="D110" s="74" t="s">
        <v>85</v>
      </c>
      <c r="E110" s="73" t="s">
        <v>165</v>
      </c>
      <c r="F110" s="379">
        <v>7501033961557</v>
      </c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8" ht="30">
      <c r="A111" s="32" t="s">
        <v>370</v>
      </c>
      <c r="B111" s="74">
        <v>3</v>
      </c>
      <c r="C111" s="75">
        <v>0</v>
      </c>
      <c r="D111" s="336" t="s">
        <v>85</v>
      </c>
      <c r="E111" s="73" t="s">
        <v>165</v>
      </c>
      <c r="F111" s="32">
        <v>7501033957376</v>
      </c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8" ht="30">
      <c r="A112" s="53" t="s">
        <v>770</v>
      </c>
      <c r="B112" s="96">
        <v>3</v>
      </c>
      <c r="C112" s="55">
        <v>0</v>
      </c>
      <c r="D112" s="83" t="s">
        <v>85</v>
      </c>
      <c r="E112" s="152" t="s">
        <v>165</v>
      </c>
      <c r="F112" s="155">
        <v>7501033957369</v>
      </c>
    </row>
    <row r="113" spans="1:28">
      <c r="A113" s="418"/>
      <c r="B113" s="440"/>
      <c r="C113" s="418"/>
      <c r="D113" s="418"/>
      <c r="E113" s="418"/>
      <c r="F113" s="418"/>
      <c r="G113" s="418"/>
      <c r="H113" s="418"/>
      <c r="I113" s="418"/>
      <c r="J113" s="418"/>
      <c r="K113" s="418"/>
      <c r="L113" s="418"/>
      <c r="M113" s="418"/>
      <c r="N113" s="418"/>
      <c r="O113" s="418"/>
      <c r="P113" s="418"/>
      <c r="Q113" s="418"/>
      <c r="R113" s="418"/>
      <c r="S113" s="418"/>
      <c r="T113" s="418"/>
      <c r="U113" s="418"/>
      <c r="V113" s="418"/>
      <c r="W113" s="418"/>
      <c r="X113" s="418"/>
      <c r="Y113" s="418"/>
      <c r="Z113" s="418"/>
      <c r="AA113" s="418"/>
      <c r="AB113" s="418"/>
    </row>
    <row r="114" spans="1:28" ht="30">
      <c r="A114" s="19" t="s">
        <v>1363</v>
      </c>
      <c r="B114" s="117">
        <v>1</v>
      </c>
      <c r="C114" s="19">
        <v>0</v>
      </c>
      <c r="D114" s="19" t="s">
        <v>59</v>
      </c>
      <c r="E114" s="43" t="s">
        <v>1364</v>
      </c>
      <c r="F114" s="19">
        <v>7702132655488</v>
      </c>
    </row>
    <row r="115" spans="1:28" ht="29.25">
      <c r="A115" s="24" t="s">
        <v>1316</v>
      </c>
      <c r="B115" s="7">
        <v>2</v>
      </c>
      <c r="C115" s="322">
        <v>0.05</v>
      </c>
      <c r="D115" s="323" t="s">
        <v>1317</v>
      </c>
      <c r="E115" s="7" t="s">
        <v>523</v>
      </c>
      <c r="F115" s="129">
        <v>7703006283332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3"/>
    </row>
    <row r="116" spans="1:28" ht="30">
      <c r="A116" s="96" t="s">
        <v>1365</v>
      </c>
      <c r="B116" s="96">
        <v>2</v>
      </c>
      <c r="C116" s="97">
        <v>0</v>
      </c>
      <c r="D116" s="120" t="s">
        <v>1366</v>
      </c>
      <c r="E116" s="152" t="s">
        <v>1367</v>
      </c>
      <c r="F116" s="375">
        <v>7703712010000</v>
      </c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8" ht="29.25">
      <c r="A117" s="22" t="s">
        <v>1368</v>
      </c>
      <c r="B117" s="39">
        <v>1</v>
      </c>
      <c r="C117" s="40">
        <v>0.19</v>
      </c>
      <c r="D117" s="94" t="s">
        <v>250</v>
      </c>
      <c r="E117" s="22" t="s">
        <v>1369</v>
      </c>
      <c r="F117">
        <v>7709440174908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8" ht="29.25">
      <c r="A118" s="22" t="s">
        <v>1370</v>
      </c>
      <c r="B118" s="39">
        <v>1</v>
      </c>
      <c r="C118" s="40">
        <v>0.19</v>
      </c>
      <c r="D118" s="94" t="s">
        <v>241</v>
      </c>
      <c r="E118" s="22" t="s">
        <v>1371</v>
      </c>
      <c r="F118">
        <v>7709440174977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8">
      <c r="A119" s="418"/>
      <c r="B119" s="440"/>
      <c r="C119" s="418"/>
      <c r="D119" s="418"/>
      <c r="E119" s="418"/>
      <c r="F119" s="418"/>
      <c r="G119" s="418"/>
      <c r="H119" s="418"/>
      <c r="I119" s="418"/>
      <c r="J119" s="418"/>
      <c r="K119" s="418"/>
      <c r="L119" s="418"/>
      <c r="M119" s="418"/>
      <c r="N119" s="418"/>
      <c r="O119" s="418"/>
      <c r="P119" s="418"/>
      <c r="Q119" s="418"/>
      <c r="R119" s="418"/>
      <c r="S119" s="418"/>
      <c r="T119" s="418"/>
      <c r="U119" s="418"/>
      <c r="V119" s="418"/>
      <c r="W119" s="418"/>
      <c r="X119" s="418"/>
      <c r="Y119" s="418"/>
      <c r="Z119" s="418"/>
      <c r="AA119" s="418"/>
      <c r="AB119" s="418"/>
    </row>
    <row r="120" spans="1:28">
      <c r="A120" s="53" t="s">
        <v>139</v>
      </c>
      <c r="B120" s="96">
        <v>2</v>
      </c>
      <c r="C120" s="122">
        <v>0</v>
      </c>
      <c r="D120" s="53" t="s">
        <v>91</v>
      </c>
      <c r="E120" s="53" t="s">
        <v>140</v>
      </c>
      <c r="F120" s="53">
        <v>7707210530015</v>
      </c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8" ht="30">
      <c r="A121" s="152" t="s">
        <v>229</v>
      </c>
      <c r="B121" s="96">
        <v>2</v>
      </c>
      <c r="C121" s="97">
        <v>0.19</v>
      </c>
      <c r="D121" s="120" t="s">
        <v>91</v>
      </c>
      <c r="E121" s="152" t="s">
        <v>230</v>
      </c>
      <c r="F121" s="369">
        <v>7707210530909</v>
      </c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117"/>
      <c r="AA121" s="117"/>
      <c r="AB121" s="117"/>
    </row>
    <row r="122" spans="1:28">
      <c r="A122" s="13" t="s">
        <v>595</v>
      </c>
      <c r="B122" s="12">
        <v>2</v>
      </c>
      <c r="C122" s="105">
        <v>0</v>
      </c>
      <c r="D122" s="14" t="s">
        <v>596</v>
      </c>
      <c r="E122" s="13" t="s">
        <v>597</v>
      </c>
      <c r="F122" s="61">
        <v>8027950200245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8">
      <c r="A123" s="117" t="s">
        <v>1127</v>
      </c>
      <c r="B123" s="117">
        <v>15</v>
      </c>
      <c r="C123" s="117">
        <v>0</v>
      </c>
      <c r="D123" s="117" t="s">
        <v>527</v>
      </c>
      <c r="E123" s="117" t="s">
        <v>228</v>
      </c>
      <c r="F123" s="117">
        <v>8903726322109</v>
      </c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8">
      <c r="A124" s="418"/>
      <c r="B124" s="440"/>
      <c r="C124" s="418"/>
      <c r="D124" s="418"/>
      <c r="E124" s="418"/>
      <c r="F124" s="418"/>
      <c r="G124" s="418"/>
      <c r="H124" s="418"/>
      <c r="I124" s="418"/>
      <c r="J124" s="418"/>
      <c r="K124" s="418"/>
      <c r="L124" s="418"/>
      <c r="M124" s="418"/>
      <c r="N124" s="418"/>
      <c r="O124" s="418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418"/>
      <c r="AA124" s="418"/>
      <c r="AB124" s="418"/>
    </row>
    <row r="125" spans="1:28">
      <c r="A125" t="s">
        <v>1246</v>
      </c>
      <c r="B125" s="39">
        <v>2</v>
      </c>
      <c r="C125" s="140">
        <v>0</v>
      </c>
      <c r="D125" s="23" t="s">
        <v>585</v>
      </c>
      <c r="E125" t="s">
        <v>921</v>
      </c>
      <c r="F125">
        <v>6921875009230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8" ht="30">
      <c r="A126" s="263" t="s">
        <v>992</v>
      </c>
      <c r="B126" s="267">
        <v>1</v>
      </c>
      <c r="C126" s="327">
        <v>0</v>
      </c>
      <c r="D126" s="328" t="s">
        <v>442</v>
      </c>
      <c r="E126" s="267" t="s">
        <v>477</v>
      </c>
      <c r="F126" s="268">
        <v>7703546083225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ht="30">
      <c r="A127" s="19" t="s">
        <v>1372</v>
      </c>
      <c r="B127" s="117">
        <v>1</v>
      </c>
      <c r="C127" s="19">
        <v>0</v>
      </c>
      <c r="D127" s="19" t="s">
        <v>408</v>
      </c>
      <c r="E127" s="43" t="s">
        <v>653</v>
      </c>
      <c r="F127" s="19">
        <v>7702184014196</v>
      </c>
    </row>
    <row r="128" spans="1:28">
      <c r="A128" t="s">
        <v>292</v>
      </c>
      <c r="B128" s="39">
        <v>1</v>
      </c>
      <c r="C128" s="133">
        <v>0</v>
      </c>
      <c r="D128" s="134" t="s">
        <v>1373</v>
      </c>
      <c r="E128" t="s">
        <v>294</v>
      </c>
      <c r="F128">
        <v>7705959885434</v>
      </c>
    </row>
    <row r="129" spans="1:28">
      <c r="A129" s="13" t="s">
        <v>137</v>
      </c>
      <c r="B129" s="13">
        <v>6</v>
      </c>
      <c r="C129" s="334">
        <v>0</v>
      </c>
      <c r="D129" s="14" t="s">
        <v>7</v>
      </c>
      <c r="E129" s="13" t="s">
        <v>138</v>
      </c>
      <c r="F129" s="13">
        <v>7705451023198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8">
      <c r="A130" s="76" t="s">
        <v>1374</v>
      </c>
      <c r="B130" s="74">
        <v>1</v>
      </c>
      <c r="C130" s="36">
        <v>0</v>
      </c>
      <c r="D130" s="36" t="s">
        <v>697</v>
      </c>
      <c r="E130" s="74" t="s">
        <v>1375</v>
      </c>
      <c r="F130" s="74">
        <v>7702870072561</v>
      </c>
      <c r="G130" s="21"/>
    </row>
    <row r="131" spans="1:28" ht="29.25">
      <c r="A131" t="s">
        <v>1376</v>
      </c>
      <c r="B131" s="41">
        <v>2</v>
      </c>
      <c r="C131" s="194">
        <v>0</v>
      </c>
      <c r="D131" s="23" t="s">
        <v>112</v>
      </c>
      <c r="E131" s="41" t="s">
        <v>1377</v>
      </c>
      <c r="F131" s="22">
        <v>7704403005602</v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8" ht="29.25">
      <c r="A132" s="22" t="s">
        <v>1378</v>
      </c>
      <c r="B132" s="41">
        <v>1</v>
      </c>
      <c r="C132" s="175">
        <v>0.05</v>
      </c>
      <c r="D132" s="326" t="s">
        <v>458</v>
      </c>
      <c r="E132" s="22" t="s">
        <v>523</v>
      </c>
      <c r="F132" s="273">
        <v>7703006082331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8" ht="29.25">
      <c r="A133" s="28" t="s">
        <v>844</v>
      </c>
      <c r="B133" s="8">
        <v>1</v>
      </c>
      <c r="C133" s="31">
        <v>0</v>
      </c>
      <c r="D133" s="31" t="s">
        <v>497</v>
      </c>
      <c r="E133" s="24" t="s">
        <v>845</v>
      </c>
      <c r="F133" s="28">
        <v>7706310000138</v>
      </c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8">
      <c r="A134" s="418"/>
      <c r="B134" s="440"/>
      <c r="C134" s="418"/>
      <c r="D134" s="418"/>
      <c r="E134" s="418"/>
      <c r="F134" s="418"/>
      <c r="G134" s="418"/>
      <c r="H134" s="418"/>
      <c r="I134" s="418"/>
      <c r="J134" s="418"/>
      <c r="K134" s="418"/>
      <c r="L134" s="418"/>
      <c r="M134" s="418"/>
      <c r="N134" s="418"/>
      <c r="O134" s="418"/>
      <c r="P134" s="418"/>
      <c r="Q134" s="418"/>
      <c r="R134" s="418"/>
      <c r="S134" s="418"/>
      <c r="T134" s="418"/>
      <c r="U134" s="418"/>
      <c r="V134" s="418"/>
      <c r="W134" s="418"/>
      <c r="X134" s="418"/>
      <c r="Y134" s="418"/>
      <c r="Z134" s="418"/>
      <c r="AA134" s="418"/>
      <c r="AB134" s="418"/>
    </row>
    <row r="135" spans="1:28" ht="29.25">
      <c r="A135" s="24" t="s">
        <v>1379</v>
      </c>
      <c r="B135" s="8">
        <v>1</v>
      </c>
      <c r="C135" s="9">
        <v>0</v>
      </c>
      <c r="D135" s="9" t="s">
        <v>1380</v>
      </c>
      <c r="E135" s="24" t="s">
        <v>1381</v>
      </c>
      <c r="F135" s="28">
        <v>7702123006817</v>
      </c>
    </row>
    <row r="136" spans="1:28" ht="57.75">
      <c r="A136" t="s">
        <v>1382</v>
      </c>
      <c r="B136" s="39">
        <v>3</v>
      </c>
      <c r="C136" s="39">
        <v>0</v>
      </c>
      <c r="D136" s="39" t="s">
        <v>23</v>
      </c>
      <c r="E136" s="22" t="s">
        <v>1203</v>
      </c>
      <c r="F136">
        <v>7703712030152</v>
      </c>
    </row>
    <row r="137" spans="1:28">
      <c r="A137" s="7" t="s">
        <v>1383</v>
      </c>
      <c r="B137" s="8">
        <v>3</v>
      </c>
      <c r="C137" s="31">
        <v>0</v>
      </c>
      <c r="D137" s="98" t="s">
        <v>1384</v>
      </c>
      <c r="E137" s="25" t="s">
        <v>1385</v>
      </c>
      <c r="F137" s="129">
        <v>7704412000186</v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 spans="1:28">
      <c r="A138" s="24" t="s">
        <v>524</v>
      </c>
      <c r="B138" s="7">
        <v>2</v>
      </c>
      <c r="C138" s="26">
        <v>0</v>
      </c>
      <c r="D138" s="27" t="s">
        <v>222</v>
      </c>
      <c r="E138" s="7" t="s">
        <v>525</v>
      </c>
      <c r="F138" s="24">
        <v>7707336090585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spans="1:28">
      <c r="A139" s="76" t="s">
        <v>1386</v>
      </c>
      <c r="B139" s="74">
        <v>1</v>
      </c>
      <c r="C139" s="75">
        <v>0</v>
      </c>
      <c r="D139" s="336" t="s">
        <v>214</v>
      </c>
      <c r="E139" s="76" t="s">
        <v>1387</v>
      </c>
      <c r="F139" s="74">
        <v>650240053160</v>
      </c>
      <c r="G139" s="74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</row>
    <row r="140" spans="1:28">
      <c r="A140" s="418"/>
      <c r="B140" s="440"/>
      <c r="C140" s="418"/>
      <c r="D140" s="418"/>
      <c r="E140" s="418"/>
      <c r="F140" s="418"/>
      <c r="G140" s="418"/>
      <c r="H140" s="418"/>
      <c r="I140" s="418"/>
      <c r="J140" s="418"/>
      <c r="K140" s="418"/>
      <c r="L140" s="418"/>
      <c r="M140" s="418"/>
      <c r="N140" s="418"/>
      <c r="O140" s="418"/>
      <c r="P140" s="418"/>
      <c r="Q140" s="418"/>
      <c r="R140" s="418"/>
      <c r="S140" s="418"/>
      <c r="T140" s="418"/>
      <c r="U140" s="418"/>
      <c r="V140" s="418"/>
      <c r="W140" s="418"/>
      <c r="X140" s="418"/>
      <c r="Y140" s="418"/>
      <c r="Z140" s="418"/>
      <c r="AA140" s="418"/>
      <c r="AB140" s="418"/>
    </row>
    <row r="141" spans="1:28">
      <c r="A141" s="24" t="s">
        <v>1388</v>
      </c>
      <c r="B141" s="8">
        <v>3</v>
      </c>
      <c r="C141" s="9">
        <v>0.19</v>
      </c>
      <c r="D141" s="99" t="s">
        <v>74</v>
      </c>
      <c r="E141" s="28" t="s">
        <v>1389</v>
      </c>
      <c r="F141" s="28">
        <v>7705471700390</v>
      </c>
    </row>
    <row r="142" spans="1:28" ht="30">
      <c r="A142" s="306" t="s">
        <v>47</v>
      </c>
      <c r="B142" s="117">
        <v>3</v>
      </c>
      <c r="C142" s="117">
        <v>0</v>
      </c>
      <c r="D142" s="117" t="s">
        <v>1390</v>
      </c>
      <c r="E142" s="112" t="s">
        <v>1391</v>
      </c>
      <c r="F142" s="117">
        <v>7703153021672</v>
      </c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8">
      <c r="A143" s="418"/>
      <c r="B143" s="440"/>
      <c r="C143" s="418"/>
      <c r="D143" s="418"/>
      <c r="E143" s="418"/>
      <c r="F143" s="418"/>
      <c r="G143" s="418"/>
      <c r="H143" s="418"/>
      <c r="I143" s="418"/>
      <c r="J143" s="418"/>
      <c r="K143" s="418"/>
      <c r="L143" s="418"/>
      <c r="M143" s="418"/>
      <c r="N143" s="418"/>
      <c r="O143" s="418"/>
      <c r="P143" s="418"/>
      <c r="Q143" s="418"/>
      <c r="R143" s="418"/>
      <c r="S143" s="418"/>
      <c r="T143" s="418"/>
      <c r="U143" s="418"/>
      <c r="V143" s="418"/>
      <c r="W143" s="418"/>
      <c r="X143" s="418"/>
      <c r="Y143" s="418"/>
      <c r="Z143" s="418"/>
      <c r="AA143" s="418"/>
      <c r="AB143" s="418"/>
    </row>
    <row r="144" spans="1:28">
      <c r="A144" s="28" t="s">
        <v>1392</v>
      </c>
      <c r="B144" s="8">
        <v>20</v>
      </c>
      <c r="C144" s="192">
        <v>0</v>
      </c>
      <c r="D144" s="30" t="s">
        <v>1393</v>
      </c>
      <c r="E144" s="24" t="s">
        <v>1394</v>
      </c>
      <c r="F144" s="28">
        <v>7703712031463</v>
      </c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8">
      <c r="A145" s="418"/>
      <c r="B145" s="440"/>
      <c r="C145" s="418"/>
      <c r="D145" s="418"/>
      <c r="E145" s="418"/>
      <c r="F145" s="418"/>
      <c r="G145" s="418"/>
      <c r="H145" s="418"/>
      <c r="I145" s="418"/>
      <c r="J145" s="418"/>
      <c r="K145" s="418"/>
      <c r="L145" s="418"/>
      <c r="M145" s="418"/>
      <c r="N145" s="418"/>
      <c r="O145" s="418"/>
      <c r="P145" s="418"/>
      <c r="Q145" s="418"/>
      <c r="R145" s="418"/>
      <c r="S145" s="418"/>
      <c r="T145" s="418"/>
      <c r="U145" s="418"/>
      <c r="V145" s="418"/>
      <c r="W145" s="418"/>
      <c r="X145" s="418"/>
      <c r="Y145" s="418"/>
      <c r="Z145" s="418"/>
      <c r="AA145" s="418"/>
      <c r="AB145" s="418"/>
    </row>
    <row r="146" spans="1:28">
      <c r="A146" s="195" t="s">
        <v>1058</v>
      </c>
      <c r="B146" s="200">
        <v>3</v>
      </c>
      <c r="C146" s="360">
        <v>0</v>
      </c>
      <c r="D146" s="200" t="s">
        <v>1059</v>
      </c>
      <c r="E146" s="195" t="s">
        <v>1060</v>
      </c>
      <c r="F146" s="382">
        <v>7709225183033</v>
      </c>
      <c r="G146" s="74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8" ht="28.5">
      <c r="A147" s="13" t="s">
        <v>246</v>
      </c>
      <c r="B147" s="12">
        <v>1</v>
      </c>
      <c r="C147" s="105">
        <v>0.19</v>
      </c>
      <c r="D147" s="137" t="s">
        <v>1395</v>
      </c>
      <c r="E147" s="13" t="s">
        <v>248</v>
      </c>
      <c r="F147" s="211">
        <v>7703286115101</v>
      </c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</row>
    <row r="148" spans="1:28" ht="30">
      <c r="A148" s="19" t="s">
        <v>1396</v>
      </c>
      <c r="B148" s="117">
        <v>1</v>
      </c>
      <c r="C148" s="19">
        <v>0</v>
      </c>
      <c r="D148" s="19" t="s">
        <v>262</v>
      </c>
      <c r="E148" s="43" t="s">
        <v>1397</v>
      </c>
      <c r="F148" s="19">
        <v>7707035581629</v>
      </c>
    </row>
    <row r="149" spans="1:28">
      <c r="A149" s="19" t="s">
        <v>1398</v>
      </c>
      <c r="B149" s="117">
        <v>1</v>
      </c>
      <c r="C149" s="19">
        <v>0</v>
      </c>
      <c r="D149" s="19" t="s">
        <v>1399</v>
      </c>
      <c r="E149" s="19" t="s">
        <v>228</v>
      </c>
      <c r="F149" s="19">
        <v>7707019312621</v>
      </c>
    </row>
    <row r="150" spans="1:28">
      <c r="A150" s="418"/>
      <c r="B150" s="440"/>
      <c r="C150" s="418"/>
      <c r="D150" s="418"/>
      <c r="E150" s="418"/>
      <c r="F150" s="418"/>
      <c r="G150" s="418"/>
      <c r="H150" s="418"/>
      <c r="I150" s="418"/>
      <c r="J150" s="418"/>
      <c r="K150" s="418"/>
      <c r="L150" s="418"/>
      <c r="M150" s="418"/>
      <c r="N150" s="418"/>
      <c r="O150" s="418"/>
      <c r="P150" s="418"/>
      <c r="Q150" s="418"/>
      <c r="R150" s="418"/>
      <c r="S150" s="418"/>
      <c r="T150" s="418"/>
      <c r="U150" s="418"/>
      <c r="V150" s="418"/>
      <c r="W150" s="418"/>
      <c r="X150" s="418"/>
      <c r="Y150" s="418"/>
      <c r="Z150" s="418"/>
      <c r="AA150" s="418"/>
      <c r="AB150" s="418"/>
    </row>
    <row r="151" spans="1:28">
      <c r="A151" s="24" t="s">
        <v>1400</v>
      </c>
      <c r="B151" s="8">
        <v>6</v>
      </c>
      <c r="C151" s="9">
        <v>0.19</v>
      </c>
      <c r="D151" s="203" t="s">
        <v>7</v>
      </c>
      <c r="E151" s="8" t="s">
        <v>1401</v>
      </c>
      <c r="F151" s="63">
        <v>7707271203248</v>
      </c>
    </row>
    <row r="152" spans="1:28" ht="30">
      <c r="A152" s="112" t="s">
        <v>67</v>
      </c>
      <c r="B152" s="112">
        <v>1</v>
      </c>
      <c r="C152" s="350">
        <v>0</v>
      </c>
      <c r="D152" s="399" t="s">
        <v>458</v>
      </c>
      <c r="E152" s="112" t="s">
        <v>69</v>
      </c>
      <c r="F152" s="400">
        <v>7803510773319</v>
      </c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</row>
    <row r="153" spans="1:28">
      <c r="A153" s="8" t="s">
        <v>1108</v>
      </c>
      <c r="B153" s="8">
        <v>25</v>
      </c>
      <c r="C153" s="31">
        <v>0</v>
      </c>
      <c r="D153" s="98" t="s">
        <v>697</v>
      </c>
      <c r="E153" s="8" t="s">
        <v>1109</v>
      </c>
      <c r="F153" s="8">
        <v>7707336091773</v>
      </c>
    </row>
    <row r="154" spans="1:28" ht="30">
      <c r="A154" s="19" t="s">
        <v>1143</v>
      </c>
      <c r="B154" s="117">
        <v>2</v>
      </c>
      <c r="C154" s="19">
        <v>0</v>
      </c>
      <c r="D154" s="19" t="s">
        <v>91</v>
      </c>
      <c r="E154" s="43" t="s">
        <v>1144</v>
      </c>
      <c r="F154" s="19">
        <v>7707232090313</v>
      </c>
    </row>
    <row r="155" spans="1:28" ht="29.25">
      <c r="A155" s="7" t="s">
        <v>1402</v>
      </c>
      <c r="B155" s="7">
        <v>1</v>
      </c>
      <c r="C155" s="26">
        <v>0</v>
      </c>
      <c r="D155" s="30" t="s">
        <v>241</v>
      </c>
      <c r="E155" s="7" t="s">
        <v>1403</v>
      </c>
      <c r="F155" s="7">
        <v>7706310000039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3"/>
    </row>
    <row r="156" spans="1:28" ht="30">
      <c r="A156" s="32" t="s">
        <v>1140</v>
      </c>
      <c r="B156" s="32">
        <v>1</v>
      </c>
      <c r="C156" s="72">
        <v>0</v>
      </c>
      <c r="D156" s="81" t="s">
        <v>427</v>
      </c>
      <c r="E156" s="73" t="s">
        <v>104</v>
      </c>
      <c r="F156" s="321">
        <v>7703038050445</v>
      </c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8">
      <c r="A157" s="76" t="s">
        <v>1386</v>
      </c>
      <c r="B157" s="74">
        <v>1</v>
      </c>
      <c r="C157" s="75">
        <v>0</v>
      </c>
      <c r="D157" s="336" t="s">
        <v>214</v>
      </c>
      <c r="E157" s="76" t="s">
        <v>1387</v>
      </c>
      <c r="F157" s="74">
        <v>650240053160</v>
      </c>
      <c r="G157" s="74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</row>
    <row r="158" spans="1:28">
      <c r="A158" s="69" t="s">
        <v>1404</v>
      </c>
      <c r="B158" s="12">
        <v>1</v>
      </c>
      <c r="C158" s="105">
        <v>0</v>
      </c>
      <c r="D158" s="14" t="s">
        <v>80</v>
      </c>
      <c r="E158" s="13" t="s">
        <v>1405</v>
      </c>
      <c r="F158" s="71">
        <v>7702184030158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23"/>
    </row>
    <row r="159" spans="1:28" ht="28.5">
      <c r="A159" s="69" t="s">
        <v>306</v>
      </c>
      <c r="B159" s="12">
        <v>3</v>
      </c>
      <c r="C159" s="206">
        <v>0.19</v>
      </c>
      <c r="D159" s="135" t="s">
        <v>293</v>
      </c>
      <c r="E159" s="69" t="s">
        <v>308</v>
      </c>
      <c r="F159" s="61">
        <v>7702057080044</v>
      </c>
      <c r="G159" s="71"/>
      <c r="H159" s="71"/>
      <c r="I159" s="71"/>
      <c r="J159" s="71"/>
      <c r="K159" s="71"/>
      <c r="L159" s="71"/>
      <c r="M159" s="71"/>
      <c r="N159" s="71"/>
      <c r="O159" s="71"/>
    </row>
    <row r="160" spans="1:28">
      <c r="A160" s="418"/>
      <c r="B160" s="440"/>
      <c r="C160" s="418"/>
      <c r="D160" s="418"/>
      <c r="E160" s="418"/>
      <c r="F160" s="418"/>
      <c r="G160" s="418"/>
      <c r="H160" s="418"/>
      <c r="I160" s="418"/>
      <c r="J160" s="418"/>
      <c r="K160" s="418"/>
      <c r="L160" s="418"/>
      <c r="M160" s="418"/>
      <c r="N160" s="418"/>
      <c r="O160" s="418"/>
      <c r="P160" s="418"/>
      <c r="Q160" s="418"/>
      <c r="R160" s="418"/>
      <c r="S160" s="418"/>
      <c r="T160" s="418"/>
      <c r="U160" s="418"/>
      <c r="V160" s="418"/>
      <c r="W160" s="418"/>
      <c r="X160" s="418"/>
      <c r="Y160" s="418"/>
      <c r="Z160" s="418"/>
      <c r="AA160" s="418"/>
      <c r="AB160" s="418"/>
    </row>
    <row r="161" spans="1:28" ht="30">
      <c r="A161" s="45" t="s">
        <v>1406</v>
      </c>
      <c r="B161" s="74">
        <v>1</v>
      </c>
      <c r="C161" s="165">
        <v>0.19</v>
      </c>
      <c r="D161" s="165" t="s">
        <v>56</v>
      </c>
      <c r="E161" s="45" t="s">
        <v>1407</v>
      </c>
      <c r="F161" s="21">
        <v>7702123013693</v>
      </c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8">
      <c r="A162" s="19" t="s">
        <v>1353</v>
      </c>
      <c r="B162" s="117">
        <v>2</v>
      </c>
      <c r="C162" s="126">
        <v>0</v>
      </c>
      <c r="D162" s="127" t="s">
        <v>427</v>
      </c>
      <c r="E162" s="43" t="s">
        <v>1354</v>
      </c>
      <c r="F162" s="19">
        <v>7705959012397</v>
      </c>
    </row>
    <row r="163" spans="1:28">
      <c r="A163" s="64" t="s">
        <v>1408</v>
      </c>
      <c r="B163" s="65">
        <v>1</v>
      </c>
      <c r="C163" s="101">
        <v>0</v>
      </c>
      <c r="D163" s="125" t="s">
        <v>1409</v>
      </c>
      <c r="E163" s="64" t="s">
        <v>422</v>
      </c>
      <c r="F163" s="68">
        <v>7702057070748</v>
      </c>
      <c r="G163" s="65"/>
      <c r="H163" s="65"/>
      <c r="I163" s="65"/>
      <c r="J163" s="65"/>
      <c r="K163" s="65"/>
      <c r="L163" s="65"/>
      <c r="M163" s="65"/>
      <c r="N163" s="65"/>
      <c r="O163" s="65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8">
      <c r="A164" t="s">
        <v>1410</v>
      </c>
      <c r="B164" s="39">
        <v>1</v>
      </c>
      <c r="C164" s="133">
        <v>0.19</v>
      </c>
      <c r="D164" t="s">
        <v>26</v>
      </c>
      <c r="E164" t="s">
        <v>1411</v>
      </c>
      <c r="F164">
        <v>7709514060571</v>
      </c>
    </row>
    <row r="165" spans="1:28">
      <c r="A165" t="s">
        <v>1000</v>
      </c>
      <c r="B165" s="39">
        <v>3</v>
      </c>
      <c r="C165" s="133">
        <v>0</v>
      </c>
      <c r="D165" s="23" t="s">
        <v>625</v>
      </c>
      <c r="E165" t="s">
        <v>1001</v>
      </c>
      <c r="F165">
        <v>7703689240998</v>
      </c>
    </row>
    <row r="166" spans="1:28" ht="30">
      <c r="A166" s="73" t="s">
        <v>1412</v>
      </c>
      <c r="B166" s="32">
        <v>1</v>
      </c>
      <c r="C166" s="72">
        <v>0.19</v>
      </c>
      <c r="D166" s="81" t="s">
        <v>74</v>
      </c>
      <c r="E166" s="73" t="s">
        <v>1413</v>
      </c>
      <c r="F166" s="110">
        <v>7701684798261</v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8" ht="29.25">
      <c r="A167" s="24" t="s">
        <v>1414</v>
      </c>
      <c r="B167" s="8">
        <v>2</v>
      </c>
      <c r="C167" s="31">
        <v>0</v>
      </c>
      <c r="D167" s="30" t="s">
        <v>1415</v>
      </c>
      <c r="E167" s="7" t="s">
        <v>1416</v>
      </c>
      <c r="F167" s="142">
        <v>7702605103232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/>
      <c r="AA167" s="117"/>
      <c r="AB167" s="117"/>
    </row>
    <row r="168" spans="1:28" ht="29.25">
      <c r="A168" s="24" t="s">
        <v>1414</v>
      </c>
      <c r="B168" s="8">
        <v>2</v>
      </c>
      <c r="C168" s="31">
        <v>0</v>
      </c>
      <c r="D168" s="30" t="s">
        <v>1415</v>
      </c>
      <c r="E168" s="7" t="s">
        <v>1416</v>
      </c>
      <c r="F168" s="142">
        <v>7702605103232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/>
      <c r="AA168" s="117"/>
      <c r="AB168" s="117"/>
    </row>
    <row r="169" spans="1:28">
      <c r="A169" s="418"/>
      <c r="B169" s="440"/>
      <c r="C169" s="418"/>
      <c r="D169" s="418"/>
      <c r="E169" s="418"/>
      <c r="F169" s="418"/>
      <c r="G169" s="418"/>
      <c r="H169" s="418"/>
      <c r="I169" s="418"/>
      <c r="J169" s="418"/>
      <c r="K169" s="418"/>
      <c r="L169" s="418"/>
      <c r="M169" s="418"/>
      <c r="N169" s="418"/>
      <c r="O169" s="418"/>
      <c r="P169" s="418"/>
      <c r="Q169" s="418"/>
      <c r="R169" s="418"/>
      <c r="S169" s="418"/>
      <c r="T169" s="418"/>
      <c r="U169" s="418"/>
      <c r="V169" s="418"/>
      <c r="W169" s="418"/>
      <c r="X169" s="418"/>
      <c r="Y169" s="418"/>
      <c r="Z169" s="418"/>
      <c r="AA169" s="418"/>
      <c r="AB169" s="418"/>
    </row>
    <row r="170" spans="1:28">
      <c r="A170" s="117" t="s">
        <v>1417</v>
      </c>
      <c r="B170" s="117">
        <v>1</v>
      </c>
      <c r="C170" s="345">
        <v>0</v>
      </c>
      <c r="D170" s="117" t="s">
        <v>29</v>
      </c>
      <c r="E170" s="117" t="s">
        <v>827</v>
      </c>
      <c r="F170" s="117">
        <v>7702184010754</v>
      </c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8">
      <c r="A171" s="117" t="s">
        <v>1417</v>
      </c>
      <c r="B171" s="117">
        <v>1</v>
      </c>
      <c r="C171" s="345">
        <v>0</v>
      </c>
      <c r="D171" s="117" t="s">
        <v>29</v>
      </c>
      <c r="E171" s="117" t="s">
        <v>827</v>
      </c>
      <c r="F171" s="117">
        <v>7702184014608</v>
      </c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8" ht="45">
      <c r="A172" s="117" t="s">
        <v>1418</v>
      </c>
      <c r="B172" s="117">
        <v>2</v>
      </c>
      <c r="C172" s="345">
        <v>0.19</v>
      </c>
      <c r="D172" s="117" t="s">
        <v>1419</v>
      </c>
      <c r="E172" s="112" t="s">
        <v>1420</v>
      </c>
      <c r="F172" s="117">
        <v>7702354945329</v>
      </c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8">
      <c r="A173" s="117" t="s">
        <v>1421</v>
      </c>
      <c r="B173" s="117">
        <v>2</v>
      </c>
      <c r="C173" s="345">
        <v>0.19</v>
      </c>
      <c r="D173" s="117" t="s">
        <v>1419</v>
      </c>
      <c r="E173" s="112" t="s">
        <v>1422</v>
      </c>
      <c r="F173" s="117">
        <v>7702354946104</v>
      </c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8" ht="29.25">
      <c r="A174" s="24" t="s">
        <v>633</v>
      </c>
      <c r="B174" s="8">
        <v>2</v>
      </c>
      <c r="C174" s="31">
        <v>0</v>
      </c>
      <c r="D174" s="30" t="s">
        <v>293</v>
      </c>
      <c r="E174" s="24" t="s">
        <v>634</v>
      </c>
      <c r="F174" s="63">
        <v>7702626211770</v>
      </c>
      <c r="G174" s="28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</row>
    <row r="175" spans="1:28">
      <c r="A175" s="117" t="s">
        <v>1423</v>
      </c>
      <c r="B175" s="117">
        <v>2</v>
      </c>
      <c r="C175" s="345">
        <v>0</v>
      </c>
      <c r="D175" s="117" t="s">
        <v>585</v>
      </c>
      <c r="E175" s="117" t="s">
        <v>204</v>
      </c>
      <c r="F175" s="117">
        <v>7707355055732</v>
      </c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8">
      <c r="A176" s="117" t="s">
        <v>1423</v>
      </c>
      <c r="B176" s="117">
        <v>1</v>
      </c>
      <c r="C176" s="345">
        <v>0</v>
      </c>
      <c r="D176" s="117" t="s">
        <v>585</v>
      </c>
      <c r="E176" s="117" t="s">
        <v>204</v>
      </c>
      <c r="F176" s="117">
        <v>7707355055732</v>
      </c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8" ht="30">
      <c r="A177" s="117" t="s">
        <v>1424</v>
      </c>
      <c r="B177" s="117">
        <v>2</v>
      </c>
      <c r="C177" s="345">
        <v>0</v>
      </c>
      <c r="D177" s="117" t="s">
        <v>519</v>
      </c>
      <c r="E177" s="112" t="s">
        <v>1425</v>
      </c>
      <c r="F177" s="117">
        <v>7702057715885</v>
      </c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8">
      <c r="A178" t="s">
        <v>1426</v>
      </c>
      <c r="B178" s="39">
        <v>6</v>
      </c>
      <c r="C178" s="133">
        <v>0</v>
      </c>
      <c r="D178" s="134" t="s">
        <v>625</v>
      </c>
      <c r="E178" t="s">
        <v>18</v>
      </c>
      <c r="F178">
        <v>7707019342208</v>
      </c>
    </row>
    <row r="179" spans="1:28" customFormat="1" ht="14.25">
      <c r="A179" s="28" t="s">
        <v>786</v>
      </c>
      <c r="B179" s="8">
        <v>1</v>
      </c>
      <c r="C179" s="31">
        <v>0.19</v>
      </c>
      <c r="D179" s="98" t="s">
        <v>1427</v>
      </c>
      <c r="E179" s="28" t="s">
        <v>210</v>
      </c>
      <c r="F179" s="28">
        <v>7702027479724</v>
      </c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28" customFormat="1">
      <c r="A180" s="24" t="s">
        <v>1428</v>
      </c>
      <c r="B180" s="117">
        <v>1</v>
      </c>
      <c r="C180" s="177">
        <v>0.19</v>
      </c>
      <c r="D180" s="292" t="s">
        <v>1429</v>
      </c>
      <c r="E180" s="28" t="s">
        <v>210</v>
      </c>
      <c r="F180" s="21">
        <v>7702027479625</v>
      </c>
      <c r="G180" s="21"/>
      <c r="H180" s="21"/>
      <c r="I180" s="21"/>
      <c r="J180" s="21"/>
      <c r="K180" s="21"/>
      <c r="L180" s="21"/>
      <c r="M180" s="21"/>
      <c r="N180" s="21"/>
      <c r="O180" s="21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8">
      <c r="A181" s="418"/>
      <c r="B181" s="440"/>
      <c r="C181" s="418"/>
      <c r="D181" s="418"/>
      <c r="E181" s="418"/>
      <c r="F181" s="418"/>
      <c r="G181" s="418"/>
      <c r="H181" s="418"/>
      <c r="I181" s="418"/>
      <c r="J181" s="418"/>
      <c r="K181" s="418"/>
      <c r="L181" s="418"/>
      <c r="M181" s="418"/>
      <c r="N181" s="418"/>
      <c r="O181" s="418"/>
      <c r="P181" s="418"/>
      <c r="Q181" s="418"/>
      <c r="R181" s="418"/>
      <c r="S181" s="418"/>
      <c r="T181" s="418"/>
      <c r="U181" s="418"/>
      <c r="V181" s="418"/>
      <c r="W181" s="418"/>
      <c r="X181" s="418"/>
      <c r="Y181" s="418"/>
      <c r="Z181" s="418"/>
      <c r="AA181" s="418"/>
      <c r="AB181" s="418"/>
    </row>
    <row r="182" spans="1:28" ht="29.25">
      <c r="A182" s="24" t="s">
        <v>1430</v>
      </c>
      <c r="B182" s="8">
        <v>2</v>
      </c>
      <c r="C182" s="31">
        <v>0.19</v>
      </c>
      <c r="D182" s="98" t="s">
        <v>74</v>
      </c>
      <c r="E182" s="24" t="s">
        <v>1431</v>
      </c>
      <c r="F182" s="28">
        <v>7501007528939</v>
      </c>
    </row>
    <row r="183" spans="1:28" ht="29.25">
      <c r="A183" s="24" t="s">
        <v>1432</v>
      </c>
      <c r="B183" s="8">
        <v>2</v>
      </c>
      <c r="C183" s="31">
        <v>0.19</v>
      </c>
      <c r="D183" s="98" t="s">
        <v>1433</v>
      </c>
      <c r="E183" s="24" t="s">
        <v>1434</v>
      </c>
      <c r="F183" s="28">
        <v>7702031311218</v>
      </c>
    </row>
    <row r="184" spans="1:28">
      <c r="A184" s="418"/>
      <c r="B184" s="440"/>
      <c r="C184" s="418"/>
      <c r="D184" s="418"/>
      <c r="E184" s="418"/>
      <c r="F184" s="418"/>
      <c r="G184" s="418"/>
      <c r="H184" s="418"/>
      <c r="I184" s="418"/>
      <c r="J184" s="418"/>
      <c r="K184" s="418"/>
      <c r="L184" s="418"/>
      <c r="M184" s="418"/>
      <c r="N184" s="418"/>
      <c r="O184" s="418"/>
      <c r="P184" s="418"/>
      <c r="Q184" s="418"/>
      <c r="R184" s="418"/>
      <c r="S184" s="418"/>
      <c r="T184" s="418"/>
      <c r="U184" s="418"/>
      <c r="V184" s="418"/>
      <c r="W184" s="418"/>
      <c r="X184" s="418"/>
      <c r="Y184" s="418"/>
      <c r="Z184" s="418"/>
      <c r="AA184" s="418"/>
      <c r="AB184" s="418"/>
    </row>
    <row r="185" spans="1:28">
      <c r="A185" s="13" t="s">
        <v>595</v>
      </c>
      <c r="B185" s="12">
        <v>5</v>
      </c>
      <c r="C185" s="105">
        <v>0</v>
      </c>
      <c r="D185" s="14" t="s">
        <v>1336</v>
      </c>
      <c r="E185" s="13" t="s">
        <v>597</v>
      </c>
      <c r="F185" s="61">
        <v>8027950200245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8" ht="29.25">
      <c r="A186" s="22" t="s">
        <v>1435</v>
      </c>
      <c r="B186" s="39">
        <v>3</v>
      </c>
      <c r="C186" s="31">
        <v>0.19</v>
      </c>
      <c r="D186" s="98" t="s">
        <v>991</v>
      </c>
      <c r="E186" s="22" t="s">
        <v>1436</v>
      </c>
      <c r="F186">
        <v>7702031244547</v>
      </c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8" ht="29.25">
      <c r="A187" s="22" t="s">
        <v>1435</v>
      </c>
      <c r="B187" s="39">
        <v>1</v>
      </c>
      <c r="C187" s="31">
        <v>0.19</v>
      </c>
      <c r="D187" s="98" t="s">
        <v>991</v>
      </c>
      <c r="E187" s="22" t="s">
        <v>1436</v>
      </c>
      <c r="F187">
        <v>7702031244547</v>
      </c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8" ht="29.25">
      <c r="A188" s="24" t="s">
        <v>1437</v>
      </c>
      <c r="B188" s="8">
        <v>3</v>
      </c>
      <c r="C188" s="173">
        <v>0.19</v>
      </c>
      <c r="D188" s="99" t="s">
        <v>56</v>
      </c>
      <c r="E188" s="24" t="s">
        <v>1438</v>
      </c>
      <c r="F188" s="142">
        <v>7702035870384</v>
      </c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8" ht="29.25">
      <c r="A189" s="24" t="s">
        <v>1437</v>
      </c>
      <c r="B189" s="8">
        <v>1</v>
      </c>
      <c r="C189" s="173">
        <v>0.19</v>
      </c>
      <c r="D189" s="99" t="s">
        <v>56</v>
      </c>
      <c r="E189" s="24" t="s">
        <v>1438</v>
      </c>
      <c r="F189" s="142">
        <v>7702035870384</v>
      </c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8">
      <c r="A190" s="418"/>
      <c r="B190" s="440"/>
      <c r="C190" s="418"/>
      <c r="D190" s="418"/>
      <c r="E190" s="418"/>
      <c r="F190" s="418"/>
      <c r="G190" s="418"/>
      <c r="H190" s="418"/>
      <c r="I190" s="418"/>
      <c r="J190" s="418"/>
      <c r="K190" s="418"/>
      <c r="L190" s="418"/>
      <c r="M190" s="418"/>
      <c r="N190" s="418"/>
      <c r="O190" s="418"/>
      <c r="P190" s="418"/>
      <c r="Q190" s="418"/>
      <c r="R190" s="418"/>
      <c r="S190" s="418"/>
      <c r="T190" s="418"/>
      <c r="U190" s="418"/>
      <c r="V190" s="418"/>
      <c r="W190" s="418"/>
      <c r="X190" s="418"/>
      <c r="Y190" s="418"/>
      <c r="Z190" s="418"/>
      <c r="AA190" s="418"/>
      <c r="AB190" s="418"/>
    </row>
    <row r="191" spans="1:28">
      <c r="A191" s="152" t="s">
        <v>1439</v>
      </c>
      <c r="B191" s="96">
        <v>3</v>
      </c>
      <c r="C191" s="72">
        <v>0</v>
      </c>
      <c r="D191" s="83" t="s">
        <v>1440</v>
      </c>
      <c r="E191" s="152" t="s">
        <v>670</v>
      </c>
      <c r="F191" s="96">
        <v>7703546034029</v>
      </c>
      <c r="G191" s="74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8">
      <c r="A192" s="152" t="s">
        <v>1439</v>
      </c>
      <c r="B192" s="96">
        <v>6</v>
      </c>
      <c r="C192" s="72">
        <v>0</v>
      </c>
      <c r="D192" s="83" t="s">
        <v>1440</v>
      </c>
      <c r="E192" s="152" t="s">
        <v>670</v>
      </c>
      <c r="F192" s="96">
        <v>7703546034029</v>
      </c>
      <c r="G192" s="74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8" ht="29.25">
      <c r="A193" t="s">
        <v>1441</v>
      </c>
      <c r="B193" s="39">
        <v>2</v>
      </c>
      <c r="C193" s="40">
        <v>0.19</v>
      </c>
      <c r="D193" s="39" t="s">
        <v>1442</v>
      </c>
      <c r="E193" s="22" t="s">
        <v>1443</v>
      </c>
      <c r="F193">
        <v>7702031132844</v>
      </c>
    </row>
    <row r="194" spans="1:28">
      <c r="A194" s="76" t="s">
        <v>817</v>
      </c>
      <c r="B194" s="74">
        <v>3</v>
      </c>
      <c r="C194" s="75">
        <v>0</v>
      </c>
      <c r="D194" s="74" t="s">
        <v>818</v>
      </c>
      <c r="E194" s="76" t="s">
        <v>428</v>
      </c>
      <c r="F194" s="74">
        <v>7703038050018</v>
      </c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117"/>
      <c r="AA194" s="117"/>
      <c r="AB194" s="117"/>
    </row>
    <row r="195" spans="1:28" ht="28.5">
      <c r="A195" s="13" t="s">
        <v>1444</v>
      </c>
      <c r="B195" s="13">
        <v>1</v>
      </c>
      <c r="C195" s="270">
        <v>0</v>
      </c>
      <c r="D195" s="211" t="s">
        <v>1445</v>
      </c>
      <c r="E195" s="13" t="s">
        <v>1446</v>
      </c>
      <c r="F195" s="13">
        <v>7704232001998</v>
      </c>
    </row>
    <row r="196" spans="1:28" ht="45">
      <c r="A196" s="19" t="s">
        <v>1447</v>
      </c>
      <c r="B196" s="117">
        <v>2</v>
      </c>
      <c r="C196" s="19">
        <v>0</v>
      </c>
      <c r="D196" s="19" t="s">
        <v>948</v>
      </c>
      <c r="E196" s="43" t="s">
        <v>1448</v>
      </c>
      <c r="F196" s="19">
        <v>7707236122393</v>
      </c>
    </row>
    <row r="197" spans="1:28" ht="29.25">
      <c r="A197" s="22" t="s">
        <v>1449</v>
      </c>
      <c r="B197" s="39">
        <v>2</v>
      </c>
      <c r="C197" s="31">
        <v>0.19</v>
      </c>
      <c r="D197" s="98" t="s">
        <v>1450</v>
      </c>
      <c r="E197" s="22" t="s">
        <v>1451</v>
      </c>
      <c r="F197">
        <v>7702031244530</v>
      </c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8" ht="29.25">
      <c r="A198" s="22" t="s">
        <v>1452</v>
      </c>
      <c r="B198" s="39">
        <v>1</v>
      </c>
      <c r="C198" s="31">
        <v>0.19</v>
      </c>
      <c r="D198" s="98" t="s">
        <v>1453</v>
      </c>
      <c r="E198" s="22" t="s">
        <v>1436</v>
      </c>
      <c r="F198">
        <v>7702031244554</v>
      </c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8" ht="29.25">
      <c r="A199" t="s">
        <v>1454</v>
      </c>
      <c r="B199" s="39">
        <v>3</v>
      </c>
      <c r="C199" s="51">
        <v>0.19</v>
      </c>
      <c r="D199" s="51" t="s">
        <v>150</v>
      </c>
      <c r="E199" s="22" t="s">
        <v>1455</v>
      </c>
      <c r="F199">
        <v>7702031244486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8" ht="29.25">
      <c r="A200" t="s">
        <v>1454</v>
      </c>
      <c r="B200" s="39">
        <v>1</v>
      </c>
      <c r="C200" s="51">
        <v>0.19</v>
      </c>
      <c r="D200" s="51" t="s">
        <v>150</v>
      </c>
      <c r="E200" s="22" t="s">
        <v>1455</v>
      </c>
      <c r="F200">
        <v>7702031244486</v>
      </c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8" ht="29.25">
      <c r="A201" t="s">
        <v>1456</v>
      </c>
      <c r="B201" s="39">
        <v>1</v>
      </c>
      <c r="C201" s="51">
        <v>0.19</v>
      </c>
      <c r="D201" s="51" t="s">
        <v>1457</v>
      </c>
      <c r="E201" s="22" t="s">
        <v>1458</v>
      </c>
      <c r="F201">
        <v>7702031244509</v>
      </c>
    </row>
    <row r="202" spans="1:28" ht="29.25">
      <c r="A202" s="22" t="s">
        <v>1459</v>
      </c>
      <c r="B202" s="39">
        <v>1</v>
      </c>
      <c r="C202" s="51">
        <v>0.19</v>
      </c>
      <c r="D202" s="172" t="s">
        <v>1460</v>
      </c>
      <c r="E202" s="22" t="s">
        <v>1461</v>
      </c>
      <c r="F202" s="52">
        <v>7501007528427</v>
      </c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</row>
    <row r="203" spans="1:28" ht="28.5">
      <c r="A203" s="146" t="s">
        <v>1152</v>
      </c>
      <c r="B203" s="168">
        <v>1</v>
      </c>
      <c r="C203" s="147">
        <v>0</v>
      </c>
      <c r="D203" s="147" t="s">
        <v>1462</v>
      </c>
      <c r="E203" s="146" t="s">
        <v>1153</v>
      </c>
      <c r="F203" s="141">
        <v>7891317018986</v>
      </c>
      <c r="G203" s="28"/>
    </row>
    <row r="204" spans="1:28" ht="29.25">
      <c r="A204" s="8" t="s">
        <v>1463</v>
      </c>
      <c r="B204" s="8">
        <v>1</v>
      </c>
      <c r="C204" s="9">
        <v>0</v>
      </c>
      <c r="D204" s="203" t="s">
        <v>1464</v>
      </c>
      <c r="E204" s="7" t="s">
        <v>1465</v>
      </c>
      <c r="F204" s="8">
        <v>7501094912154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8" ht="43.5">
      <c r="A205" s="8" t="s">
        <v>574</v>
      </c>
      <c r="B205" s="8">
        <v>1</v>
      </c>
      <c r="C205" s="9">
        <v>0</v>
      </c>
      <c r="D205" s="203" t="s">
        <v>1433</v>
      </c>
      <c r="E205" s="7" t="s">
        <v>576</v>
      </c>
      <c r="F205" s="8">
        <v>7896261001572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8" s="418" customFormat="1">
      <c r="B206" s="440"/>
    </row>
    <row r="207" spans="1:28" ht="30">
      <c r="A207" s="96" t="s">
        <v>193</v>
      </c>
      <c r="B207" s="96">
        <v>8</v>
      </c>
      <c r="C207" s="97">
        <v>0</v>
      </c>
      <c r="D207" s="96" t="s">
        <v>10</v>
      </c>
      <c r="E207" s="152" t="s">
        <v>194</v>
      </c>
      <c r="F207" s="96">
        <v>7707035510513</v>
      </c>
      <c r="G207" s="96"/>
      <c r="H207" s="96"/>
      <c r="I207" s="96"/>
      <c r="J207" s="96"/>
      <c r="K207" s="96"/>
      <c r="L207" s="96"/>
      <c r="M207" s="96"/>
      <c r="N207" s="96"/>
      <c r="O207" s="96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8">
      <c r="A208" s="12" t="s">
        <v>640</v>
      </c>
      <c r="B208" s="12">
        <v>1</v>
      </c>
      <c r="C208" s="59">
        <v>0</v>
      </c>
      <c r="D208" s="137" t="s">
        <v>293</v>
      </c>
      <c r="E208" s="12" t="s">
        <v>641</v>
      </c>
      <c r="F208">
        <v>7702560026577</v>
      </c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</row>
    <row r="209" spans="1:28">
      <c r="A209" s="12" t="s">
        <v>1466</v>
      </c>
      <c r="B209" s="12">
        <v>4</v>
      </c>
      <c r="C209" s="59">
        <v>0</v>
      </c>
      <c r="D209" s="137" t="s">
        <v>80</v>
      </c>
      <c r="E209" s="12" t="s">
        <v>648</v>
      </c>
      <c r="F209" s="12">
        <v>7702560009532</v>
      </c>
    </row>
    <row r="210" spans="1:28" ht="29.25">
      <c r="A210" s="24" t="s">
        <v>1467</v>
      </c>
      <c r="B210" s="8">
        <v>1</v>
      </c>
      <c r="C210" s="9">
        <v>0</v>
      </c>
      <c r="D210" s="8" t="s">
        <v>1468</v>
      </c>
      <c r="E210" s="24" t="s">
        <v>1469</v>
      </c>
      <c r="F210" s="63">
        <v>7707278000970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117"/>
      <c r="AA210" s="117"/>
      <c r="AB210" s="117"/>
    </row>
    <row r="211" spans="1:28">
      <c r="A211" s="112" t="s">
        <v>1470</v>
      </c>
      <c r="B211" s="117">
        <v>1</v>
      </c>
      <c r="C211" s="345">
        <v>0</v>
      </c>
      <c r="D211" s="116" t="s">
        <v>450</v>
      </c>
      <c r="E211" s="117" t="s">
        <v>1471</v>
      </c>
      <c r="F211" s="117">
        <v>7501043130769</v>
      </c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8">
      <c r="A212" s="418"/>
      <c r="B212" s="440"/>
      <c r="C212" s="418"/>
      <c r="D212" s="418"/>
      <c r="E212" s="418"/>
      <c r="F212" s="418"/>
      <c r="G212" s="418"/>
      <c r="H212" s="418"/>
      <c r="I212" s="418"/>
      <c r="J212" s="418"/>
      <c r="K212" s="418"/>
      <c r="L212" s="418"/>
      <c r="M212" s="418"/>
      <c r="N212" s="418"/>
      <c r="O212" s="418"/>
      <c r="P212" s="418"/>
      <c r="Q212" s="418"/>
      <c r="R212" s="418"/>
      <c r="S212" s="418"/>
      <c r="T212" s="418"/>
      <c r="U212" s="418"/>
      <c r="V212" s="418"/>
      <c r="W212" s="418"/>
      <c r="X212" s="418"/>
      <c r="Y212" s="418"/>
      <c r="Z212" s="418"/>
      <c r="AA212" s="418"/>
      <c r="AB212" s="418"/>
    </row>
    <row r="213" spans="1:28">
      <c r="A213" s="22" t="s">
        <v>1472</v>
      </c>
      <c r="B213" s="39">
        <v>3</v>
      </c>
      <c r="C213" s="133">
        <v>0</v>
      </c>
      <c r="D213" s="23" t="s">
        <v>1415</v>
      </c>
      <c r="E213" t="s">
        <v>1473</v>
      </c>
      <c r="F213">
        <v>8903726237687</v>
      </c>
    </row>
    <row r="214" spans="1:28">
      <c r="A214" s="19" t="s">
        <v>240</v>
      </c>
      <c r="B214" s="117">
        <v>1</v>
      </c>
      <c r="C214" s="19">
        <v>0</v>
      </c>
      <c r="D214" s="19" t="s">
        <v>241</v>
      </c>
      <c r="E214" s="43" t="s">
        <v>242</v>
      </c>
      <c r="F214" s="19">
        <v>4048846001672</v>
      </c>
    </row>
    <row r="215" spans="1:28" ht="45">
      <c r="A215" s="117" t="s">
        <v>1474</v>
      </c>
      <c r="B215" s="117">
        <v>2</v>
      </c>
      <c r="C215" s="117">
        <v>0</v>
      </c>
      <c r="D215" s="117" t="s">
        <v>7</v>
      </c>
      <c r="E215" s="112" t="s">
        <v>1475</v>
      </c>
      <c r="F215" s="117">
        <v>7707229979799</v>
      </c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8">
      <c r="A216" s="74" t="s">
        <v>1476</v>
      </c>
      <c r="B216" s="74">
        <v>1</v>
      </c>
      <c r="C216" s="354">
        <v>0</v>
      </c>
      <c r="D216" s="355" t="s">
        <v>1477</v>
      </c>
      <c r="E216" s="74" t="s">
        <v>1478</v>
      </c>
      <c r="F216" s="74">
        <v>7702057709037</v>
      </c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</row>
    <row r="217" spans="1:28">
      <c r="A217" s="13" t="s">
        <v>1479</v>
      </c>
      <c r="B217" s="12">
        <v>1</v>
      </c>
      <c r="C217" s="59">
        <v>0</v>
      </c>
      <c r="D217" s="60" t="s">
        <v>53</v>
      </c>
      <c r="E217" s="13" t="s">
        <v>425</v>
      </c>
      <c r="F217" s="61">
        <v>7703038050339</v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 spans="1:28">
      <c r="A218" s="22" t="s">
        <v>131</v>
      </c>
      <c r="B218" s="39">
        <v>6</v>
      </c>
      <c r="C218" s="40">
        <v>0</v>
      </c>
      <c r="D218" s="39" t="s">
        <v>85</v>
      </c>
      <c r="E218" t="s">
        <v>75</v>
      </c>
      <c r="F218">
        <v>7703712030527</v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/>
      <c r="AA218"/>
    </row>
    <row r="219" spans="1:28">
      <c r="A219" s="418"/>
      <c r="B219" s="440"/>
      <c r="C219" s="418"/>
      <c r="D219" s="418"/>
      <c r="E219" s="418"/>
      <c r="F219" s="418"/>
      <c r="G219" s="418"/>
      <c r="H219" s="418"/>
      <c r="I219" s="418"/>
      <c r="J219" s="418"/>
      <c r="K219" s="418"/>
      <c r="L219" s="418"/>
      <c r="M219" s="418"/>
      <c r="N219" s="418"/>
      <c r="O219" s="418"/>
      <c r="P219" s="418"/>
      <c r="Q219" s="418"/>
      <c r="R219" s="418"/>
      <c r="S219" s="418"/>
      <c r="T219" s="418"/>
      <c r="U219" s="418"/>
      <c r="V219" s="418"/>
      <c r="W219" s="418"/>
      <c r="X219" s="418"/>
      <c r="Y219" s="418"/>
      <c r="Z219" s="418"/>
      <c r="AA219" s="418"/>
      <c r="AB219" s="418"/>
    </row>
    <row r="220" spans="1:28">
      <c r="A220" s="383" t="s">
        <v>669</v>
      </c>
      <c r="B220" s="383">
        <v>10</v>
      </c>
      <c r="C220" s="389">
        <v>0</v>
      </c>
      <c r="D220" s="390" t="s">
        <v>232</v>
      </c>
      <c r="E220" s="383" t="s">
        <v>670</v>
      </c>
      <c r="F220" s="383">
        <v>7703153022402</v>
      </c>
      <c r="G220" s="383"/>
      <c r="H220" s="383"/>
      <c r="I220" s="383"/>
      <c r="J220" s="383"/>
      <c r="K220" s="383"/>
      <c r="L220" s="383"/>
      <c r="M220" s="383"/>
      <c r="N220" s="383"/>
      <c r="O220" s="383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117"/>
    </row>
    <row r="221" spans="1:28" ht="30">
      <c r="A221" s="433" t="s">
        <v>1480</v>
      </c>
      <c r="B221" s="117">
        <v>1</v>
      </c>
      <c r="C221" s="126">
        <v>0.19</v>
      </c>
      <c r="D221" s="19" t="s">
        <v>1481</v>
      </c>
      <c r="E221" s="43" t="s">
        <v>925</v>
      </c>
      <c r="F221" s="19">
        <v>7702031734628</v>
      </c>
    </row>
    <row r="222" spans="1:28" ht="29.25">
      <c r="A222" t="s">
        <v>1482</v>
      </c>
      <c r="B222" s="39">
        <v>2</v>
      </c>
      <c r="C222" s="40">
        <v>0.19</v>
      </c>
      <c r="D222" s="39" t="s">
        <v>1442</v>
      </c>
      <c r="E222" s="22" t="s">
        <v>1443</v>
      </c>
      <c r="F222">
        <v>7702031132844</v>
      </c>
    </row>
    <row r="223" spans="1:28" ht="29.25">
      <c r="A223" t="s">
        <v>1482</v>
      </c>
      <c r="B223" s="39">
        <v>1</v>
      </c>
      <c r="C223" s="40">
        <v>0.19</v>
      </c>
      <c r="D223" s="39" t="s">
        <v>1483</v>
      </c>
      <c r="E223" s="22" t="s">
        <v>1484</v>
      </c>
      <c r="F223">
        <v>7891010037024</v>
      </c>
    </row>
    <row r="224" spans="1:28" ht="29.25">
      <c r="A224" s="22" t="s">
        <v>1485</v>
      </c>
      <c r="B224" s="39">
        <v>1</v>
      </c>
      <c r="C224" s="51">
        <v>0.19</v>
      </c>
      <c r="D224" s="194" t="s">
        <v>1486</v>
      </c>
      <c r="E224" s="22" t="s">
        <v>1487</v>
      </c>
      <c r="F224">
        <v>7702031244875</v>
      </c>
    </row>
    <row r="225" spans="1:28" ht="29.25">
      <c r="A225" t="s">
        <v>1488</v>
      </c>
      <c r="B225" s="39">
        <v>1</v>
      </c>
      <c r="C225" s="51">
        <v>0.19</v>
      </c>
      <c r="D225" s="51" t="s">
        <v>1489</v>
      </c>
      <c r="E225" s="22" t="s">
        <v>1490</v>
      </c>
      <c r="F225">
        <v>7702031244493</v>
      </c>
    </row>
    <row r="226" spans="1:28" ht="29.25">
      <c r="A226" s="434" t="s">
        <v>496</v>
      </c>
      <c r="B226" s="441">
        <v>1</v>
      </c>
      <c r="C226" s="436">
        <v>0</v>
      </c>
      <c r="D226" s="435" t="s">
        <v>497</v>
      </c>
      <c r="E226" s="434" t="s">
        <v>498</v>
      </c>
      <c r="F226" s="437">
        <v>7704590000000</v>
      </c>
      <c r="G226" s="438"/>
      <c r="H226" s="438"/>
      <c r="I226" s="438"/>
      <c r="J226" s="438"/>
      <c r="K226" s="438"/>
      <c r="L226" s="438"/>
      <c r="M226" s="438"/>
      <c r="N226" s="438"/>
      <c r="O226" s="438"/>
      <c r="P226" s="438"/>
      <c r="Q226" s="438"/>
      <c r="R226" s="438"/>
      <c r="S226" s="438"/>
      <c r="T226" s="438"/>
      <c r="U226" s="438"/>
      <c r="V226" s="438"/>
      <c r="W226" s="438"/>
      <c r="X226" s="438"/>
      <c r="Y226" s="438"/>
      <c r="Z226" s="438"/>
      <c r="AA226" s="438"/>
      <c r="AB226" s="438"/>
    </row>
    <row r="227" spans="1:28" ht="29.25">
      <c r="A227" t="s">
        <v>1491</v>
      </c>
      <c r="B227" s="39">
        <v>1</v>
      </c>
      <c r="C227" s="133">
        <v>0</v>
      </c>
      <c r="D227" s="23" t="s">
        <v>26</v>
      </c>
      <c r="E227" s="22" t="s">
        <v>1492</v>
      </c>
      <c r="F227">
        <v>7704588000430</v>
      </c>
    </row>
    <row r="228" spans="1:28">
      <c r="A228" s="418"/>
      <c r="B228" s="440"/>
      <c r="C228" s="418"/>
      <c r="D228" s="418"/>
      <c r="E228" s="418"/>
      <c r="F228" s="418"/>
      <c r="G228" s="418"/>
      <c r="H228" s="418"/>
      <c r="I228" s="418"/>
      <c r="J228" s="418"/>
      <c r="K228" s="418"/>
      <c r="L228" s="418"/>
      <c r="M228" s="418"/>
      <c r="N228" s="418"/>
      <c r="O228" s="418"/>
      <c r="P228" s="418"/>
      <c r="Q228" s="418"/>
      <c r="R228" s="418"/>
      <c r="S228" s="418"/>
      <c r="T228" s="418"/>
      <c r="U228" s="418"/>
      <c r="V228" s="418"/>
      <c r="W228" s="418"/>
      <c r="X228" s="418"/>
      <c r="Y228" s="418"/>
      <c r="Z228" s="418"/>
      <c r="AA228" s="418"/>
      <c r="AB228" s="418"/>
    </row>
    <row r="229" spans="1:28" ht="29.25">
      <c r="A229" s="22" t="s">
        <v>52</v>
      </c>
      <c r="B229" s="39">
        <v>2</v>
      </c>
      <c r="C229" s="133">
        <v>0</v>
      </c>
      <c r="D229" t="s">
        <v>53</v>
      </c>
      <c r="E229" s="22" t="s">
        <v>54</v>
      </c>
      <c r="F229" s="42">
        <v>7703038050346</v>
      </c>
    </row>
    <row r="230" spans="1:28" ht="29.25">
      <c r="A230" t="s">
        <v>1493</v>
      </c>
      <c r="B230" s="39">
        <v>2</v>
      </c>
      <c r="C230" s="133">
        <v>0</v>
      </c>
      <c r="D230" s="172" t="s">
        <v>1116</v>
      </c>
      <c r="E230" s="22" t="s">
        <v>1494</v>
      </c>
      <c r="F230" s="42">
        <v>7703153008147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</row>
    <row r="231" spans="1:28">
      <c r="A231" s="19" t="s">
        <v>1495</v>
      </c>
      <c r="B231" s="117">
        <v>5</v>
      </c>
      <c r="C231" s="19">
        <v>0</v>
      </c>
      <c r="D231" s="19" t="s">
        <v>222</v>
      </c>
      <c r="E231" s="19" t="s">
        <v>1496</v>
      </c>
      <c r="F231" s="19">
        <v>7703153004330</v>
      </c>
    </row>
    <row r="232" spans="1:28" ht="30">
      <c r="A232" s="112" t="s">
        <v>738</v>
      </c>
      <c r="B232" s="117">
        <v>1</v>
      </c>
      <c r="C232" s="117">
        <v>0</v>
      </c>
      <c r="D232" s="117" t="s">
        <v>74</v>
      </c>
      <c r="E232" s="112" t="s">
        <v>18</v>
      </c>
      <c r="F232" s="117">
        <v>7707355058153</v>
      </c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8" ht="30">
      <c r="A233" s="112" t="s">
        <v>738</v>
      </c>
      <c r="B233" s="117">
        <v>2</v>
      </c>
      <c r="C233" s="117">
        <v>0</v>
      </c>
      <c r="D233" s="117" t="s">
        <v>74</v>
      </c>
      <c r="E233" s="112" t="s">
        <v>18</v>
      </c>
      <c r="F233" s="117">
        <v>7707355058153</v>
      </c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8" ht="30">
      <c r="A234" s="76" t="s">
        <v>1497</v>
      </c>
      <c r="B234" s="74">
        <v>8</v>
      </c>
      <c r="C234" s="354">
        <v>0</v>
      </c>
      <c r="D234" s="354" t="s">
        <v>91</v>
      </c>
      <c r="E234" s="76" t="s">
        <v>24</v>
      </c>
      <c r="F234" s="372">
        <v>7707357200086</v>
      </c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</row>
    <row r="235" spans="1:28">
      <c r="A235" s="418"/>
      <c r="B235" s="440"/>
      <c r="C235" s="418"/>
      <c r="D235" s="418"/>
      <c r="E235" s="418"/>
      <c r="F235" s="418"/>
      <c r="G235" s="418"/>
      <c r="H235" s="418"/>
      <c r="I235" s="418"/>
      <c r="J235" s="418"/>
      <c r="K235" s="418"/>
      <c r="L235" s="418"/>
      <c r="M235" s="418"/>
      <c r="N235" s="418"/>
      <c r="O235" s="418"/>
      <c r="P235" s="418"/>
      <c r="Q235" s="418"/>
      <c r="R235" s="418"/>
      <c r="S235" s="418"/>
      <c r="T235" s="418"/>
      <c r="U235" s="418"/>
      <c r="V235" s="418"/>
      <c r="W235" s="418"/>
      <c r="X235" s="418"/>
      <c r="Y235" s="418"/>
      <c r="Z235" s="418"/>
      <c r="AA235" s="418"/>
      <c r="AB235" s="418"/>
    </row>
    <row r="236" spans="1:28" ht="29.25">
      <c r="A236" t="s">
        <v>1498</v>
      </c>
      <c r="B236" s="39">
        <v>2</v>
      </c>
      <c r="C236" s="133">
        <v>0</v>
      </c>
      <c r="D236" t="s">
        <v>1499</v>
      </c>
      <c r="E236" s="22" t="s">
        <v>1500</v>
      </c>
      <c r="F236">
        <v>7707019312836</v>
      </c>
    </row>
    <row r="237" spans="1:28">
      <c r="A237" s="418"/>
      <c r="B237" s="440"/>
      <c r="C237" s="418"/>
      <c r="D237" s="418"/>
      <c r="E237" s="418"/>
      <c r="F237" s="418"/>
      <c r="G237" s="418"/>
      <c r="H237" s="418"/>
      <c r="I237" s="418"/>
      <c r="J237" s="418"/>
      <c r="K237" s="418"/>
      <c r="L237" s="418"/>
      <c r="M237" s="418"/>
      <c r="N237" s="418"/>
      <c r="O237" s="418"/>
      <c r="P237" s="418"/>
      <c r="Q237" s="418"/>
      <c r="R237" s="418"/>
      <c r="S237" s="418"/>
      <c r="T237" s="418"/>
      <c r="U237" s="418"/>
      <c r="V237" s="418"/>
      <c r="W237" s="418"/>
      <c r="X237" s="418"/>
      <c r="Y237" s="418"/>
      <c r="Z237" s="418"/>
      <c r="AA237" s="418"/>
      <c r="AB237" s="418"/>
    </row>
    <row r="238" spans="1:28">
      <c r="A238" s="12" t="s">
        <v>1501</v>
      </c>
      <c r="B238" s="12">
        <v>1</v>
      </c>
      <c r="C238" s="70">
        <v>0</v>
      </c>
      <c r="D238" s="161" t="s">
        <v>1116</v>
      </c>
      <c r="E238" s="13" t="s">
        <v>1502</v>
      </c>
      <c r="F238">
        <v>7703153030520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</row>
    <row r="239" spans="1:28" ht="28.5">
      <c r="A239" s="141" t="s">
        <v>1503</v>
      </c>
      <c r="B239" s="168">
        <v>1</v>
      </c>
      <c r="C239" s="148">
        <v>0</v>
      </c>
      <c r="D239" s="147" t="s">
        <v>250</v>
      </c>
      <c r="E239" s="146" t="s">
        <v>1504</v>
      </c>
      <c r="F239" s="169">
        <v>7703445030153</v>
      </c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/>
      <c r="AA239"/>
    </row>
    <row r="240" spans="1:28">
      <c r="A240" s="117" t="s">
        <v>1505</v>
      </c>
      <c r="B240" s="117">
        <v>7</v>
      </c>
      <c r="C240" s="118">
        <v>0</v>
      </c>
      <c r="D240" s="119" t="s">
        <v>118</v>
      </c>
      <c r="E240" s="117" t="s">
        <v>1506</v>
      </c>
      <c r="F240" s="117">
        <v>5997001368466</v>
      </c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8" ht="29.25">
      <c r="A241" t="s">
        <v>1016</v>
      </c>
      <c r="B241" s="39">
        <v>1</v>
      </c>
      <c r="C241" s="133">
        <v>0</v>
      </c>
      <c r="D241" s="140" t="s">
        <v>1507</v>
      </c>
      <c r="E241" s="22" t="s">
        <v>779</v>
      </c>
      <c r="F241" s="42">
        <v>7702870070888</v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8">
      <c r="A242" s="418"/>
      <c r="B242" s="440"/>
      <c r="C242" s="418"/>
      <c r="D242" s="418"/>
      <c r="E242" s="418"/>
      <c r="F242" s="418"/>
      <c r="G242" s="418"/>
      <c r="H242" s="418"/>
      <c r="I242" s="418"/>
      <c r="J242" s="418"/>
      <c r="K242" s="418"/>
      <c r="L242" s="418"/>
      <c r="M242" s="418"/>
      <c r="N242" s="418"/>
      <c r="O242" s="418"/>
      <c r="P242" s="418"/>
      <c r="Q242" s="418"/>
      <c r="R242" s="418"/>
      <c r="S242" s="418"/>
      <c r="T242" s="418"/>
      <c r="U242" s="418"/>
      <c r="V242" s="418"/>
      <c r="W242" s="418"/>
      <c r="X242" s="418"/>
      <c r="Y242" s="418"/>
      <c r="Z242" s="418"/>
      <c r="AA242" s="418"/>
      <c r="AB242" s="418"/>
    </row>
    <row r="243" spans="1:28" ht="29.25">
      <c r="A243" s="24" t="s">
        <v>401</v>
      </c>
      <c r="B243" s="8">
        <v>1</v>
      </c>
      <c r="C243" s="192">
        <v>0</v>
      </c>
      <c r="D243" s="104" t="s">
        <v>402</v>
      </c>
      <c r="E243" s="24" t="s">
        <v>403</v>
      </c>
      <c r="F243" s="63">
        <v>7707019334302</v>
      </c>
    </row>
    <row r="244" spans="1:28">
      <c r="A244" s="74" t="s">
        <v>1476</v>
      </c>
      <c r="B244" s="74">
        <v>2</v>
      </c>
      <c r="C244" s="354">
        <v>0</v>
      </c>
      <c r="D244" s="355" t="s">
        <v>1477</v>
      </c>
      <c r="E244" s="74" t="s">
        <v>1478</v>
      </c>
      <c r="F244" s="74">
        <v>7702057709037</v>
      </c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</row>
    <row r="245" spans="1:28" ht="29.25">
      <c r="A245" t="s">
        <v>1508</v>
      </c>
      <c r="B245" s="39">
        <v>2</v>
      </c>
      <c r="C245" s="133">
        <v>0</v>
      </c>
      <c r="D245" t="s">
        <v>53</v>
      </c>
      <c r="E245" s="22" t="s">
        <v>1509</v>
      </c>
      <c r="F245">
        <v>7702184876732</v>
      </c>
    </row>
    <row r="246" spans="1:28">
      <c r="A246" s="13" t="s">
        <v>335</v>
      </c>
      <c r="B246" s="12">
        <v>1</v>
      </c>
      <c r="C246" s="105">
        <v>0</v>
      </c>
      <c r="D246" s="135" t="s">
        <v>250</v>
      </c>
      <c r="E246" s="12" t="s">
        <v>336</v>
      </c>
      <c r="F246" s="28">
        <v>4042809179408</v>
      </c>
      <c r="G246" s="28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</row>
    <row r="247" spans="1:28" ht="28.5">
      <c r="A247" s="13" t="s">
        <v>1510</v>
      </c>
      <c r="B247" s="12">
        <v>1</v>
      </c>
      <c r="C247" s="105">
        <v>0</v>
      </c>
      <c r="D247" s="135" t="s">
        <v>1511</v>
      </c>
      <c r="E247" s="13" t="s">
        <v>1512</v>
      </c>
      <c r="F247" s="28">
        <v>4042809179408</v>
      </c>
      <c r="G247" s="28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</row>
    <row r="248" spans="1:28">
      <c r="A248" s="16" t="s">
        <v>1513</v>
      </c>
      <c r="B248" s="32">
        <v>1</v>
      </c>
      <c r="C248" s="124">
        <v>0</v>
      </c>
      <c r="D248" s="204" t="s">
        <v>20</v>
      </c>
      <c r="E248" s="16" t="s">
        <v>1514</v>
      </c>
      <c r="F248" s="20">
        <v>7702132004484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8" ht="30">
      <c r="A249" s="112" t="s">
        <v>1515</v>
      </c>
      <c r="B249" s="117">
        <v>2</v>
      </c>
      <c r="C249" s="345">
        <v>0</v>
      </c>
      <c r="D249" s="116" t="s">
        <v>250</v>
      </c>
      <c r="E249" s="112" t="s">
        <v>83</v>
      </c>
      <c r="F249" s="117">
        <v>7702605111695</v>
      </c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8">
      <c r="A250" s="418"/>
      <c r="B250" s="440"/>
      <c r="C250" s="418"/>
      <c r="D250" s="418"/>
      <c r="E250" s="418"/>
      <c r="F250" s="418"/>
      <c r="G250" s="418"/>
      <c r="H250" s="418"/>
      <c r="I250" s="418"/>
      <c r="J250" s="418"/>
      <c r="K250" s="418"/>
      <c r="L250" s="418"/>
      <c r="M250" s="418"/>
      <c r="N250" s="418"/>
      <c r="O250" s="418"/>
      <c r="P250" s="418"/>
      <c r="Q250" s="418"/>
      <c r="R250" s="418"/>
      <c r="S250" s="418"/>
      <c r="T250" s="418"/>
      <c r="U250" s="418"/>
      <c r="V250" s="418"/>
      <c r="W250" s="418"/>
      <c r="X250" s="418"/>
      <c r="Y250" s="418"/>
      <c r="Z250" s="418"/>
      <c r="AA250" s="418"/>
      <c r="AB250" s="418"/>
    </row>
    <row r="251" spans="1:28">
      <c r="A251" s="130" t="s">
        <v>1516</v>
      </c>
      <c r="B251" s="214">
        <v>3</v>
      </c>
      <c r="C251" s="131">
        <v>0</v>
      </c>
      <c r="D251" s="215" t="s">
        <v>23</v>
      </c>
      <c r="E251" s="130" t="s">
        <v>15</v>
      </c>
      <c r="F251" s="130">
        <v>7709990383607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spans="1:28">
      <c r="A252" s="16" t="s">
        <v>1215</v>
      </c>
      <c r="B252" s="12">
        <v>1</v>
      </c>
      <c r="C252" s="59">
        <v>0</v>
      </c>
      <c r="D252" s="12" t="s">
        <v>250</v>
      </c>
      <c r="E252" s="18" t="s">
        <v>1216</v>
      </c>
      <c r="F252" s="18">
        <v>7702195300516</v>
      </c>
    </row>
    <row r="253" spans="1:28">
      <c r="A253" s="41" t="s">
        <v>1517</v>
      </c>
      <c r="B253" s="39">
        <v>2</v>
      </c>
      <c r="C253" s="51">
        <v>0</v>
      </c>
      <c r="D253" s="50" t="s">
        <v>1518</v>
      </c>
      <c r="E253" s="39" t="s">
        <v>1519</v>
      </c>
      <c r="F253" s="39">
        <v>7708952877192</v>
      </c>
      <c r="G253" s="39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</row>
    <row r="254" spans="1:28">
      <c r="A254" s="418"/>
      <c r="B254" s="440"/>
      <c r="C254" s="418"/>
      <c r="D254" s="418"/>
      <c r="E254" s="418"/>
      <c r="F254" s="418"/>
      <c r="G254" s="418"/>
      <c r="H254" s="418"/>
      <c r="I254" s="418"/>
      <c r="J254" s="418"/>
      <c r="K254" s="418"/>
      <c r="L254" s="418"/>
      <c r="M254" s="418"/>
      <c r="N254" s="418"/>
      <c r="O254" s="418"/>
      <c r="P254" s="418"/>
      <c r="Q254" s="418"/>
      <c r="R254" s="418"/>
      <c r="S254" s="418"/>
      <c r="T254" s="418"/>
      <c r="U254" s="418"/>
      <c r="V254" s="418"/>
      <c r="W254" s="418"/>
      <c r="X254" s="418"/>
      <c r="Y254" s="418"/>
      <c r="Z254" s="418"/>
      <c r="AA254" s="418"/>
      <c r="AB254" s="418"/>
    </row>
    <row r="255" spans="1:28">
      <c r="A255" s="22" t="s">
        <v>1520</v>
      </c>
      <c r="B255" s="39">
        <v>3</v>
      </c>
      <c r="C255" s="133">
        <v>0</v>
      </c>
      <c r="D255" s="183" t="s">
        <v>1521</v>
      </c>
      <c r="E255" s="22" t="s">
        <v>228</v>
      </c>
      <c r="F255">
        <v>8903726232774</v>
      </c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</row>
    <row r="256" spans="1:28">
      <c r="A256" s="418"/>
      <c r="B256" s="440"/>
      <c r="C256" s="418"/>
      <c r="D256" s="418"/>
      <c r="E256" s="418"/>
      <c r="F256" s="418"/>
      <c r="G256" s="418"/>
      <c r="H256" s="418"/>
      <c r="I256" s="418"/>
      <c r="J256" s="418"/>
      <c r="K256" s="418"/>
      <c r="L256" s="418"/>
      <c r="M256" s="418"/>
      <c r="N256" s="418"/>
      <c r="O256" s="418"/>
      <c r="P256" s="418"/>
      <c r="Q256" s="418"/>
      <c r="R256" s="418"/>
      <c r="S256" s="418"/>
      <c r="T256" s="418"/>
      <c r="U256" s="418"/>
      <c r="V256" s="418"/>
      <c r="W256" s="418"/>
      <c r="X256" s="418"/>
      <c r="Y256" s="418"/>
      <c r="Z256" s="418"/>
      <c r="AA256" s="418"/>
      <c r="AB256" s="418"/>
    </row>
    <row r="257" spans="1:28">
      <c r="A257" s="12" t="s">
        <v>1466</v>
      </c>
      <c r="B257" s="12">
        <v>3</v>
      </c>
      <c r="C257" s="59">
        <v>0</v>
      </c>
      <c r="D257" s="137" t="s">
        <v>80</v>
      </c>
      <c r="E257" s="12" t="s">
        <v>648</v>
      </c>
      <c r="F257" s="12">
        <v>7702560009532</v>
      </c>
    </row>
    <row r="258" spans="1:28" ht="28.5">
      <c r="A258" s="13" t="s">
        <v>1150</v>
      </c>
      <c r="B258" s="12">
        <v>1</v>
      </c>
      <c r="C258" s="105">
        <v>0</v>
      </c>
      <c r="D258" s="137" t="s">
        <v>112</v>
      </c>
      <c r="E258" s="13" t="s">
        <v>1151</v>
      </c>
      <c r="F258" s="61">
        <v>7501303010701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8">
      <c r="A259" s="8" t="s">
        <v>815</v>
      </c>
      <c r="B259" s="8">
        <v>2</v>
      </c>
      <c r="C259" s="167">
        <v>0</v>
      </c>
      <c r="D259" s="203" t="s">
        <v>808</v>
      </c>
      <c r="E259" s="7" t="s">
        <v>816</v>
      </c>
      <c r="F259" s="8">
        <v>8436024610949</v>
      </c>
    </row>
    <row r="260" spans="1:28">
      <c r="A260" s="19" t="s">
        <v>1522</v>
      </c>
      <c r="B260" s="117">
        <v>1</v>
      </c>
      <c r="C260" s="19">
        <v>0</v>
      </c>
      <c r="D260" s="19" t="s">
        <v>56</v>
      </c>
      <c r="E260" s="19" t="s">
        <v>1523</v>
      </c>
      <c r="F260" s="19">
        <v>7703889155450</v>
      </c>
    </row>
    <row r="261" spans="1:28" ht="30">
      <c r="A261" s="73" t="s">
        <v>1524</v>
      </c>
      <c r="B261" s="32">
        <v>2</v>
      </c>
      <c r="C261" s="290">
        <v>0.19</v>
      </c>
      <c r="D261" s="291" t="s">
        <v>74</v>
      </c>
      <c r="E261" s="73" t="s">
        <v>1525</v>
      </c>
      <c r="F261" s="32">
        <v>7702132004606</v>
      </c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8" ht="30">
      <c r="A262" s="112" t="s">
        <v>67</v>
      </c>
      <c r="B262" s="112">
        <v>1</v>
      </c>
      <c r="C262" s="350">
        <v>0</v>
      </c>
      <c r="D262" s="399" t="s">
        <v>458</v>
      </c>
      <c r="E262" s="112" t="s">
        <v>69</v>
      </c>
      <c r="F262" s="400">
        <v>7803510773319</v>
      </c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</row>
    <row r="263" spans="1:28" ht="29.25">
      <c r="A263" s="24" t="s">
        <v>1526</v>
      </c>
      <c r="B263" s="8">
        <v>1</v>
      </c>
      <c r="C263" s="30">
        <v>0</v>
      </c>
      <c r="D263" s="30" t="s">
        <v>1366</v>
      </c>
      <c r="E263" s="24" t="s">
        <v>1527</v>
      </c>
      <c r="F263" s="28">
        <v>6938741600439</v>
      </c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</row>
    <row r="264" spans="1:28">
      <c r="A264" s="112" t="s">
        <v>1528</v>
      </c>
      <c r="B264" s="112">
        <v>3</v>
      </c>
      <c r="C264" s="350">
        <v>0</v>
      </c>
      <c r="D264" s="374" t="s">
        <v>1529</v>
      </c>
      <c r="E264" s="112" t="s">
        <v>228</v>
      </c>
      <c r="F264" s="112">
        <v>8903726232798</v>
      </c>
      <c r="G264" s="112"/>
      <c r="H264" s="112"/>
      <c r="I264" s="112"/>
      <c r="J264" s="112"/>
      <c r="K264" s="112"/>
      <c r="L264" s="112"/>
      <c r="M264" s="112"/>
      <c r="N264" s="112"/>
      <c r="O264" s="112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</row>
    <row r="265" spans="1:28" ht="30">
      <c r="A265" s="152" t="s">
        <v>1027</v>
      </c>
      <c r="B265" s="96">
        <v>8</v>
      </c>
      <c r="C265" s="97">
        <v>0</v>
      </c>
      <c r="D265" s="96" t="s">
        <v>80</v>
      </c>
      <c r="E265" s="152" t="s">
        <v>1028</v>
      </c>
      <c r="F265" s="369">
        <v>7706569000194</v>
      </c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117"/>
      <c r="AA265" s="117"/>
      <c r="AB265" s="117"/>
    </row>
    <row r="266" spans="1:28" ht="30">
      <c r="A266" s="43" t="s">
        <v>1186</v>
      </c>
      <c r="B266" s="117">
        <v>1</v>
      </c>
      <c r="C266" s="19">
        <v>0</v>
      </c>
      <c r="D266" s="19" t="s">
        <v>7</v>
      </c>
      <c r="E266" s="43" t="s">
        <v>1187</v>
      </c>
      <c r="F266" s="19">
        <v>7702896136940</v>
      </c>
    </row>
    <row r="267" spans="1:28">
      <c r="A267" s="74" t="s">
        <v>1122</v>
      </c>
      <c r="B267" s="74">
        <v>2</v>
      </c>
      <c r="C267" s="75">
        <v>0</v>
      </c>
      <c r="D267" s="336" t="s">
        <v>603</v>
      </c>
      <c r="E267" s="76" t="s">
        <v>63</v>
      </c>
      <c r="F267" s="74">
        <v>7702418004351</v>
      </c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</row>
    <row r="268" spans="1:28" ht="43.5">
      <c r="A268" s="28" t="s">
        <v>1530</v>
      </c>
      <c r="B268" s="8">
        <v>20</v>
      </c>
      <c r="C268" s="192">
        <v>0.19</v>
      </c>
      <c r="D268" s="30" t="s">
        <v>298</v>
      </c>
      <c r="E268" s="24" t="s">
        <v>1531</v>
      </c>
      <c r="F268" s="28">
        <v>7707346260039</v>
      </c>
      <c r="G268" s="28"/>
    </row>
    <row r="269" spans="1:28" ht="28.5">
      <c r="A269" s="69" t="s">
        <v>362</v>
      </c>
      <c r="B269" s="12">
        <v>1</v>
      </c>
      <c r="C269" s="59">
        <v>0.19</v>
      </c>
      <c r="D269" s="111" t="s">
        <v>458</v>
      </c>
      <c r="E269" s="13" t="s">
        <v>364</v>
      </c>
      <c r="F269" s="211">
        <v>7794640170133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 spans="1:28">
      <c r="A270" s="19" t="s">
        <v>1532</v>
      </c>
      <c r="B270" s="117">
        <v>3</v>
      </c>
      <c r="C270" s="19">
        <v>0</v>
      </c>
      <c r="D270" s="19" t="s">
        <v>1533</v>
      </c>
      <c r="E270" s="19" t="s">
        <v>1534</v>
      </c>
      <c r="F270" s="19">
        <v>7704412000049</v>
      </c>
    </row>
    <row r="271" spans="1:28">
      <c r="A271" s="96" t="s">
        <v>473</v>
      </c>
      <c r="B271" s="96">
        <v>1</v>
      </c>
      <c r="C271" s="97">
        <v>0</v>
      </c>
      <c r="D271" s="96" t="s">
        <v>156</v>
      </c>
      <c r="E271" s="152" t="s">
        <v>474</v>
      </c>
      <c r="F271" s="96">
        <v>7702195090479</v>
      </c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8">
      <c r="A272" s="418"/>
      <c r="B272" s="440"/>
      <c r="C272" s="418"/>
      <c r="D272" s="418"/>
      <c r="E272" s="418"/>
      <c r="F272" s="418"/>
      <c r="G272" s="418"/>
      <c r="H272" s="418"/>
      <c r="I272" s="418"/>
      <c r="J272" s="418"/>
      <c r="K272" s="418"/>
      <c r="L272" s="418"/>
      <c r="M272" s="418"/>
      <c r="N272" s="418"/>
      <c r="O272" s="418"/>
      <c r="P272" s="418"/>
      <c r="Q272" s="418"/>
      <c r="R272" s="418"/>
      <c r="S272" s="418"/>
      <c r="T272" s="418"/>
      <c r="U272" s="418"/>
      <c r="V272" s="418"/>
      <c r="W272" s="418"/>
      <c r="X272" s="418"/>
      <c r="Y272" s="418"/>
      <c r="Z272" s="418"/>
      <c r="AA272" s="418"/>
      <c r="AB272" s="418"/>
    </row>
    <row r="273" spans="1:28">
      <c r="A273" s="24" t="s">
        <v>1535</v>
      </c>
      <c r="B273" s="8">
        <v>2</v>
      </c>
      <c r="C273" s="31">
        <v>0.19</v>
      </c>
      <c r="D273" s="99" t="s">
        <v>829</v>
      </c>
      <c r="E273" s="8" t="s">
        <v>1536</v>
      </c>
      <c r="F273" s="28">
        <v>7702123014447</v>
      </c>
    </row>
    <row r="274" spans="1:28">
      <c r="A274" s="8" t="s">
        <v>526</v>
      </c>
      <c r="B274" s="8">
        <v>8</v>
      </c>
      <c r="C274" s="173">
        <v>0</v>
      </c>
      <c r="D274" s="30" t="s">
        <v>527</v>
      </c>
      <c r="E274" s="25" t="s">
        <v>528</v>
      </c>
      <c r="F274" s="30">
        <v>7702195057304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8" ht="29.25">
      <c r="A275" s="28" t="s">
        <v>1537</v>
      </c>
      <c r="B275" s="8">
        <v>10</v>
      </c>
      <c r="C275" s="173">
        <v>0</v>
      </c>
      <c r="D275" s="98" t="s">
        <v>59</v>
      </c>
      <c r="E275" s="24" t="s">
        <v>1538</v>
      </c>
      <c r="F275" s="28">
        <v>7707271202197</v>
      </c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</row>
    <row r="276" spans="1:28">
      <c r="A276" s="28" t="s">
        <v>221</v>
      </c>
      <c r="B276" s="8">
        <v>2</v>
      </c>
      <c r="C276" s="9">
        <v>0</v>
      </c>
      <c r="D276" s="8" t="s">
        <v>222</v>
      </c>
      <c r="E276" s="24" t="s">
        <v>223</v>
      </c>
      <c r="F276" s="28">
        <v>7704412152847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8" ht="29.25">
      <c r="A277" s="24" t="s">
        <v>1539</v>
      </c>
      <c r="B277" s="8">
        <v>1</v>
      </c>
      <c r="C277" s="31">
        <v>0</v>
      </c>
      <c r="D277" s="99" t="s">
        <v>235</v>
      </c>
      <c r="E277" s="7" t="s">
        <v>1540</v>
      </c>
      <c r="F277" s="28">
        <v>7702057838294</v>
      </c>
    </row>
    <row r="278" spans="1:28" ht="30">
      <c r="A278" s="18" t="s">
        <v>1220</v>
      </c>
      <c r="B278" s="32">
        <v>1</v>
      </c>
      <c r="C278" s="72">
        <v>0</v>
      </c>
      <c r="D278" s="72" t="s">
        <v>118</v>
      </c>
      <c r="E278" s="16" t="s">
        <v>1221</v>
      </c>
      <c r="F278" s="18">
        <v>7702195873256</v>
      </c>
      <c r="AA278" s="117"/>
      <c r="AB278" s="117"/>
    </row>
    <row r="279" spans="1:28" ht="30">
      <c r="A279" s="16" t="s">
        <v>1541</v>
      </c>
      <c r="B279" s="32">
        <v>1</v>
      </c>
      <c r="C279" s="124">
        <v>0</v>
      </c>
      <c r="D279" s="17" t="s">
        <v>1293</v>
      </c>
      <c r="E279" s="16" t="s">
        <v>1542</v>
      </c>
      <c r="F279" s="139">
        <v>7703281000679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117"/>
    </row>
    <row r="280" spans="1:28" ht="30">
      <c r="A280" s="73" t="s">
        <v>1118</v>
      </c>
      <c r="B280" s="32">
        <v>3</v>
      </c>
      <c r="C280" s="72">
        <v>0</v>
      </c>
      <c r="D280" s="72" t="s">
        <v>276</v>
      </c>
      <c r="E280" s="73" t="s">
        <v>1119</v>
      </c>
      <c r="F280" s="32">
        <v>7500435107013</v>
      </c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</row>
    <row r="281" spans="1:28">
      <c r="A281" s="32" t="s">
        <v>965</v>
      </c>
      <c r="B281" s="32">
        <v>8</v>
      </c>
      <c r="C281" s="89">
        <v>0</v>
      </c>
      <c r="D281" s="90" t="s">
        <v>118</v>
      </c>
      <c r="E281" s="73" t="s">
        <v>966</v>
      </c>
      <c r="F281" s="32">
        <v>7707177971616</v>
      </c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8">
      <c r="A282" s="152" t="s">
        <v>828</v>
      </c>
      <c r="B282" s="96">
        <v>1</v>
      </c>
      <c r="C282" s="97">
        <v>0</v>
      </c>
      <c r="D282" s="95" t="s">
        <v>829</v>
      </c>
      <c r="E282" s="152" t="s">
        <v>830</v>
      </c>
      <c r="F282" s="117">
        <v>7709233974463</v>
      </c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8">
      <c r="A283" s="418"/>
      <c r="B283" s="440"/>
      <c r="C283" s="418"/>
      <c r="D283" s="418"/>
      <c r="E283" s="418"/>
      <c r="F283" s="418"/>
      <c r="G283" s="418"/>
      <c r="H283" s="418"/>
      <c r="I283" s="418"/>
      <c r="J283" s="418"/>
      <c r="K283" s="418"/>
      <c r="L283" s="418"/>
      <c r="M283" s="418"/>
      <c r="N283" s="418"/>
      <c r="O283" s="418"/>
      <c r="P283" s="418"/>
      <c r="Q283" s="418"/>
      <c r="R283" s="418"/>
      <c r="S283" s="418"/>
      <c r="T283" s="418"/>
      <c r="U283" s="418"/>
      <c r="V283" s="418"/>
      <c r="W283" s="418"/>
      <c r="X283" s="418"/>
      <c r="Y283" s="418"/>
      <c r="Z283" s="418"/>
      <c r="AA283" s="418"/>
      <c r="AB283" s="418"/>
    </row>
    <row r="284" spans="1:28">
      <c r="A284" s="141" t="s">
        <v>1543</v>
      </c>
      <c r="B284" s="12">
        <v>2</v>
      </c>
      <c r="C284" s="14">
        <v>0</v>
      </c>
      <c r="D284" s="14" t="s">
        <v>156</v>
      </c>
      <c r="E284" s="14" t="s">
        <v>1544</v>
      </c>
      <c r="F284" s="14">
        <v>7702184011263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/>
    </row>
    <row r="285" spans="1:28" ht="30">
      <c r="A285" s="73" t="s">
        <v>132</v>
      </c>
      <c r="B285" s="32">
        <v>2</v>
      </c>
      <c r="C285" s="72">
        <v>0</v>
      </c>
      <c r="D285" s="74" t="s">
        <v>133</v>
      </c>
      <c r="E285" s="73" t="s">
        <v>134</v>
      </c>
      <c r="F285" s="321">
        <v>7705959881016</v>
      </c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117"/>
    </row>
    <row r="286" spans="1:28" ht="30">
      <c r="A286" s="76" t="s">
        <v>1545</v>
      </c>
      <c r="B286" s="74">
        <v>3</v>
      </c>
      <c r="C286" s="75" t="s">
        <v>1546</v>
      </c>
      <c r="D286" s="91" t="s">
        <v>23</v>
      </c>
      <c r="E286" s="76" t="s">
        <v>1547</v>
      </c>
      <c r="F286" s="117">
        <v>7709559308140</v>
      </c>
      <c r="G286" s="74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8">
      <c r="A287" s="7" t="s">
        <v>1182</v>
      </c>
      <c r="B287" s="8">
        <v>2</v>
      </c>
      <c r="C287" s="31">
        <v>0</v>
      </c>
      <c r="D287" s="30" t="s">
        <v>1450</v>
      </c>
      <c r="E287" s="8" t="s">
        <v>1166</v>
      </c>
      <c r="F287" s="8">
        <v>7707190180026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8">
      <c r="A288" s="24" t="s">
        <v>1165</v>
      </c>
      <c r="B288" s="8">
        <v>1</v>
      </c>
      <c r="C288" s="31">
        <v>0</v>
      </c>
      <c r="D288" s="30" t="s">
        <v>1548</v>
      </c>
      <c r="E288" s="28" t="s">
        <v>1166</v>
      </c>
      <c r="F288" s="68">
        <v>7707190180019</v>
      </c>
    </row>
    <row r="289" spans="1:28" ht="30">
      <c r="A289" s="19" t="s">
        <v>1549</v>
      </c>
      <c r="B289" s="117">
        <v>1</v>
      </c>
      <c r="C289" s="19">
        <v>0</v>
      </c>
      <c r="D289" s="19" t="s">
        <v>1550</v>
      </c>
      <c r="E289" s="43" t="s">
        <v>107</v>
      </c>
      <c r="F289" s="19">
        <v>8903726196359</v>
      </c>
    </row>
    <row r="290" spans="1:28">
      <c r="A290" s="16" t="s">
        <v>1551</v>
      </c>
      <c r="B290" s="32">
        <v>1</v>
      </c>
      <c r="C290" s="184">
        <v>0</v>
      </c>
      <c r="D290" s="138" t="s">
        <v>1552</v>
      </c>
      <c r="E290" s="16" t="s">
        <v>1553</v>
      </c>
      <c r="F290" s="18">
        <v>7706127005166</v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/>
    </row>
    <row r="291" spans="1:28">
      <c r="A291" s="418"/>
      <c r="B291" s="440"/>
      <c r="C291" s="418"/>
      <c r="D291" s="418"/>
      <c r="E291" s="418"/>
      <c r="F291" s="418"/>
      <c r="G291" s="418"/>
      <c r="H291" s="418"/>
      <c r="I291" s="418"/>
      <c r="J291" s="418"/>
      <c r="K291" s="418"/>
      <c r="L291" s="418"/>
      <c r="M291" s="418"/>
      <c r="N291" s="418"/>
      <c r="O291" s="418"/>
      <c r="P291" s="418"/>
      <c r="Q291" s="418"/>
      <c r="R291" s="418"/>
      <c r="S291" s="418"/>
      <c r="T291" s="418"/>
      <c r="U291" s="418"/>
      <c r="V291" s="418"/>
      <c r="W291" s="418"/>
      <c r="X291" s="418"/>
      <c r="Y291" s="418"/>
      <c r="Z291" s="418"/>
      <c r="AA291" s="418"/>
      <c r="AB291" s="418"/>
    </row>
    <row r="292" spans="1:28" ht="30">
      <c r="A292" s="19" t="s">
        <v>1554</v>
      </c>
      <c r="B292" s="117">
        <v>3</v>
      </c>
      <c r="C292" s="19">
        <v>0</v>
      </c>
      <c r="D292" s="19" t="s">
        <v>1555</v>
      </c>
      <c r="E292" s="43" t="s">
        <v>1556</v>
      </c>
      <c r="F292" s="19">
        <v>7702605102624</v>
      </c>
    </row>
    <row r="293" spans="1:28">
      <c r="A293" s="7" t="s">
        <v>1557</v>
      </c>
      <c r="B293" s="8">
        <v>10</v>
      </c>
      <c r="C293" s="9">
        <v>0</v>
      </c>
      <c r="D293" s="98" t="s">
        <v>109</v>
      </c>
      <c r="E293" s="8" t="s">
        <v>1558</v>
      </c>
      <c r="F293" s="63">
        <v>7709141546059</v>
      </c>
    </row>
    <row r="294" spans="1:28" ht="30">
      <c r="A294" s="16" t="s">
        <v>1559</v>
      </c>
      <c r="B294" s="8">
        <v>1</v>
      </c>
      <c r="C294" s="31">
        <v>0</v>
      </c>
      <c r="D294" s="98" t="s">
        <v>1560</v>
      </c>
      <c r="E294" s="16" t="s">
        <v>1542</v>
      </c>
      <c r="F294" s="142">
        <v>7703333007113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3"/>
    </row>
    <row r="295" spans="1:28">
      <c r="A295" s="418"/>
      <c r="B295" s="440"/>
      <c r="C295" s="418"/>
      <c r="D295" s="418"/>
      <c r="E295" s="418"/>
      <c r="F295" s="418"/>
      <c r="G295" s="418"/>
      <c r="H295" s="418"/>
      <c r="I295" s="418"/>
      <c r="J295" s="418"/>
      <c r="K295" s="418"/>
      <c r="L295" s="418"/>
      <c r="M295" s="418"/>
      <c r="N295" s="418"/>
      <c r="O295" s="418"/>
      <c r="P295" s="418"/>
      <c r="Q295" s="418"/>
      <c r="R295" s="418"/>
      <c r="S295" s="418"/>
      <c r="T295" s="418"/>
      <c r="U295" s="418"/>
      <c r="V295" s="418"/>
      <c r="W295" s="418"/>
      <c r="X295" s="418"/>
      <c r="Y295" s="418"/>
      <c r="Z295" s="418"/>
      <c r="AA295" s="418"/>
      <c r="AB295" s="418"/>
    </row>
    <row r="296" spans="1:28" ht="30">
      <c r="A296" s="73" t="s">
        <v>132</v>
      </c>
      <c r="B296" s="32">
        <v>2</v>
      </c>
      <c r="C296" s="72">
        <v>0</v>
      </c>
      <c r="D296" s="74" t="s">
        <v>133</v>
      </c>
      <c r="E296" s="73" t="s">
        <v>134</v>
      </c>
      <c r="F296" s="321">
        <v>7705959881016</v>
      </c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117"/>
    </row>
    <row r="297" spans="1:28">
      <c r="A297" s="418"/>
      <c r="B297" s="440"/>
      <c r="C297" s="418"/>
      <c r="D297" s="418"/>
      <c r="E297" s="418"/>
      <c r="F297" s="418"/>
      <c r="G297" s="418"/>
      <c r="H297" s="418"/>
      <c r="I297" s="418"/>
      <c r="J297" s="418"/>
      <c r="K297" s="418"/>
      <c r="L297" s="418"/>
      <c r="M297" s="418"/>
      <c r="N297" s="418"/>
      <c r="O297" s="418"/>
      <c r="P297" s="418"/>
      <c r="Q297" s="418"/>
      <c r="R297" s="418"/>
      <c r="S297" s="418"/>
      <c r="T297" s="418"/>
      <c r="U297" s="418"/>
      <c r="V297" s="418"/>
      <c r="W297" s="418"/>
      <c r="X297" s="418"/>
      <c r="Y297" s="418"/>
      <c r="Z297" s="418"/>
      <c r="AA297" s="418"/>
      <c r="AB297" s="418"/>
    </row>
    <row r="298" spans="1:28">
      <c r="A298" s="195" t="s">
        <v>903</v>
      </c>
      <c r="B298" s="200">
        <v>8</v>
      </c>
      <c r="C298" s="360">
        <v>0</v>
      </c>
      <c r="D298" s="361" t="s">
        <v>355</v>
      </c>
      <c r="E298" s="195" t="s">
        <v>904</v>
      </c>
      <c r="F298" s="373">
        <v>7702605100019</v>
      </c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</row>
    <row r="299" spans="1:28" ht="30">
      <c r="A299" s="181" t="s">
        <v>688</v>
      </c>
      <c r="B299" s="347">
        <v>10</v>
      </c>
      <c r="C299" s="395">
        <v>0</v>
      </c>
      <c r="D299" s="347" t="s">
        <v>91</v>
      </c>
      <c r="E299" s="181" t="s">
        <v>689</v>
      </c>
      <c r="F299" s="396">
        <v>7707321982093</v>
      </c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8" ht="30">
      <c r="A300" s="117" t="s">
        <v>1561</v>
      </c>
      <c r="B300" s="117">
        <v>3</v>
      </c>
      <c r="C300" s="117">
        <v>0</v>
      </c>
      <c r="D300" s="117" t="s">
        <v>1562</v>
      </c>
      <c r="E300" s="112" t="s">
        <v>1563</v>
      </c>
      <c r="F300" s="117">
        <v>7707019384116</v>
      </c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</row>
    <row r="301" spans="1:28" ht="30">
      <c r="A301" s="19" t="s">
        <v>790</v>
      </c>
      <c r="B301" s="117">
        <v>1</v>
      </c>
      <c r="C301" s="19">
        <v>0</v>
      </c>
      <c r="D301" s="19" t="s">
        <v>652</v>
      </c>
      <c r="E301" s="43" t="s">
        <v>791</v>
      </c>
      <c r="F301" s="19">
        <v>7707019380606</v>
      </c>
    </row>
    <row r="302" spans="1:28" ht="29.25">
      <c r="A302" s="8" t="s">
        <v>1564</v>
      </c>
      <c r="B302" s="8">
        <v>1</v>
      </c>
      <c r="C302" s="101">
        <v>0</v>
      </c>
      <c r="D302" s="101" t="s">
        <v>1565</v>
      </c>
      <c r="E302" s="7" t="s">
        <v>1566</v>
      </c>
      <c r="F302" s="8">
        <v>7707274721091</v>
      </c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  <row r="303" spans="1:28">
      <c r="A303" s="418"/>
      <c r="B303" s="440"/>
      <c r="C303" s="418"/>
      <c r="D303" s="418"/>
      <c r="E303" s="418"/>
      <c r="F303" s="418"/>
      <c r="G303" s="418"/>
      <c r="H303" s="418"/>
      <c r="I303" s="418"/>
      <c r="J303" s="418"/>
      <c r="K303" s="418"/>
      <c r="L303" s="418"/>
      <c r="M303" s="418"/>
      <c r="N303" s="418"/>
      <c r="O303" s="418"/>
      <c r="P303" s="418"/>
      <c r="Q303" s="418"/>
      <c r="R303" s="418"/>
      <c r="S303" s="418"/>
      <c r="T303" s="418"/>
      <c r="U303" s="418"/>
      <c r="V303" s="418"/>
      <c r="W303" s="418"/>
      <c r="X303" s="418"/>
      <c r="Y303" s="418"/>
      <c r="Z303" s="418"/>
      <c r="AA303" s="418"/>
      <c r="AB303" s="418"/>
    </row>
    <row r="304" spans="1:28">
      <c r="A304" s="12" t="s">
        <v>1567</v>
      </c>
      <c r="B304" s="12">
        <v>2</v>
      </c>
      <c r="C304" s="14">
        <v>0</v>
      </c>
      <c r="D304" s="14" t="s">
        <v>1568</v>
      </c>
      <c r="E304" s="14" t="s">
        <v>1544</v>
      </c>
      <c r="F304" s="14">
        <v>7702626214856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/>
    </row>
    <row r="305" spans="1:28">
      <c r="A305" t="s">
        <v>1569</v>
      </c>
      <c r="B305" s="39">
        <v>1</v>
      </c>
      <c r="C305" s="140">
        <v>0.19</v>
      </c>
      <c r="D305" s="140" t="s">
        <v>1570</v>
      </c>
      <c r="E305" t="s">
        <v>1571</v>
      </c>
      <c r="F305">
        <v>7701684000456</v>
      </c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>
      <c r="A306" s="24" t="s">
        <v>1572</v>
      </c>
      <c r="B306" s="8">
        <v>2</v>
      </c>
      <c r="C306" s="192">
        <v>0</v>
      </c>
      <c r="D306" s="62" t="s">
        <v>808</v>
      </c>
      <c r="E306" s="28" t="s">
        <v>1573</v>
      </c>
      <c r="F306" s="28">
        <v>8901463122280</v>
      </c>
      <c r="G306" s="28"/>
    </row>
    <row r="307" spans="1:28">
      <c r="A307" s="24" t="s">
        <v>1572</v>
      </c>
      <c r="B307" s="8">
        <v>1</v>
      </c>
      <c r="C307" s="192">
        <v>0</v>
      </c>
      <c r="D307" s="62" t="s">
        <v>808</v>
      </c>
      <c r="E307" s="28" t="s">
        <v>1573</v>
      </c>
      <c r="F307" s="28">
        <v>8901463122280</v>
      </c>
      <c r="G307" s="28"/>
    </row>
    <row r="308" spans="1:28" ht="29.25">
      <c r="A308" s="22" t="s">
        <v>955</v>
      </c>
      <c r="B308" s="39">
        <v>2</v>
      </c>
      <c r="C308" s="51">
        <v>0</v>
      </c>
      <c r="D308" s="172" t="s">
        <v>56</v>
      </c>
      <c r="E308" s="22" t="s">
        <v>956</v>
      </c>
      <c r="F308" s="52">
        <v>7702184020388</v>
      </c>
    </row>
    <row r="309" spans="1:28" ht="29.25">
      <c r="A309" s="22" t="s">
        <v>955</v>
      </c>
      <c r="B309" s="39">
        <v>1</v>
      </c>
      <c r="C309" s="51">
        <v>0</v>
      </c>
      <c r="D309" s="172" t="s">
        <v>56</v>
      </c>
      <c r="E309" s="22" t="s">
        <v>956</v>
      </c>
      <c r="F309" s="52">
        <v>7702184020388</v>
      </c>
    </row>
    <row r="310" spans="1:28" ht="29.25">
      <c r="A310" t="s">
        <v>1330</v>
      </c>
      <c r="B310" s="39">
        <v>6</v>
      </c>
      <c r="C310" s="133">
        <v>0</v>
      </c>
      <c r="D310" t="s">
        <v>23</v>
      </c>
      <c r="E310" s="22" t="s">
        <v>1332</v>
      </c>
      <c r="F310">
        <v>7708636936061</v>
      </c>
    </row>
    <row r="311" spans="1:28" ht="29.25">
      <c r="A311" s="7" t="s">
        <v>1327</v>
      </c>
      <c r="B311" s="8">
        <v>2</v>
      </c>
      <c r="C311" s="9">
        <v>0</v>
      </c>
      <c r="D311" s="203" t="s">
        <v>103</v>
      </c>
      <c r="E311" s="7" t="s">
        <v>1328</v>
      </c>
      <c r="F311" s="8">
        <v>7702027041662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>
      <c r="A312" s="418"/>
      <c r="B312" s="440"/>
      <c r="C312" s="418"/>
      <c r="D312" s="418"/>
      <c r="E312" s="418"/>
      <c r="F312" s="418"/>
      <c r="G312" s="418"/>
      <c r="H312" s="418"/>
      <c r="I312" s="418"/>
      <c r="J312" s="418"/>
      <c r="K312" s="418"/>
      <c r="L312" s="418"/>
      <c r="M312" s="418"/>
      <c r="N312" s="418"/>
      <c r="O312" s="418"/>
      <c r="P312" s="418"/>
      <c r="Q312" s="418"/>
      <c r="R312" s="418"/>
      <c r="S312" s="418"/>
      <c r="T312" s="418"/>
      <c r="U312" s="418"/>
      <c r="V312" s="418"/>
      <c r="W312" s="418"/>
      <c r="X312" s="418"/>
      <c r="Y312" s="418"/>
      <c r="Z312" s="418"/>
      <c r="AA312" s="418"/>
      <c r="AB312" s="418"/>
    </row>
    <row r="313" spans="1:28">
      <c r="A313" t="s">
        <v>320</v>
      </c>
      <c r="B313" s="39">
        <v>6</v>
      </c>
      <c r="C313" s="40">
        <v>0</v>
      </c>
      <c r="D313" s="39" t="s">
        <v>902</v>
      </c>
      <c r="E313" t="s">
        <v>322</v>
      </c>
      <c r="F313">
        <v>6921875013176</v>
      </c>
    </row>
    <row r="314" spans="1:28">
      <c r="A314" s="76" t="s">
        <v>817</v>
      </c>
      <c r="B314" s="74">
        <v>2</v>
      </c>
      <c r="C314" s="75">
        <v>0</v>
      </c>
      <c r="D314" s="74" t="s">
        <v>818</v>
      </c>
      <c r="E314" s="76" t="s">
        <v>428</v>
      </c>
      <c r="F314" s="74">
        <v>7703038050018</v>
      </c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117"/>
      <c r="AA314" s="117"/>
      <c r="AB314" s="117"/>
    </row>
    <row r="315" spans="1:28" ht="30">
      <c r="A315" s="117" t="s">
        <v>365</v>
      </c>
      <c r="B315" s="117">
        <v>6</v>
      </c>
      <c r="C315" s="345">
        <v>0.19</v>
      </c>
      <c r="D315" s="117" t="s">
        <v>366</v>
      </c>
      <c r="E315" s="112" t="s">
        <v>367</v>
      </c>
      <c r="F315" s="117">
        <v>7707242970575</v>
      </c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</row>
    <row r="316" spans="1:28">
      <c r="A316" t="s">
        <v>1333</v>
      </c>
      <c r="B316" s="39">
        <v>4</v>
      </c>
      <c r="C316" s="51">
        <v>0</v>
      </c>
      <c r="D316" s="23" t="s">
        <v>366</v>
      </c>
      <c r="E316" t="s">
        <v>1334</v>
      </c>
      <c r="F316">
        <v>6921875009193</v>
      </c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8">
      <c r="A317" s="24" t="s">
        <v>1574</v>
      </c>
      <c r="B317" s="8">
        <v>1</v>
      </c>
      <c r="C317" s="31">
        <v>0.19</v>
      </c>
      <c r="D317" s="98" t="s">
        <v>348</v>
      </c>
      <c r="E317" s="8" t="s">
        <v>1575</v>
      </c>
      <c r="F317" s="28">
        <v>7705471700406</v>
      </c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</row>
    <row r="318" spans="1:28">
      <c r="A318" s="418"/>
      <c r="B318" s="440"/>
      <c r="C318" s="418"/>
      <c r="D318" s="418"/>
      <c r="E318" s="418"/>
      <c r="F318" s="418"/>
      <c r="G318" s="418"/>
      <c r="H318" s="418"/>
      <c r="I318" s="418"/>
      <c r="J318" s="418"/>
      <c r="K318" s="418"/>
      <c r="L318" s="418"/>
      <c r="M318" s="418"/>
      <c r="N318" s="418"/>
      <c r="O318" s="418"/>
      <c r="P318" s="418"/>
      <c r="Q318" s="418"/>
      <c r="R318" s="418"/>
      <c r="S318" s="418"/>
      <c r="T318" s="418"/>
      <c r="U318" s="418"/>
      <c r="V318" s="418"/>
      <c r="W318" s="418"/>
      <c r="X318" s="418"/>
      <c r="Y318" s="418"/>
      <c r="Z318" s="418"/>
      <c r="AA318" s="418"/>
      <c r="AB318" s="418"/>
    </row>
    <row r="319" spans="1:28" ht="30">
      <c r="A319" s="18" t="s">
        <v>1220</v>
      </c>
      <c r="B319" s="32">
        <v>1</v>
      </c>
      <c r="C319" s="72">
        <v>0</v>
      </c>
      <c r="D319" s="72" t="s">
        <v>118</v>
      </c>
      <c r="E319" s="16" t="s">
        <v>1221</v>
      </c>
      <c r="F319" s="18">
        <v>7702195873256</v>
      </c>
      <c r="AA319" s="117"/>
      <c r="AB319" s="117"/>
    </row>
    <row r="320" spans="1:28" ht="28.5">
      <c r="A320" s="64" t="s">
        <v>1576</v>
      </c>
      <c r="B320" s="12">
        <v>2</v>
      </c>
      <c r="C320" s="70">
        <v>0</v>
      </c>
      <c r="D320" s="227" t="s">
        <v>91</v>
      </c>
      <c r="E320" s="64" t="s">
        <v>1577</v>
      </c>
      <c r="F320" s="68">
        <v>7501298217536</v>
      </c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</row>
    <row r="321" spans="1:28">
      <c r="A321" s="141" t="s">
        <v>710</v>
      </c>
      <c r="B321" s="39">
        <v>4</v>
      </c>
      <c r="C321" s="51">
        <v>0</v>
      </c>
      <c r="D321" s="23" t="s">
        <v>38</v>
      </c>
      <c r="E321" s="141" t="s">
        <v>711</v>
      </c>
      <c r="F321" s="141">
        <v>7707177970633</v>
      </c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</row>
    <row r="322" spans="1:28">
      <c r="A322" s="418"/>
      <c r="B322" s="440"/>
      <c r="C322" s="418"/>
      <c r="D322" s="418"/>
      <c r="E322" s="418"/>
      <c r="F322" s="418"/>
      <c r="G322" s="418"/>
      <c r="H322" s="418"/>
      <c r="I322" s="418"/>
      <c r="J322" s="418"/>
      <c r="K322" s="418"/>
      <c r="L322" s="418"/>
      <c r="M322" s="418"/>
      <c r="N322" s="418"/>
      <c r="O322" s="418"/>
      <c r="P322" s="418"/>
      <c r="Q322" s="418"/>
      <c r="R322" s="418"/>
      <c r="S322" s="418"/>
      <c r="T322" s="418"/>
      <c r="U322" s="418"/>
      <c r="V322" s="418"/>
      <c r="W322" s="418"/>
      <c r="X322" s="418"/>
      <c r="Y322" s="418"/>
      <c r="Z322" s="418"/>
      <c r="AA322" s="418"/>
      <c r="AB322" s="418"/>
    </row>
    <row r="323" spans="1:28" ht="30">
      <c r="A323" s="19" t="s">
        <v>1578</v>
      </c>
      <c r="B323" s="117">
        <v>1</v>
      </c>
      <c r="C323" s="19">
        <v>0</v>
      </c>
      <c r="D323" s="19" t="s">
        <v>1579</v>
      </c>
      <c r="E323" s="43" t="s">
        <v>107</v>
      </c>
      <c r="F323" s="19">
        <v>8904159624174</v>
      </c>
    </row>
    <row r="324" spans="1:28">
      <c r="A324" s="418"/>
      <c r="B324" s="440"/>
      <c r="C324" s="418"/>
      <c r="D324" s="418"/>
      <c r="E324" s="418"/>
      <c r="F324" s="418"/>
      <c r="G324" s="418"/>
      <c r="H324" s="418"/>
      <c r="I324" s="418"/>
      <c r="J324" s="418"/>
      <c r="K324" s="418"/>
      <c r="L324" s="418"/>
      <c r="M324" s="418"/>
      <c r="N324" s="418"/>
      <c r="O324" s="418"/>
      <c r="P324" s="418"/>
      <c r="Q324" s="418"/>
      <c r="R324" s="418"/>
      <c r="S324" s="418"/>
      <c r="T324" s="418"/>
      <c r="U324" s="418"/>
      <c r="V324" s="418"/>
      <c r="W324" s="418"/>
      <c r="X324" s="418"/>
      <c r="Y324" s="418"/>
      <c r="Z324" s="418"/>
      <c r="AA324" s="418"/>
      <c r="AB324" s="418"/>
    </row>
    <row r="325" spans="1:28">
      <c r="A325" s="76" t="s">
        <v>1580</v>
      </c>
      <c r="B325" s="74">
        <v>10</v>
      </c>
      <c r="C325" s="75">
        <v>0</v>
      </c>
      <c r="D325" s="75" t="s">
        <v>227</v>
      </c>
      <c r="E325" s="74" t="s">
        <v>1519</v>
      </c>
      <c r="F325" s="74">
        <v>7709997612786</v>
      </c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</row>
    <row r="326" spans="1:28">
      <c r="A326" s="112" t="s">
        <v>1581</v>
      </c>
      <c r="B326" s="117">
        <v>1</v>
      </c>
      <c r="C326" s="345">
        <v>0</v>
      </c>
      <c r="D326" s="116" t="s">
        <v>1582</v>
      </c>
      <c r="E326" s="117" t="s">
        <v>1583</v>
      </c>
      <c r="F326" s="117">
        <v>751273765119</v>
      </c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8">
      <c r="A327" s="418"/>
      <c r="B327" s="440"/>
      <c r="C327" s="418"/>
      <c r="D327" s="418"/>
      <c r="E327" s="418"/>
      <c r="F327" s="418"/>
      <c r="G327" s="418"/>
      <c r="H327" s="418"/>
      <c r="I327" s="418"/>
      <c r="J327" s="418"/>
      <c r="K327" s="418"/>
      <c r="L327" s="418"/>
      <c r="M327" s="418"/>
      <c r="N327" s="418"/>
      <c r="O327" s="418"/>
      <c r="P327" s="418"/>
      <c r="Q327" s="418"/>
      <c r="R327" s="418"/>
      <c r="S327" s="418"/>
      <c r="T327" s="418"/>
      <c r="U327" s="418"/>
      <c r="V327" s="418"/>
      <c r="W327" s="418"/>
      <c r="X327" s="418"/>
      <c r="Y327" s="418"/>
      <c r="Z327" s="418"/>
      <c r="AA327" s="418"/>
      <c r="AB327" s="418"/>
    </row>
    <row r="328" spans="1:28">
      <c r="A328" s="96" t="s">
        <v>1584</v>
      </c>
      <c r="B328" s="96">
        <v>1</v>
      </c>
      <c r="C328" s="55">
        <v>0</v>
      </c>
      <c r="D328" s="55" t="s">
        <v>430</v>
      </c>
      <c r="E328" s="303" t="s">
        <v>1585</v>
      </c>
      <c r="F328" s="155">
        <v>7707355055626</v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8" ht="30">
      <c r="A329" s="19" t="s">
        <v>1586</v>
      </c>
      <c r="B329" s="117">
        <v>2</v>
      </c>
      <c r="C329" s="126">
        <v>0</v>
      </c>
      <c r="D329" s="19" t="s">
        <v>476</v>
      </c>
      <c r="E329" s="43" t="s">
        <v>1587</v>
      </c>
      <c r="F329" s="19">
        <v>6921875005546</v>
      </c>
      <c r="AA329"/>
      <c r="AB329"/>
    </row>
    <row r="330" spans="1:28">
      <c r="A330" s="418"/>
      <c r="B330" s="440"/>
      <c r="C330" s="418"/>
      <c r="D330" s="418"/>
      <c r="E330" s="418"/>
      <c r="F330" s="418"/>
      <c r="G330" s="418"/>
      <c r="H330" s="418"/>
      <c r="I330" s="418"/>
      <c r="J330" s="418"/>
      <c r="K330" s="418"/>
      <c r="L330" s="418"/>
      <c r="M330" s="418"/>
      <c r="N330" s="418"/>
      <c r="O330" s="418"/>
      <c r="P330" s="418"/>
      <c r="Q330" s="418"/>
      <c r="R330" s="418"/>
      <c r="S330" s="418"/>
      <c r="T330" s="418"/>
      <c r="U330" s="418"/>
      <c r="V330" s="418"/>
      <c r="W330" s="418"/>
      <c r="X330" s="418"/>
      <c r="Y330" s="418"/>
      <c r="Z330" s="418"/>
      <c r="AA330" s="418"/>
      <c r="AB330" s="418"/>
    </row>
    <row r="331" spans="1:28">
      <c r="A331" s="13" t="s">
        <v>261</v>
      </c>
      <c r="B331" s="12">
        <v>1</v>
      </c>
      <c r="C331" s="80">
        <v>0</v>
      </c>
      <c r="D331" s="12" t="s">
        <v>262</v>
      </c>
      <c r="E331" s="13" t="s">
        <v>263</v>
      </c>
      <c r="F331" s="15">
        <v>7702195072093</v>
      </c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</row>
    <row r="332" spans="1:28">
      <c r="A332" s="418"/>
      <c r="B332" s="440"/>
      <c r="C332" s="418"/>
      <c r="D332" s="418"/>
      <c r="E332" s="418"/>
      <c r="F332" s="418"/>
      <c r="G332" s="418"/>
      <c r="H332" s="418"/>
      <c r="I332" s="418"/>
      <c r="J332" s="418"/>
      <c r="K332" s="418"/>
      <c r="L332" s="418"/>
      <c r="M332" s="418"/>
      <c r="N332" s="418"/>
      <c r="O332" s="418"/>
      <c r="P332" s="418"/>
      <c r="Q332" s="418"/>
      <c r="R332" s="418"/>
      <c r="S332" s="418"/>
      <c r="T332" s="418"/>
      <c r="U332" s="418"/>
      <c r="V332" s="418"/>
      <c r="W332" s="418"/>
      <c r="X332" s="418"/>
      <c r="Y332" s="418"/>
      <c r="Z332" s="418"/>
      <c r="AA332" s="418"/>
      <c r="AB332" s="418"/>
    </row>
    <row r="333" spans="1:28" ht="30">
      <c r="A333" s="76" t="s">
        <v>144</v>
      </c>
      <c r="B333" s="74">
        <v>3</v>
      </c>
      <c r="C333" s="75">
        <v>0</v>
      </c>
      <c r="D333" s="74" t="s">
        <v>145</v>
      </c>
      <c r="E333" s="76" t="s">
        <v>146</v>
      </c>
      <c r="F333" s="74">
        <v>7702605103294</v>
      </c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</row>
    <row r="334" spans="1:28">
      <c r="A334" t="s">
        <v>1588</v>
      </c>
      <c r="B334" s="39">
        <v>3</v>
      </c>
      <c r="C334" s="40">
        <v>0</v>
      </c>
      <c r="D334" s="40" t="s">
        <v>1589</v>
      </c>
      <c r="E334" t="s">
        <v>1590</v>
      </c>
      <c r="F334">
        <v>7703763341016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 spans="1:28">
      <c r="A335" s="76" t="s">
        <v>1591</v>
      </c>
      <c r="B335" s="74">
        <v>6</v>
      </c>
      <c r="C335" s="354">
        <v>0.19</v>
      </c>
      <c r="D335" s="394" t="s">
        <v>118</v>
      </c>
      <c r="E335" s="74" t="s">
        <v>1401</v>
      </c>
      <c r="F335" s="378">
        <v>7707271201237</v>
      </c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8">
      <c r="A336" s="418"/>
      <c r="B336" s="440"/>
      <c r="C336" s="418"/>
      <c r="D336" s="418"/>
      <c r="E336" s="418"/>
      <c r="F336" s="418"/>
      <c r="G336" s="418"/>
      <c r="H336" s="418"/>
      <c r="I336" s="418"/>
      <c r="J336" s="418"/>
      <c r="K336" s="418"/>
      <c r="L336" s="418"/>
      <c r="M336" s="418"/>
      <c r="N336" s="418"/>
      <c r="O336" s="418"/>
      <c r="P336" s="418"/>
      <c r="Q336" s="418"/>
      <c r="R336" s="418"/>
      <c r="S336" s="418"/>
      <c r="T336" s="418"/>
      <c r="U336" s="418"/>
      <c r="V336" s="418"/>
      <c r="W336" s="418"/>
      <c r="X336" s="418"/>
      <c r="Y336" s="418"/>
      <c r="Z336" s="418"/>
      <c r="AA336" s="418"/>
      <c r="AB336" s="418"/>
    </row>
    <row r="337" spans="1:28" ht="30">
      <c r="A337" s="19" t="s">
        <v>1592</v>
      </c>
      <c r="B337" s="117">
        <v>1</v>
      </c>
      <c r="C337" s="19">
        <v>0</v>
      </c>
      <c r="D337" s="19" t="s">
        <v>1593</v>
      </c>
      <c r="E337" s="43" t="s">
        <v>791</v>
      </c>
      <c r="F337" s="19">
        <v>8903726271551</v>
      </c>
    </row>
    <row r="338" spans="1:28">
      <c r="A338" s="418"/>
      <c r="B338" s="440"/>
      <c r="C338" s="418"/>
      <c r="D338" s="418"/>
      <c r="E338" s="418"/>
      <c r="F338" s="418"/>
      <c r="G338" s="418"/>
      <c r="H338" s="418"/>
      <c r="I338" s="418"/>
      <c r="J338" s="418"/>
      <c r="K338" s="418"/>
      <c r="L338" s="418"/>
      <c r="M338" s="418"/>
      <c r="N338" s="418"/>
      <c r="O338" s="418"/>
      <c r="P338" s="418"/>
      <c r="Q338" s="418"/>
      <c r="R338" s="418"/>
      <c r="S338" s="418"/>
      <c r="T338" s="418"/>
      <c r="U338" s="418"/>
      <c r="V338" s="418"/>
      <c r="W338" s="418"/>
      <c r="X338" s="418"/>
      <c r="Y338" s="418"/>
      <c r="Z338" s="418"/>
      <c r="AA338" s="418"/>
      <c r="AB338" s="418"/>
    </row>
    <row r="339" spans="1:28" ht="29.25">
      <c r="A339" s="24" t="s">
        <v>1594</v>
      </c>
      <c r="B339" s="8">
        <v>1</v>
      </c>
      <c r="C339" s="31">
        <v>0</v>
      </c>
      <c r="D339" s="30" t="s">
        <v>1595</v>
      </c>
      <c r="E339" s="24" t="s">
        <v>1596</v>
      </c>
      <c r="F339" s="28">
        <v>650240030840</v>
      </c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 s="117"/>
      <c r="AB339" s="117"/>
    </row>
    <row r="340" spans="1:28" ht="28.5">
      <c r="A340" s="64" t="s">
        <v>1597</v>
      </c>
      <c r="B340" s="65">
        <v>1</v>
      </c>
      <c r="C340" s="101">
        <v>0</v>
      </c>
      <c r="D340" s="125" t="s">
        <v>1598</v>
      </c>
      <c r="E340" s="64" t="s">
        <v>1599</v>
      </c>
      <c r="F340" s="68">
        <v>7706849110865</v>
      </c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117"/>
      <c r="AB340" s="117"/>
    </row>
    <row r="341" spans="1:28" ht="28.5">
      <c r="A341" s="13" t="s">
        <v>1600</v>
      </c>
      <c r="B341" s="12">
        <v>1</v>
      </c>
      <c r="C341" s="59">
        <v>0</v>
      </c>
      <c r="D341" s="59" t="s">
        <v>381</v>
      </c>
      <c r="E341" s="13" t="s">
        <v>1601</v>
      </c>
      <c r="F341" s="61">
        <v>7706849110889</v>
      </c>
      <c r="G341" s="1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 spans="1:28" ht="30">
      <c r="A342" s="152" t="s">
        <v>1602</v>
      </c>
      <c r="B342" s="96">
        <v>2</v>
      </c>
      <c r="C342" s="97">
        <v>0</v>
      </c>
      <c r="D342" s="96" t="s">
        <v>74</v>
      </c>
      <c r="E342" s="152" t="s">
        <v>1603</v>
      </c>
      <c r="F342" s="96">
        <v>7707271451410</v>
      </c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</row>
    <row r="343" spans="1:28">
      <c r="A343" s="28" t="s">
        <v>1604</v>
      </c>
      <c r="B343" s="8">
        <v>1</v>
      </c>
      <c r="C343" s="31">
        <v>0</v>
      </c>
      <c r="D343" s="30" t="s">
        <v>1605</v>
      </c>
      <c r="E343" s="28" t="s">
        <v>1606</v>
      </c>
      <c r="F343" s="28">
        <v>7730969301810</v>
      </c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</row>
    <row r="344" spans="1:28">
      <c r="A344" s="22" t="s">
        <v>944</v>
      </c>
      <c r="B344" s="39">
        <v>1</v>
      </c>
      <c r="C344" s="107">
        <v>0</v>
      </c>
      <c r="D344" s="107" t="s">
        <v>411</v>
      </c>
      <c r="E344" t="s">
        <v>946</v>
      </c>
      <c r="F344" s="42">
        <v>7702057091439</v>
      </c>
    </row>
    <row r="345" spans="1:28">
      <c r="A345" s="418"/>
      <c r="B345" s="440"/>
      <c r="C345" s="418"/>
      <c r="D345" s="418"/>
      <c r="E345" s="418"/>
      <c r="F345" s="418"/>
      <c r="G345" s="418"/>
      <c r="H345" s="418"/>
      <c r="I345" s="418"/>
      <c r="J345" s="418"/>
      <c r="K345" s="418"/>
      <c r="L345" s="418"/>
      <c r="M345" s="418"/>
      <c r="N345" s="418"/>
      <c r="O345" s="418"/>
      <c r="P345" s="418"/>
      <c r="Q345" s="418"/>
      <c r="R345" s="418"/>
      <c r="S345" s="418"/>
      <c r="T345" s="418"/>
      <c r="U345" s="418"/>
      <c r="V345" s="418"/>
      <c r="W345" s="418"/>
      <c r="X345" s="418"/>
      <c r="Y345" s="418"/>
      <c r="Z345" s="418"/>
      <c r="AA345" s="418"/>
      <c r="AB345" s="418"/>
    </row>
    <row r="346" spans="1:28">
      <c r="A346" s="195" t="s">
        <v>1607</v>
      </c>
      <c r="B346" s="200">
        <v>9</v>
      </c>
      <c r="C346" s="360">
        <v>0</v>
      </c>
      <c r="D346" s="361" t="s">
        <v>355</v>
      </c>
      <c r="E346" s="195" t="s">
        <v>1519</v>
      </c>
      <c r="F346" s="373">
        <v>7707274722715</v>
      </c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8" ht="30">
      <c r="A347" s="76" t="s">
        <v>555</v>
      </c>
      <c r="B347" s="74">
        <v>2</v>
      </c>
      <c r="C347" s="75">
        <v>0</v>
      </c>
      <c r="D347" s="74" t="s">
        <v>74</v>
      </c>
      <c r="E347" s="76" t="s">
        <v>556</v>
      </c>
      <c r="F347" s="372">
        <v>7707288826935</v>
      </c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8">
      <c r="A348" s="418"/>
      <c r="B348" s="440"/>
      <c r="C348" s="418"/>
      <c r="D348" s="418"/>
      <c r="E348" s="418"/>
      <c r="F348" s="418"/>
      <c r="G348" s="418"/>
      <c r="H348" s="418"/>
      <c r="I348" s="418"/>
      <c r="J348" s="418"/>
      <c r="K348" s="418"/>
      <c r="L348" s="418"/>
      <c r="M348" s="418"/>
      <c r="N348" s="418"/>
      <c r="O348" s="418"/>
      <c r="P348" s="418"/>
      <c r="Q348" s="418"/>
      <c r="R348" s="418"/>
      <c r="S348" s="418"/>
      <c r="T348" s="418"/>
      <c r="U348" s="418"/>
      <c r="V348" s="418"/>
      <c r="W348" s="418"/>
      <c r="X348" s="418"/>
      <c r="Y348" s="418"/>
      <c r="Z348" s="418"/>
      <c r="AA348" s="418"/>
      <c r="AB348" s="418"/>
    </row>
    <row r="349" spans="1:28" ht="30">
      <c r="A349" s="45" t="s">
        <v>1406</v>
      </c>
      <c r="B349" s="74">
        <v>2</v>
      </c>
      <c r="C349" s="165">
        <v>0.19</v>
      </c>
      <c r="D349" s="165" t="s">
        <v>497</v>
      </c>
      <c r="E349" s="45" t="s">
        <v>1407</v>
      </c>
      <c r="F349" s="21">
        <v>7702123013693</v>
      </c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8" ht="28.5">
      <c r="A350" s="12" t="s">
        <v>234</v>
      </c>
      <c r="B350" s="12">
        <v>1</v>
      </c>
      <c r="C350" s="105">
        <v>0</v>
      </c>
      <c r="D350" s="105" t="s">
        <v>1608</v>
      </c>
      <c r="E350" s="13" t="s">
        <v>236</v>
      </c>
      <c r="F350" s="61">
        <v>7702057092344</v>
      </c>
    </row>
    <row r="351" spans="1:28" ht="29.25">
      <c r="A351" t="s">
        <v>25</v>
      </c>
      <c r="B351" s="39">
        <v>1</v>
      </c>
      <c r="C351" s="133">
        <v>0</v>
      </c>
      <c r="D351" t="s">
        <v>402</v>
      </c>
      <c r="E351" s="22" t="s">
        <v>27</v>
      </c>
      <c r="F351">
        <v>7861051621902</v>
      </c>
    </row>
    <row r="352" spans="1:28" ht="30">
      <c r="A352" s="73" t="s">
        <v>1412</v>
      </c>
      <c r="B352" s="32">
        <v>2</v>
      </c>
      <c r="C352" s="72">
        <v>0.19</v>
      </c>
      <c r="D352" s="81" t="s">
        <v>318</v>
      </c>
      <c r="E352" s="73" t="s">
        <v>1609</v>
      </c>
      <c r="F352" s="379">
        <v>7709880588440</v>
      </c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</row>
    <row r="353" spans="1:28" ht="29.25">
      <c r="A353" t="s">
        <v>1610</v>
      </c>
      <c r="B353" s="39">
        <v>2</v>
      </c>
      <c r="C353" s="133">
        <v>0</v>
      </c>
      <c r="D353" s="172" t="s">
        <v>1040</v>
      </c>
      <c r="E353" s="22" t="s">
        <v>1611</v>
      </c>
      <c r="F353">
        <v>7501098608084</v>
      </c>
    </row>
    <row r="354" spans="1:28" ht="30">
      <c r="A354" s="73" t="s">
        <v>1612</v>
      </c>
      <c r="B354" s="32">
        <v>1</v>
      </c>
      <c r="C354" s="72">
        <v>0.19</v>
      </c>
      <c r="D354" s="83" t="s">
        <v>1613</v>
      </c>
      <c r="E354" s="73" t="s">
        <v>1614</v>
      </c>
      <c r="F354" s="321">
        <v>7703286119253</v>
      </c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117"/>
      <c r="AB354" s="117"/>
    </row>
    <row r="355" spans="1:28" ht="30">
      <c r="A355" s="73" t="s">
        <v>1615</v>
      </c>
      <c r="B355" s="32">
        <v>1</v>
      </c>
      <c r="C355" s="72">
        <v>0.19</v>
      </c>
      <c r="D355" s="83" t="s">
        <v>1616</v>
      </c>
      <c r="E355" s="73" t="s">
        <v>1617</v>
      </c>
      <c r="F355" s="321">
        <v>7703286118508</v>
      </c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117"/>
      <c r="AB355" s="117"/>
    </row>
    <row r="356" spans="1:28" ht="28.5">
      <c r="A356" s="13" t="s">
        <v>183</v>
      </c>
      <c r="B356" s="12">
        <v>3</v>
      </c>
      <c r="C356" s="59">
        <v>0</v>
      </c>
      <c r="D356" s="12" t="s">
        <v>1618</v>
      </c>
      <c r="E356" s="121" t="s">
        <v>184</v>
      </c>
      <c r="F356" s="61">
        <v>7703712012097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17"/>
      <c r="AA356" s="117"/>
    </row>
    <row r="357" spans="1:28" ht="28.5">
      <c r="A357" s="69" t="s">
        <v>172</v>
      </c>
      <c r="B357" s="12">
        <v>2</v>
      </c>
      <c r="C357" s="105">
        <v>0</v>
      </c>
      <c r="D357" s="137" t="s">
        <v>173</v>
      </c>
      <c r="E357" s="13" t="s">
        <v>174</v>
      </c>
      <c r="F357" s="61">
        <v>7703712012110</v>
      </c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</row>
    <row r="358" spans="1:28" ht="30">
      <c r="A358" s="76" t="s">
        <v>1254</v>
      </c>
      <c r="B358" s="74">
        <v>4</v>
      </c>
      <c r="C358" s="75">
        <v>0</v>
      </c>
      <c r="D358" s="91" t="s">
        <v>74</v>
      </c>
      <c r="E358" s="76" t="s">
        <v>1255</v>
      </c>
      <c r="F358" s="74">
        <v>7707172685778</v>
      </c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8">
      <c r="A359" s="76" t="s">
        <v>1276</v>
      </c>
      <c r="B359" s="74">
        <v>1</v>
      </c>
      <c r="C359" s="75">
        <v>0</v>
      </c>
      <c r="D359" s="336" t="s">
        <v>318</v>
      </c>
      <c r="E359" s="76" t="s">
        <v>1277</v>
      </c>
      <c r="F359" s="372">
        <v>3582910009900</v>
      </c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8">
      <c r="A360" s="146" t="s">
        <v>1619</v>
      </c>
      <c r="B360" s="168">
        <v>3</v>
      </c>
      <c r="C360" s="319">
        <v>0</v>
      </c>
      <c r="D360" s="320" t="s">
        <v>1620</v>
      </c>
      <c r="E360" s="146" t="s">
        <v>579</v>
      </c>
      <c r="F360" s="141">
        <v>7702057079598</v>
      </c>
    </row>
    <row r="361" spans="1:28" ht="29.25">
      <c r="A361" s="22" t="s">
        <v>1621</v>
      </c>
      <c r="B361" s="41">
        <v>6</v>
      </c>
      <c r="C361" s="269">
        <v>0</v>
      </c>
      <c r="D361" s="310" t="s">
        <v>697</v>
      </c>
      <c r="E361" s="22" t="s">
        <v>1622</v>
      </c>
      <c r="F361" s="273">
        <v>7707271201824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/>
    </row>
    <row r="362" spans="1:28">
      <c r="A362" s="418"/>
      <c r="B362" s="440"/>
      <c r="C362" s="418"/>
      <c r="D362" s="418"/>
      <c r="E362" s="418"/>
      <c r="F362" s="418"/>
      <c r="G362" s="418"/>
      <c r="H362" s="418"/>
      <c r="I362" s="418"/>
      <c r="J362" s="418"/>
      <c r="K362" s="418"/>
      <c r="L362" s="418"/>
      <c r="M362" s="418"/>
      <c r="N362" s="418"/>
      <c r="O362" s="418"/>
      <c r="P362" s="418"/>
      <c r="Q362" s="418"/>
      <c r="R362" s="418"/>
      <c r="S362" s="418"/>
      <c r="T362" s="418"/>
      <c r="U362" s="418"/>
      <c r="V362" s="418"/>
      <c r="W362" s="418"/>
      <c r="X362" s="418"/>
      <c r="Y362" s="418"/>
      <c r="Z362" s="418"/>
      <c r="AA362" s="418"/>
      <c r="AB362" s="418"/>
    </row>
    <row r="363" spans="1:28">
      <c r="A363" s="152" t="s">
        <v>1623</v>
      </c>
      <c r="B363" s="96">
        <v>1</v>
      </c>
      <c r="C363" s="55">
        <v>0</v>
      </c>
      <c r="D363" s="154" t="s">
        <v>1624</v>
      </c>
      <c r="E363" s="152" t="s">
        <v>1625</v>
      </c>
      <c r="F363" s="96">
        <v>7703038050322</v>
      </c>
    </row>
    <row r="364" spans="1:28">
      <c r="A364" s="24" t="s">
        <v>180</v>
      </c>
      <c r="B364" s="8">
        <v>3</v>
      </c>
      <c r="C364" s="9">
        <v>0</v>
      </c>
      <c r="D364" s="8" t="s">
        <v>1126</v>
      </c>
      <c r="E364" s="24" t="s">
        <v>182</v>
      </c>
      <c r="F364" s="142">
        <v>7707288826706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 spans="1:28">
      <c r="A365" s="117" t="s">
        <v>226</v>
      </c>
      <c r="B365" s="117">
        <v>5</v>
      </c>
      <c r="C365" s="345">
        <v>0</v>
      </c>
      <c r="D365" s="117" t="s">
        <v>227</v>
      </c>
      <c r="E365" s="117" t="s">
        <v>228</v>
      </c>
      <c r="F365" s="117">
        <v>7703038067023</v>
      </c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8">
      <c r="A366" s="76" t="s">
        <v>566</v>
      </c>
      <c r="B366" s="74">
        <v>3</v>
      </c>
      <c r="C366" s="75">
        <v>0</v>
      </c>
      <c r="D366" s="74" t="s">
        <v>567</v>
      </c>
      <c r="E366" s="74"/>
      <c r="F366" s="74">
        <v>7702057070205</v>
      </c>
      <c r="G366" s="74"/>
      <c r="H366" s="74"/>
      <c r="I366" s="74"/>
      <c r="J366" s="74"/>
      <c r="K366" s="74"/>
      <c r="L366" s="74"/>
      <c r="M366" s="74"/>
      <c r="N366" s="74"/>
      <c r="O366" s="74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8" ht="29.25">
      <c r="A367" s="22" t="s">
        <v>1626</v>
      </c>
      <c r="B367" s="39">
        <v>2</v>
      </c>
      <c r="C367" s="51">
        <v>0.19</v>
      </c>
      <c r="D367" s="23" t="s">
        <v>1627</v>
      </c>
      <c r="E367" s="22" t="s">
        <v>1628</v>
      </c>
      <c r="F367" s="52">
        <v>7705471206571</v>
      </c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8" ht="29.25">
      <c r="A368" s="22" t="s">
        <v>1629</v>
      </c>
      <c r="B368" s="39">
        <v>1</v>
      </c>
      <c r="C368" s="40">
        <v>0</v>
      </c>
      <c r="D368" s="94" t="s">
        <v>756</v>
      </c>
      <c r="E368" s="22" t="s">
        <v>1630</v>
      </c>
      <c r="F368">
        <v>7702123005513</v>
      </c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</row>
    <row r="369" spans="1:28">
      <c r="A369" t="s">
        <v>1631</v>
      </c>
      <c r="B369" s="39">
        <v>4</v>
      </c>
      <c r="C369" s="40">
        <v>0</v>
      </c>
      <c r="D369" s="39" t="s">
        <v>1409</v>
      </c>
      <c r="E369" t="s">
        <v>1473</v>
      </c>
      <c r="F369">
        <v>7704412308428</v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 spans="1:28">
      <c r="A370" s="28" t="s">
        <v>1632</v>
      </c>
      <c r="B370" s="214">
        <v>3</v>
      </c>
      <c r="C370" s="131">
        <v>0</v>
      </c>
      <c r="D370" s="215" t="s">
        <v>23</v>
      </c>
      <c r="E370" s="130" t="s">
        <v>1633</v>
      </c>
      <c r="F370" s="130">
        <v>4005800137655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8">
      <c r="A371" s="19" t="s">
        <v>1634</v>
      </c>
      <c r="B371" s="117">
        <v>1</v>
      </c>
      <c r="C371" s="19">
        <v>0</v>
      </c>
      <c r="D371" s="19" t="s">
        <v>1635</v>
      </c>
      <c r="E371" s="43" t="s">
        <v>1473</v>
      </c>
      <c r="F371" s="19">
        <v>7703153027520</v>
      </c>
    </row>
    <row r="372" spans="1:28">
      <c r="A372" s="76" t="s">
        <v>1636</v>
      </c>
      <c r="B372" s="74">
        <v>2</v>
      </c>
      <c r="C372" s="75">
        <v>0</v>
      </c>
      <c r="D372" s="74" t="s">
        <v>1637</v>
      </c>
      <c r="E372" s="76" t="s">
        <v>428</v>
      </c>
      <c r="F372" s="372">
        <v>7703712035355</v>
      </c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</row>
    <row r="373" spans="1:28">
      <c r="A373" s="117" t="s">
        <v>709</v>
      </c>
      <c r="B373" s="117">
        <v>8</v>
      </c>
      <c r="C373" s="345">
        <v>0</v>
      </c>
      <c r="D373" s="119" t="s">
        <v>38</v>
      </c>
      <c r="E373" s="117" t="s">
        <v>611</v>
      </c>
      <c r="F373" s="117">
        <v>8901117247888</v>
      </c>
      <c r="G373" s="74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8">
      <c r="A374" s="418"/>
      <c r="B374" s="440"/>
      <c r="C374" s="418"/>
      <c r="D374" s="418"/>
      <c r="E374" s="418"/>
      <c r="F374" s="418"/>
      <c r="G374" s="418"/>
      <c r="H374" s="418"/>
      <c r="I374" s="418"/>
      <c r="J374" s="418"/>
      <c r="K374" s="418"/>
      <c r="L374" s="418"/>
      <c r="M374" s="418"/>
      <c r="N374" s="418"/>
      <c r="O374" s="418"/>
      <c r="P374" s="418"/>
      <c r="Q374" s="418"/>
      <c r="R374" s="418"/>
      <c r="S374" s="418"/>
      <c r="T374" s="418"/>
      <c r="U374" s="418"/>
      <c r="V374" s="418"/>
      <c r="W374" s="418"/>
      <c r="X374" s="418"/>
      <c r="Y374" s="418"/>
      <c r="Z374" s="418"/>
      <c r="AA374" s="418"/>
      <c r="AB374" s="418"/>
    </row>
    <row r="375" spans="1:28">
      <c r="A375" s="76" t="s">
        <v>907</v>
      </c>
      <c r="B375" s="76">
        <v>3</v>
      </c>
      <c r="C375" s="393">
        <v>0</v>
      </c>
      <c r="D375" s="91" t="s">
        <v>321</v>
      </c>
      <c r="E375" s="76" t="s">
        <v>909</v>
      </c>
      <c r="F375" s="76">
        <v>7706569020659</v>
      </c>
      <c r="G375" s="74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8">
      <c r="A376" s="76" t="s">
        <v>907</v>
      </c>
      <c r="B376" s="76">
        <v>3</v>
      </c>
      <c r="C376" s="393">
        <v>0</v>
      </c>
      <c r="D376" s="91" t="s">
        <v>321</v>
      </c>
      <c r="E376" s="76" t="s">
        <v>909</v>
      </c>
      <c r="F376" s="76">
        <v>7706569020659</v>
      </c>
      <c r="G376" s="74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8">
      <c r="A377" s="7" t="s">
        <v>314</v>
      </c>
      <c r="B377" s="8">
        <v>1</v>
      </c>
      <c r="C377" s="31">
        <v>0</v>
      </c>
      <c r="D377" s="98" t="s">
        <v>315</v>
      </c>
      <c r="E377" s="7" t="s">
        <v>316</v>
      </c>
      <c r="F377" s="63">
        <v>7702057712396</v>
      </c>
    </row>
    <row r="378" spans="1:28" ht="30">
      <c r="A378" s="73" t="s">
        <v>735</v>
      </c>
      <c r="B378" s="32">
        <v>20</v>
      </c>
      <c r="C378" s="72">
        <v>0</v>
      </c>
      <c r="D378" s="83" t="s">
        <v>80</v>
      </c>
      <c r="E378" s="73" t="s">
        <v>81</v>
      </c>
      <c r="F378" s="321">
        <v>7501125132056</v>
      </c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117"/>
    </row>
    <row r="379" spans="1:28">
      <c r="A379" s="73" t="s">
        <v>199</v>
      </c>
      <c r="B379" s="32">
        <v>1</v>
      </c>
      <c r="C379" s="72">
        <v>0</v>
      </c>
      <c r="D379" s="32" t="s">
        <v>200</v>
      </c>
      <c r="E379" s="73" t="s">
        <v>201</v>
      </c>
      <c r="F379" s="321">
        <v>7707397791636</v>
      </c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</row>
    <row r="380" spans="1:28">
      <c r="A380" s="112" t="s">
        <v>1638</v>
      </c>
      <c r="B380" s="117">
        <v>8</v>
      </c>
      <c r="C380" s="345">
        <v>0</v>
      </c>
      <c r="D380" s="119" t="s">
        <v>10</v>
      </c>
      <c r="E380" s="112" t="s">
        <v>1639</v>
      </c>
      <c r="F380" s="392">
        <v>7703038011903</v>
      </c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8" ht="29.25">
      <c r="A381" s="41" t="s">
        <v>690</v>
      </c>
      <c r="B381" s="39">
        <v>2</v>
      </c>
      <c r="C381" s="51">
        <v>0</v>
      </c>
      <c r="D381" s="23" t="s">
        <v>1640</v>
      </c>
      <c r="E381" s="41" t="s">
        <v>692</v>
      </c>
      <c r="F381" s="273">
        <v>7707274721206</v>
      </c>
    </row>
    <row r="382" spans="1:28" ht="29.25">
      <c r="A382" s="41" t="s">
        <v>690</v>
      </c>
      <c r="B382" s="39">
        <v>1</v>
      </c>
      <c r="C382" s="51">
        <v>0</v>
      </c>
      <c r="D382" s="23" t="s">
        <v>1640</v>
      </c>
      <c r="E382" s="41" t="s">
        <v>692</v>
      </c>
      <c r="F382" s="273">
        <v>7707274721206</v>
      </c>
    </row>
    <row r="383" spans="1:28">
      <c r="A383" s="28" t="s">
        <v>1641</v>
      </c>
      <c r="B383" s="8">
        <v>3</v>
      </c>
      <c r="C383" s="192">
        <v>0</v>
      </c>
      <c r="D383" s="98" t="s">
        <v>1642</v>
      </c>
      <c r="E383" s="28" t="s">
        <v>63</v>
      </c>
      <c r="F383" s="28">
        <v>7702057076153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8">
      <c r="A384" s="418"/>
      <c r="B384" s="440"/>
      <c r="C384" s="418"/>
      <c r="D384" s="418"/>
      <c r="E384" s="418"/>
      <c r="F384" s="418"/>
      <c r="G384" s="418"/>
      <c r="H384" s="418"/>
      <c r="I384" s="418"/>
      <c r="J384" s="418"/>
      <c r="K384" s="418"/>
      <c r="L384" s="418"/>
      <c r="M384" s="418"/>
      <c r="N384" s="418"/>
      <c r="O384" s="418"/>
      <c r="P384" s="418"/>
      <c r="Q384" s="418"/>
      <c r="R384" s="418"/>
      <c r="S384" s="418"/>
      <c r="T384" s="418"/>
      <c r="U384" s="418"/>
      <c r="V384" s="418"/>
      <c r="W384" s="418"/>
      <c r="X384" s="418"/>
      <c r="Y384" s="418"/>
      <c r="Z384" s="418"/>
      <c r="AA384" s="418"/>
      <c r="AB384" s="418"/>
    </row>
    <row r="385" spans="1:28" ht="30">
      <c r="A385" s="117" t="s">
        <v>1643</v>
      </c>
      <c r="B385" s="117">
        <v>24</v>
      </c>
      <c r="C385" s="117">
        <v>0</v>
      </c>
      <c r="D385" s="117" t="s">
        <v>293</v>
      </c>
      <c r="E385" s="112" t="s">
        <v>1644</v>
      </c>
      <c r="F385" s="117">
        <v>7702098031340</v>
      </c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8" ht="30">
      <c r="A386" s="19" t="s">
        <v>1645</v>
      </c>
      <c r="B386" s="19">
        <v>6</v>
      </c>
      <c r="C386" s="19">
        <v>0</v>
      </c>
      <c r="D386" s="19" t="s">
        <v>85</v>
      </c>
      <c r="E386" s="43" t="s">
        <v>1646</v>
      </c>
      <c r="F386" s="19">
        <v>7702098031333</v>
      </c>
    </row>
    <row r="387" spans="1:28" ht="29.25">
      <c r="A387" s="22" t="s">
        <v>1647</v>
      </c>
      <c r="B387">
        <v>12</v>
      </c>
      <c r="C387" s="133">
        <v>0</v>
      </c>
      <c r="D387" s="183" t="s">
        <v>80</v>
      </c>
      <c r="E387" s="22" t="s">
        <v>1648</v>
      </c>
      <c r="F387">
        <v>7702098400900</v>
      </c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</row>
    <row r="388" spans="1:28" ht="30">
      <c r="A388" s="117" t="s">
        <v>1649</v>
      </c>
      <c r="B388" s="117">
        <v>6</v>
      </c>
      <c r="C388" s="117">
        <v>0</v>
      </c>
      <c r="D388" s="117" t="s">
        <v>85</v>
      </c>
      <c r="E388" s="112" t="s">
        <v>1646</v>
      </c>
      <c r="F388" s="117">
        <v>2000104014826</v>
      </c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8" ht="30">
      <c r="A389" s="117" t="s">
        <v>1650</v>
      </c>
      <c r="B389" s="117">
        <v>12</v>
      </c>
      <c r="C389" s="117">
        <v>0</v>
      </c>
      <c r="D389" s="117" t="s">
        <v>7</v>
      </c>
      <c r="E389" s="112" t="s">
        <v>1651</v>
      </c>
      <c r="F389" s="117">
        <v>7702098031296</v>
      </c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8" ht="30">
      <c r="A390" s="43" t="s">
        <v>1652</v>
      </c>
      <c r="B390" s="117">
        <v>3</v>
      </c>
      <c r="C390" s="19">
        <v>0</v>
      </c>
      <c r="D390" s="19" t="s">
        <v>293</v>
      </c>
      <c r="E390" s="43" t="s">
        <v>1653</v>
      </c>
      <c r="F390" s="19">
        <v>7707336091841</v>
      </c>
    </row>
    <row r="391" spans="1:28" ht="30">
      <c r="A391" s="43" t="s">
        <v>1654</v>
      </c>
      <c r="B391" s="117">
        <v>3</v>
      </c>
      <c r="C391" s="19">
        <v>0</v>
      </c>
      <c r="D391" s="19" t="s">
        <v>7</v>
      </c>
      <c r="E391" s="43" t="s">
        <v>1655</v>
      </c>
      <c r="F391" s="19">
        <v>7707336080302</v>
      </c>
    </row>
    <row r="392" spans="1:28" ht="30">
      <c r="A392" s="43" t="s">
        <v>1656</v>
      </c>
      <c r="B392" s="117">
        <v>3</v>
      </c>
      <c r="C392" s="19">
        <v>0</v>
      </c>
      <c r="D392" s="19" t="s">
        <v>38</v>
      </c>
      <c r="E392" s="43" t="s">
        <v>1655</v>
      </c>
      <c r="F392" s="19">
        <v>7707336080319</v>
      </c>
    </row>
    <row r="393" spans="1:28" ht="30">
      <c r="A393" s="43" t="s">
        <v>1657</v>
      </c>
      <c r="B393" s="117">
        <v>3</v>
      </c>
      <c r="C393" s="19">
        <v>0</v>
      </c>
      <c r="D393" s="19" t="s">
        <v>85</v>
      </c>
      <c r="E393" s="43" t="s">
        <v>1658</v>
      </c>
      <c r="F393" s="19">
        <v>7707336090202</v>
      </c>
    </row>
    <row r="394" spans="1:28">
      <c r="A394" s="418"/>
      <c r="B394" s="440"/>
      <c r="C394" s="418"/>
      <c r="D394" s="418"/>
      <c r="E394" s="418"/>
      <c r="F394" s="418"/>
      <c r="G394" s="418"/>
      <c r="H394" s="418"/>
      <c r="I394" s="418"/>
      <c r="J394" s="418"/>
      <c r="K394" s="418"/>
      <c r="L394" s="418"/>
      <c r="M394" s="418"/>
      <c r="N394" s="418"/>
      <c r="O394" s="418"/>
      <c r="P394" s="418"/>
      <c r="Q394" s="418"/>
      <c r="R394" s="418"/>
      <c r="S394" s="418"/>
      <c r="T394" s="418"/>
      <c r="U394" s="418"/>
      <c r="V394" s="418"/>
      <c r="W394" s="418"/>
      <c r="X394" s="418"/>
      <c r="Y394" s="418"/>
      <c r="Z394" s="418"/>
      <c r="AA394" s="418"/>
      <c r="AB394" s="418"/>
    </row>
    <row r="395" spans="1:28" ht="29.25">
      <c r="A395" s="24" t="s">
        <v>1659</v>
      </c>
      <c r="B395" s="8">
        <v>1</v>
      </c>
      <c r="C395" s="9">
        <v>0</v>
      </c>
      <c r="D395" s="203" t="s">
        <v>68</v>
      </c>
      <c r="E395" s="24" t="s">
        <v>75</v>
      </c>
      <c r="F395" s="63">
        <v>7703202221381</v>
      </c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8" ht="28.5">
      <c r="A396" s="69" t="s">
        <v>1660</v>
      </c>
      <c r="B396" s="14">
        <v>1</v>
      </c>
      <c r="C396" s="105">
        <v>0</v>
      </c>
      <c r="D396" s="14" t="s">
        <v>1661</v>
      </c>
      <c r="E396" s="69" t="s">
        <v>1662</v>
      </c>
      <c r="F396" s="28">
        <v>7702057080426</v>
      </c>
    </row>
    <row r="397" spans="1:28" ht="30">
      <c r="A397" s="76" t="s">
        <v>905</v>
      </c>
      <c r="B397" s="74">
        <v>3</v>
      </c>
      <c r="C397" s="75">
        <v>0</v>
      </c>
      <c r="D397" s="74" t="s">
        <v>118</v>
      </c>
      <c r="E397" s="76" t="s">
        <v>906</v>
      </c>
      <c r="F397" s="74">
        <v>7706569021014</v>
      </c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8" ht="30">
      <c r="A398" s="76" t="s">
        <v>905</v>
      </c>
      <c r="B398" s="74">
        <v>3</v>
      </c>
      <c r="C398" s="75">
        <v>0</v>
      </c>
      <c r="D398" s="74" t="s">
        <v>118</v>
      </c>
      <c r="E398" s="76" t="s">
        <v>906</v>
      </c>
      <c r="F398" s="74">
        <v>7706569021014</v>
      </c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8">
      <c r="A399" s="24" t="s">
        <v>1663</v>
      </c>
      <c r="B399" s="28">
        <v>6</v>
      </c>
      <c r="C399" s="192">
        <v>0</v>
      </c>
      <c r="D399" s="98" t="s">
        <v>109</v>
      </c>
      <c r="E399" s="28" t="s">
        <v>1286</v>
      </c>
      <c r="F399" s="28">
        <v>7703038668015</v>
      </c>
    </row>
    <row r="400" spans="1:28">
      <c r="A400" s="7" t="s">
        <v>1664</v>
      </c>
      <c r="B400" s="8">
        <v>5</v>
      </c>
      <c r="C400" s="9">
        <v>0</v>
      </c>
      <c r="D400" s="10" t="s">
        <v>1080</v>
      </c>
      <c r="E400" s="7" t="s">
        <v>1665</v>
      </c>
      <c r="F400" s="213">
        <v>7705366910019</v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 spans="1:28">
      <c r="A401" s="22" t="s">
        <v>1666</v>
      </c>
      <c r="B401" s="22">
        <v>1</v>
      </c>
      <c r="C401" s="175">
        <v>0</v>
      </c>
      <c r="D401" s="22" t="s">
        <v>355</v>
      </c>
      <c r="E401" s="22" t="s">
        <v>1667</v>
      </c>
      <c r="F401" s="22">
        <v>7706462000055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8" ht="28.5">
      <c r="A402" s="69" t="s">
        <v>788</v>
      </c>
      <c r="B402" s="14">
        <v>6</v>
      </c>
      <c r="C402" s="105">
        <v>0</v>
      </c>
      <c r="D402" s="137" t="s">
        <v>519</v>
      </c>
      <c r="E402" s="13" t="s">
        <v>789</v>
      </c>
      <c r="F402" s="61">
        <v>7705366102063</v>
      </c>
    </row>
    <row r="403" spans="1:28">
      <c r="A403" s="13" t="s">
        <v>1479</v>
      </c>
      <c r="B403" s="12">
        <v>2</v>
      </c>
      <c r="C403" s="59">
        <v>0</v>
      </c>
      <c r="D403" s="60" t="s">
        <v>53</v>
      </c>
      <c r="E403" s="13" t="s">
        <v>425</v>
      </c>
      <c r="F403" s="61">
        <v>7703038050339</v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 spans="1:28" ht="28.5">
      <c r="A404" s="13" t="s">
        <v>1668</v>
      </c>
      <c r="B404" s="14">
        <v>3</v>
      </c>
      <c r="C404" s="105">
        <v>0</v>
      </c>
      <c r="D404" s="135" t="s">
        <v>1669</v>
      </c>
      <c r="E404" s="121" t="s">
        <v>495</v>
      </c>
      <c r="F404" s="14">
        <v>7896116866325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/>
    </row>
    <row r="405" spans="1:28" ht="29.25">
      <c r="A405" s="7" t="s">
        <v>1670</v>
      </c>
      <c r="B405" s="8">
        <v>2</v>
      </c>
      <c r="C405" s="9">
        <v>0</v>
      </c>
      <c r="D405" s="8" t="s">
        <v>1240</v>
      </c>
      <c r="E405" s="7" t="s">
        <v>1671</v>
      </c>
      <c r="F405" s="63">
        <v>7896116866219</v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 spans="1:28" ht="28.5">
      <c r="A406" s="13" t="s">
        <v>1672</v>
      </c>
      <c r="B406" s="12">
        <v>2</v>
      </c>
      <c r="C406" s="59">
        <v>0</v>
      </c>
      <c r="D406" s="111" t="s">
        <v>1673</v>
      </c>
      <c r="E406" s="13" t="s">
        <v>1674</v>
      </c>
      <c r="F406" s="61">
        <v>7707288822906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8" ht="28.5">
      <c r="A407" s="13" t="s">
        <v>1672</v>
      </c>
      <c r="B407" s="12">
        <v>1</v>
      </c>
      <c r="C407" s="59">
        <v>0</v>
      </c>
      <c r="D407" s="111" t="s">
        <v>1673</v>
      </c>
      <c r="E407" s="13" t="s">
        <v>1674</v>
      </c>
      <c r="F407" s="61">
        <v>7707288822906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8" ht="28.5">
      <c r="A408" s="12" t="s">
        <v>1675</v>
      </c>
      <c r="B408" s="14">
        <v>2</v>
      </c>
      <c r="C408" s="174">
        <v>0</v>
      </c>
      <c r="D408" s="14" t="s">
        <v>1676</v>
      </c>
      <c r="E408" s="13" t="s">
        <v>1674</v>
      </c>
      <c r="F408" s="61">
        <v>7707288822326</v>
      </c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</row>
    <row r="409" spans="1:28" ht="28.5">
      <c r="A409" s="12" t="s">
        <v>1675</v>
      </c>
      <c r="B409" s="14">
        <v>2</v>
      </c>
      <c r="C409" s="174">
        <v>0</v>
      </c>
      <c r="D409" s="14" t="s">
        <v>1676</v>
      </c>
      <c r="E409" s="13" t="s">
        <v>1674</v>
      </c>
      <c r="F409" s="61">
        <v>7707288822326</v>
      </c>
    </row>
    <row r="410" spans="1:28">
      <c r="A410" s="418"/>
      <c r="B410" s="440"/>
      <c r="C410" s="418"/>
      <c r="D410" s="418"/>
      <c r="E410" s="418"/>
      <c r="F410" s="418"/>
      <c r="G410" s="418"/>
      <c r="H410" s="418"/>
      <c r="I410" s="418"/>
      <c r="J410" s="418"/>
      <c r="K410" s="418"/>
      <c r="L410" s="418"/>
      <c r="M410" s="418"/>
      <c r="N410" s="418"/>
      <c r="O410" s="418"/>
      <c r="P410" s="418"/>
      <c r="Q410" s="418"/>
      <c r="R410" s="418"/>
      <c r="S410" s="418"/>
      <c r="T410" s="418"/>
      <c r="U410" s="418"/>
      <c r="V410" s="418"/>
      <c r="W410" s="418"/>
      <c r="X410" s="418"/>
      <c r="Y410" s="418"/>
      <c r="Z410" s="418"/>
      <c r="AA410" s="418"/>
      <c r="AB410" s="418"/>
    </row>
    <row r="411" spans="1:28">
      <c r="A411" s="8" t="s">
        <v>526</v>
      </c>
      <c r="B411" s="8">
        <v>10</v>
      </c>
      <c r="C411" s="173">
        <v>0</v>
      </c>
      <c r="D411" s="30" t="s">
        <v>527</v>
      </c>
      <c r="E411" s="25" t="s">
        <v>528</v>
      </c>
      <c r="F411" s="30">
        <v>7702195057304</v>
      </c>
      <c r="G411" s="30"/>
      <c r="H411" s="30"/>
      <c r="I411" s="30"/>
      <c r="J411" s="30"/>
      <c r="K411" s="30"/>
      <c r="L411" s="30"/>
      <c r="M411" s="30"/>
      <c r="N411" s="30"/>
      <c r="O411" s="30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8" ht="30">
      <c r="A412" s="73" t="s">
        <v>1677</v>
      </c>
      <c r="B412" s="32">
        <v>10</v>
      </c>
      <c r="C412" s="72">
        <v>0</v>
      </c>
      <c r="D412" s="83" t="s">
        <v>85</v>
      </c>
      <c r="E412" s="73" t="s">
        <v>1678</v>
      </c>
      <c r="F412" s="371">
        <v>7707184161420</v>
      </c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8">
      <c r="A413" s="28" t="s">
        <v>1679</v>
      </c>
      <c r="B413" s="30">
        <v>3</v>
      </c>
      <c r="C413" s="31">
        <v>0</v>
      </c>
      <c r="D413" s="30" t="s">
        <v>10</v>
      </c>
      <c r="E413" s="28" t="s">
        <v>1680</v>
      </c>
      <c r="F413" s="63">
        <v>7703153013271</v>
      </c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</row>
    <row r="414" spans="1:28">
      <c r="A414" s="418"/>
      <c r="B414" s="440"/>
      <c r="C414" s="418"/>
      <c r="D414" s="418"/>
      <c r="E414" s="418"/>
      <c r="F414" s="418"/>
      <c r="G414" s="418"/>
      <c r="H414" s="418"/>
      <c r="I414" s="418"/>
      <c r="J414" s="418"/>
      <c r="K414" s="418"/>
      <c r="L414" s="418"/>
      <c r="M414" s="418"/>
      <c r="N414" s="418"/>
      <c r="O414" s="418"/>
      <c r="P414" s="418"/>
      <c r="Q414" s="418"/>
      <c r="R414" s="418"/>
      <c r="S414" s="418"/>
      <c r="T414" s="418"/>
      <c r="U414" s="418"/>
      <c r="V414" s="418"/>
      <c r="W414" s="418"/>
      <c r="X414" s="418"/>
      <c r="Y414" s="418"/>
      <c r="Z414" s="418"/>
      <c r="AA414" s="418"/>
      <c r="AB414" s="418"/>
    </row>
    <row r="415" spans="1:28" ht="30">
      <c r="A415" s="19" t="s">
        <v>1681</v>
      </c>
      <c r="B415" s="117">
        <v>1</v>
      </c>
      <c r="C415" s="19">
        <v>0</v>
      </c>
      <c r="D415" s="19" t="s">
        <v>888</v>
      </c>
      <c r="E415" s="43" t="s">
        <v>75</v>
      </c>
      <c r="F415" s="19">
        <v>7703202221237</v>
      </c>
    </row>
    <row r="416" spans="1:28">
      <c r="A416" s="152" t="s">
        <v>1682</v>
      </c>
      <c r="B416" s="153">
        <v>1</v>
      </c>
      <c r="C416" s="55">
        <v>0</v>
      </c>
      <c r="D416" s="154" t="s">
        <v>1624</v>
      </c>
      <c r="E416" s="152" t="s">
        <v>1625</v>
      </c>
      <c r="F416" s="96">
        <v>7703038050322</v>
      </c>
    </row>
    <row r="417" spans="1:28" ht="43.5">
      <c r="A417" t="s">
        <v>1683</v>
      </c>
      <c r="B417">
        <v>2</v>
      </c>
      <c r="C417" s="133">
        <v>0.19</v>
      </c>
      <c r="D417" t="s">
        <v>1684</v>
      </c>
      <c r="E417" s="22" t="s">
        <v>1685</v>
      </c>
      <c r="F417">
        <v>7702057707712</v>
      </c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57.75">
      <c r="A418" t="s">
        <v>1686</v>
      </c>
      <c r="B418">
        <v>2</v>
      </c>
      <c r="C418" s="133">
        <v>0.19</v>
      </c>
      <c r="D418" t="s">
        <v>1687</v>
      </c>
      <c r="E418" s="22" t="s">
        <v>1688</v>
      </c>
      <c r="F418">
        <v>7702057707729</v>
      </c>
    </row>
    <row r="419" spans="1:28" ht="29.25">
      <c r="A419" s="22" t="s">
        <v>1689</v>
      </c>
      <c r="B419" s="41">
        <v>3</v>
      </c>
      <c r="C419" s="269">
        <v>0</v>
      </c>
      <c r="D419" s="41" t="s">
        <v>7</v>
      </c>
      <c r="E419" s="22" t="s">
        <v>1690</v>
      </c>
      <c r="F419">
        <v>7703712034273</v>
      </c>
      <c r="Z419"/>
    </row>
    <row r="420" spans="1:28" ht="29.25">
      <c r="A420" s="22" t="s">
        <v>1691</v>
      </c>
      <c r="B420">
        <v>2</v>
      </c>
      <c r="C420" s="133">
        <v>0</v>
      </c>
      <c r="D420" s="183" t="s">
        <v>32</v>
      </c>
      <c r="E420" t="s">
        <v>184</v>
      </c>
      <c r="F420">
        <v>7709105485509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</row>
    <row r="421" spans="1:28">
      <c r="A421" s="74" t="s">
        <v>1122</v>
      </c>
      <c r="B421" s="74">
        <v>3</v>
      </c>
      <c r="C421" s="75">
        <v>0</v>
      </c>
      <c r="D421" s="336" t="s">
        <v>603</v>
      </c>
      <c r="E421" s="76" t="s">
        <v>63</v>
      </c>
      <c r="F421" s="74">
        <v>7702418004351</v>
      </c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</row>
    <row r="422" spans="1:28">
      <c r="A422" s="418"/>
      <c r="B422" s="440"/>
      <c r="C422" s="418"/>
      <c r="D422" s="418"/>
      <c r="E422" s="418"/>
      <c r="F422" s="418"/>
      <c r="G422" s="418"/>
      <c r="H422" s="418"/>
      <c r="I422" s="418"/>
      <c r="J422" s="418"/>
      <c r="K422" s="418"/>
      <c r="L422" s="418"/>
      <c r="M422" s="418"/>
      <c r="N422" s="418"/>
      <c r="O422" s="418"/>
      <c r="P422" s="418"/>
      <c r="Q422" s="418"/>
      <c r="R422" s="418"/>
      <c r="S422" s="418"/>
      <c r="T422" s="418"/>
      <c r="U422" s="418"/>
      <c r="V422" s="418"/>
      <c r="W422" s="418"/>
      <c r="X422" s="418"/>
      <c r="Y422" s="418"/>
      <c r="Z422" s="418"/>
      <c r="AA422" s="418"/>
      <c r="AB422" s="418"/>
    </row>
    <row r="423" spans="1:28" ht="30">
      <c r="A423" s="117" t="s">
        <v>1184</v>
      </c>
      <c r="B423" s="117">
        <v>3</v>
      </c>
      <c r="C423" s="117">
        <v>0</v>
      </c>
      <c r="D423" s="117" t="s">
        <v>118</v>
      </c>
      <c r="E423" s="112" t="s">
        <v>1185</v>
      </c>
      <c r="F423" s="117">
        <v>7704175687457</v>
      </c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8" ht="30">
      <c r="A424" s="74" t="s">
        <v>1692</v>
      </c>
      <c r="B424" s="21">
        <v>1</v>
      </c>
      <c r="C424" s="164">
        <v>0</v>
      </c>
      <c r="D424" s="349" t="s">
        <v>1693</v>
      </c>
      <c r="E424" s="76" t="s">
        <v>1694</v>
      </c>
      <c r="F424" s="74">
        <v>7702057014148</v>
      </c>
      <c r="G424" s="21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AA424" s="117"/>
      <c r="AB424" s="117"/>
    </row>
    <row r="425" spans="1:28">
      <c r="A425" s="418"/>
      <c r="B425" s="440"/>
      <c r="C425" s="418"/>
      <c r="D425" s="418"/>
      <c r="E425" s="418"/>
      <c r="F425" s="418"/>
      <c r="G425" s="418"/>
      <c r="H425" s="418"/>
      <c r="I425" s="418"/>
      <c r="J425" s="418"/>
      <c r="K425" s="418"/>
      <c r="L425" s="418"/>
      <c r="M425" s="418"/>
      <c r="N425" s="418"/>
      <c r="O425" s="418"/>
      <c r="P425" s="418"/>
      <c r="Q425" s="418"/>
      <c r="R425" s="418"/>
      <c r="S425" s="418"/>
      <c r="T425" s="418"/>
      <c r="U425" s="418"/>
      <c r="V425" s="418"/>
      <c r="W425" s="418"/>
      <c r="X425" s="418"/>
      <c r="Y425" s="418"/>
      <c r="Z425" s="418"/>
      <c r="AA425" s="418"/>
      <c r="AB425" s="418"/>
    </row>
    <row r="426" spans="1:28">
      <c r="A426" s="19" t="s">
        <v>1695</v>
      </c>
      <c r="B426" s="117">
        <v>3</v>
      </c>
      <c r="C426" s="126">
        <v>0</v>
      </c>
      <c r="D426" s="19" t="s">
        <v>91</v>
      </c>
      <c r="E426" s="43" t="s">
        <v>1696</v>
      </c>
      <c r="F426" s="19">
        <v>7709402351163</v>
      </c>
    </row>
    <row r="427" spans="1:28">
      <c r="A427" s="19" t="s">
        <v>1697</v>
      </c>
      <c r="B427" s="117">
        <v>1</v>
      </c>
      <c r="C427" s="19">
        <v>0</v>
      </c>
      <c r="D427" s="19" t="s">
        <v>902</v>
      </c>
      <c r="E427" s="19" t="s">
        <v>1698</v>
      </c>
      <c r="F427" s="19">
        <v>7708211573117</v>
      </c>
    </row>
    <row r="428" spans="1:28" ht="42.75">
      <c r="A428" s="69" t="s">
        <v>1176</v>
      </c>
      <c r="B428" s="14">
        <v>12</v>
      </c>
      <c r="C428" s="105">
        <v>0</v>
      </c>
      <c r="D428" s="14" t="s">
        <v>88</v>
      </c>
      <c r="E428" s="13" t="s">
        <v>1177</v>
      </c>
      <c r="F428" s="71">
        <v>7702184030165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 s="23"/>
    </row>
    <row r="429" spans="1:28">
      <c r="A429" t="s">
        <v>1699</v>
      </c>
      <c r="B429" s="23">
        <v>2</v>
      </c>
      <c r="C429" s="23">
        <v>0</v>
      </c>
      <c r="D429" s="23" t="s">
        <v>118</v>
      </c>
      <c r="E429" t="s">
        <v>1700</v>
      </c>
      <c r="F429">
        <v>7707186901451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</row>
    <row r="430" spans="1:28">
      <c r="A430" s="418"/>
      <c r="B430" s="440"/>
      <c r="C430" s="418"/>
      <c r="D430" s="418"/>
      <c r="E430" s="418"/>
      <c r="F430" s="418"/>
      <c r="G430" s="418"/>
      <c r="H430" s="418"/>
      <c r="I430" s="418"/>
      <c r="J430" s="418"/>
      <c r="K430" s="418"/>
      <c r="L430" s="418"/>
      <c r="M430" s="418"/>
      <c r="N430" s="418"/>
      <c r="O430" s="418"/>
      <c r="P430" s="418"/>
      <c r="Q430" s="418"/>
      <c r="R430" s="418"/>
      <c r="S430" s="418"/>
      <c r="T430" s="418"/>
      <c r="U430" s="418"/>
      <c r="V430" s="418"/>
      <c r="W430" s="418"/>
      <c r="X430" s="418"/>
      <c r="Y430" s="418"/>
      <c r="Z430" s="418"/>
      <c r="AA430" s="418"/>
      <c r="AB430" s="418"/>
    </row>
    <row r="431" spans="1:28" ht="29.25">
      <c r="A431" s="7" t="s">
        <v>1670</v>
      </c>
      <c r="B431" s="8">
        <v>4</v>
      </c>
      <c r="C431" s="9">
        <v>0</v>
      </c>
      <c r="D431" s="8" t="s">
        <v>750</v>
      </c>
      <c r="E431" s="7" t="s">
        <v>1671</v>
      </c>
      <c r="F431" s="63">
        <v>7896116866219</v>
      </c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 spans="1:28">
      <c r="A432" s="418"/>
      <c r="B432" s="440"/>
      <c r="C432" s="418"/>
      <c r="D432" s="418"/>
      <c r="E432" s="418"/>
      <c r="F432" s="418"/>
      <c r="G432" s="418"/>
      <c r="H432" s="418"/>
      <c r="I432" s="418"/>
      <c r="J432" s="418"/>
      <c r="K432" s="418"/>
      <c r="L432" s="418"/>
      <c r="M432" s="418"/>
      <c r="N432" s="418"/>
      <c r="O432" s="418"/>
      <c r="P432" s="418"/>
      <c r="Q432" s="418"/>
      <c r="R432" s="418"/>
      <c r="S432" s="418"/>
      <c r="T432" s="418"/>
      <c r="U432" s="418"/>
      <c r="V432" s="418"/>
      <c r="W432" s="418"/>
      <c r="X432" s="418"/>
      <c r="Y432" s="418"/>
      <c r="Z432" s="418"/>
      <c r="AA432" s="418"/>
      <c r="AB432" s="418"/>
    </row>
    <row r="433" spans="1:28">
      <c r="A433" s="19" t="s">
        <v>1701</v>
      </c>
      <c r="B433" s="19">
        <v>2</v>
      </c>
      <c r="C433" s="126">
        <v>0</v>
      </c>
      <c r="D433" s="37" t="s">
        <v>427</v>
      </c>
      <c r="E433" s="19" t="s">
        <v>1702</v>
      </c>
      <c r="F433" s="19">
        <v>7707035510582</v>
      </c>
      <c r="Z433"/>
      <c r="AA433"/>
      <c r="AB433" s="117"/>
    </row>
    <row r="434" spans="1:28">
      <c r="A434" s="19" t="s">
        <v>1703</v>
      </c>
      <c r="B434" s="117">
        <v>4</v>
      </c>
      <c r="C434" s="19">
        <v>0</v>
      </c>
      <c r="D434" s="19" t="s">
        <v>1704</v>
      </c>
      <c r="E434" s="19" t="s">
        <v>1705</v>
      </c>
      <c r="F434" s="19">
        <v>7702605102310</v>
      </c>
    </row>
    <row r="435" spans="1:28">
      <c r="A435" s="418"/>
      <c r="B435" s="440"/>
      <c r="C435" s="418"/>
      <c r="D435" s="418"/>
      <c r="E435" s="418"/>
      <c r="F435" s="418"/>
      <c r="G435" s="418"/>
      <c r="H435" s="418"/>
      <c r="I435" s="418"/>
      <c r="J435" s="418"/>
      <c r="K435" s="418"/>
      <c r="L435" s="418"/>
      <c r="M435" s="418"/>
      <c r="N435" s="418"/>
      <c r="O435" s="418"/>
      <c r="P435" s="418"/>
      <c r="Q435" s="418"/>
      <c r="R435" s="418"/>
      <c r="S435" s="418"/>
      <c r="T435" s="418"/>
      <c r="U435" s="418"/>
      <c r="V435" s="418"/>
      <c r="W435" s="418"/>
      <c r="X435" s="418"/>
      <c r="Y435" s="418"/>
      <c r="Z435" s="418"/>
      <c r="AA435" s="418"/>
      <c r="AB435" s="418"/>
    </row>
    <row r="436" spans="1:28" ht="29.25">
      <c r="A436" s="24" t="s">
        <v>849</v>
      </c>
      <c r="B436" s="30">
        <v>1</v>
      </c>
      <c r="C436" s="31">
        <v>0</v>
      </c>
      <c r="D436" s="98" t="s">
        <v>850</v>
      </c>
      <c r="E436" s="24" t="s">
        <v>851</v>
      </c>
      <c r="F436" s="28">
        <v>7702123006718</v>
      </c>
    </row>
    <row r="437" spans="1:28">
      <c r="A437" s="96" t="s">
        <v>1706</v>
      </c>
      <c r="B437" s="96">
        <v>1</v>
      </c>
      <c r="C437" s="97">
        <v>0</v>
      </c>
      <c r="D437" s="120" t="s">
        <v>85</v>
      </c>
      <c r="E437" s="96" t="s">
        <v>251</v>
      </c>
      <c r="F437" s="96">
        <v>7702057010928</v>
      </c>
      <c r="G437" s="96"/>
      <c r="H437" s="96"/>
      <c r="I437" s="96"/>
      <c r="J437" s="96"/>
      <c r="K437" s="96"/>
      <c r="L437" s="96"/>
      <c r="M437" s="96"/>
      <c r="N437" s="96"/>
      <c r="O437" s="96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8">
      <c r="A438" t="s">
        <v>1707</v>
      </c>
      <c r="B438">
        <v>3</v>
      </c>
      <c r="C438" s="133">
        <v>0</v>
      </c>
      <c r="D438" s="134" t="s">
        <v>1708</v>
      </c>
      <c r="E438" t="s">
        <v>116</v>
      </c>
      <c r="F438">
        <v>7702184011850</v>
      </c>
      <c r="G438" s="23"/>
      <c r="H438" s="23"/>
      <c r="I438" s="23"/>
      <c r="J438" s="23"/>
      <c r="K438" s="23"/>
      <c r="L438" s="23"/>
      <c r="M438" s="23"/>
      <c r="N438" s="23"/>
      <c r="O438" s="23"/>
      <c r="P438"/>
      <c r="Q438"/>
      <c r="R438"/>
      <c r="S438"/>
      <c r="T438"/>
      <c r="U438"/>
      <c r="V438"/>
      <c r="W438"/>
      <c r="X438"/>
      <c r="Y438"/>
      <c r="Z438"/>
      <c r="AA438"/>
    </row>
    <row r="439" spans="1:28" ht="30">
      <c r="A439" s="19" t="s">
        <v>105</v>
      </c>
      <c r="B439" s="117">
        <v>1</v>
      </c>
      <c r="C439" s="19">
        <v>0</v>
      </c>
      <c r="D439" s="19" t="s">
        <v>1136</v>
      </c>
      <c r="E439" s="43" t="s">
        <v>107</v>
      </c>
      <c r="F439" s="19">
        <v>8903726382844</v>
      </c>
    </row>
    <row r="440" spans="1:28">
      <c r="A440" s="8" t="s">
        <v>780</v>
      </c>
      <c r="B440" s="8">
        <v>3</v>
      </c>
      <c r="C440" s="9">
        <v>0</v>
      </c>
      <c r="D440" s="203" t="s">
        <v>781</v>
      </c>
      <c r="E440" s="7" t="s">
        <v>431</v>
      </c>
      <c r="F440" s="63">
        <v>7702057712938</v>
      </c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</row>
    <row r="441" spans="1:28" ht="28.5">
      <c r="A441" s="146" t="s">
        <v>1709</v>
      </c>
      <c r="B441" s="147">
        <v>1</v>
      </c>
      <c r="C441" s="148">
        <v>0</v>
      </c>
      <c r="D441" s="149" t="s">
        <v>756</v>
      </c>
      <c r="E441" s="150" t="s">
        <v>1710</v>
      </c>
      <c r="F441" s="151">
        <v>7861073963523</v>
      </c>
      <c r="G441" s="141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 spans="1:28">
      <c r="A442" s="49" t="s">
        <v>114</v>
      </c>
      <c r="B442" s="49">
        <v>1</v>
      </c>
      <c r="C442" s="216">
        <v>0</v>
      </c>
      <c r="D442" s="49" t="s">
        <v>1296</v>
      </c>
      <c r="E442" s="49" t="s">
        <v>116</v>
      </c>
      <c r="F442" s="49">
        <v>8904159631646</v>
      </c>
    </row>
    <row r="443" spans="1:28" ht="30">
      <c r="A443" s="19" t="s">
        <v>1711</v>
      </c>
      <c r="B443" s="117">
        <v>1</v>
      </c>
      <c r="C443" s="19">
        <v>0</v>
      </c>
      <c r="D443" s="19" t="s">
        <v>917</v>
      </c>
      <c r="E443" s="43" t="s">
        <v>918</v>
      </c>
      <c r="F443" s="19">
        <v>7612797656464</v>
      </c>
    </row>
    <row r="444" spans="1:28">
      <c r="A444" s="73" t="s">
        <v>1120</v>
      </c>
      <c r="B444" s="32">
        <v>1</v>
      </c>
      <c r="C444" s="72">
        <v>0</v>
      </c>
      <c r="D444" s="32" t="s">
        <v>7</v>
      </c>
      <c r="E444" s="73" t="s">
        <v>1121</v>
      </c>
      <c r="F444" s="371">
        <v>7500435107020</v>
      </c>
      <c r="G444" s="74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8">
      <c r="A445" s="418"/>
      <c r="B445" s="440"/>
      <c r="C445" s="418"/>
      <c r="D445" s="418"/>
      <c r="E445" s="418"/>
      <c r="F445" s="418"/>
      <c r="G445" s="418"/>
      <c r="H445" s="418"/>
      <c r="I445" s="418"/>
      <c r="J445" s="418"/>
      <c r="K445" s="418"/>
      <c r="L445" s="418"/>
      <c r="M445" s="418"/>
      <c r="N445" s="418"/>
      <c r="O445" s="418"/>
      <c r="P445" s="418"/>
      <c r="Q445" s="418"/>
      <c r="R445" s="418"/>
      <c r="S445" s="418"/>
      <c r="T445" s="418"/>
      <c r="U445" s="418"/>
      <c r="V445" s="418"/>
      <c r="W445" s="418"/>
      <c r="X445" s="418"/>
      <c r="Y445" s="418"/>
      <c r="Z445" s="418"/>
      <c r="AA445" s="418"/>
      <c r="AB445" s="418"/>
    </row>
    <row r="446" spans="1:28">
      <c r="A446" s="112" t="s">
        <v>1339</v>
      </c>
      <c r="B446" s="32">
        <v>5</v>
      </c>
      <c r="C446" s="72">
        <v>0</v>
      </c>
      <c r="D446" s="81" t="s">
        <v>1116</v>
      </c>
      <c r="E446" s="73" t="s">
        <v>1340</v>
      </c>
      <c r="F446" s="321">
        <v>7703689000448</v>
      </c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8" ht="28.5">
      <c r="A447" s="65" t="s">
        <v>1061</v>
      </c>
      <c r="B447" s="100">
        <v>2</v>
      </c>
      <c r="C447" s="101">
        <v>0</v>
      </c>
      <c r="D447" s="102" t="s">
        <v>1062</v>
      </c>
      <c r="E447" s="64" t="s">
        <v>1063</v>
      </c>
      <c r="F447" s="103">
        <v>7702195086748</v>
      </c>
    </row>
    <row r="448" spans="1:28" ht="29.25">
      <c r="A448" s="24" t="s">
        <v>1009</v>
      </c>
      <c r="B448" s="8">
        <v>3</v>
      </c>
      <c r="C448" s="9">
        <v>0</v>
      </c>
      <c r="D448" s="10" t="s">
        <v>59</v>
      </c>
      <c r="E448" s="24" t="s">
        <v>1010</v>
      </c>
      <c r="F448" s="63">
        <v>7705137110013</v>
      </c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8" ht="30">
      <c r="A449" s="19" t="s">
        <v>1681</v>
      </c>
      <c r="B449" s="117">
        <v>1</v>
      </c>
      <c r="C449" s="19">
        <v>0</v>
      </c>
      <c r="D449" s="19" t="s">
        <v>888</v>
      </c>
      <c r="E449" s="43" t="s">
        <v>75</v>
      </c>
      <c r="F449" s="19">
        <v>7703202221237</v>
      </c>
    </row>
    <row r="450" spans="1:28">
      <c r="A450" s="28" t="s">
        <v>1712</v>
      </c>
      <c r="B450" s="28">
        <v>6</v>
      </c>
      <c r="C450" s="192">
        <v>0</v>
      </c>
      <c r="D450" s="98" t="s">
        <v>80</v>
      </c>
      <c r="E450" s="7" t="s">
        <v>1713</v>
      </c>
      <c r="F450" s="28">
        <v>7703038067054</v>
      </c>
    </row>
    <row r="451" spans="1:28">
      <c r="A451" s="73" t="s">
        <v>1120</v>
      </c>
      <c r="B451" s="32">
        <v>1</v>
      </c>
      <c r="C451" s="72">
        <v>0</v>
      </c>
      <c r="D451" s="32" t="s">
        <v>7</v>
      </c>
      <c r="E451" s="73" t="s">
        <v>1121</v>
      </c>
      <c r="F451" s="371">
        <v>7500435107020</v>
      </c>
      <c r="G451" s="74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8" ht="30">
      <c r="A452" s="117" t="s">
        <v>1314</v>
      </c>
      <c r="B452" s="117">
        <v>2</v>
      </c>
      <c r="C452" s="117">
        <v>0</v>
      </c>
      <c r="D452" s="117" t="s">
        <v>747</v>
      </c>
      <c r="E452" s="112" t="s">
        <v>1315</v>
      </c>
      <c r="F452" s="117">
        <v>7703286111752</v>
      </c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</row>
    <row r="453" spans="1:28" ht="30">
      <c r="A453" s="19" t="s">
        <v>933</v>
      </c>
      <c r="B453" s="117">
        <v>1</v>
      </c>
      <c r="C453" s="19">
        <v>0</v>
      </c>
      <c r="D453" s="19" t="s">
        <v>112</v>
      </c>
      <c r="E453" s="43" t="s">
        <v>934</v>
      </c>
      <c r="F453" s="19">
        <v>7707288825617</v>
      </c>
    </row>
    <row r="454" spans="1:28">
      <c r="A454" s="418"/>
      <c r="B454" s="440"/>
      <c r="C454" s="418"/>
      <c r="D454" s="418"/>
      <c r="E454" s="418"/>
      <c r="F454" s="418"/>
      <c r="G454" s="418"/>
      <c r="H454" s="418"/>
      <c r="I454" s="418"/>
      <c r="J454" s="418"/>
      <c r="K454" s="418"/>
      <c r="L454" s="418"/>
      <c r="M454" s="418"/>
      <c r="N454" s="418"/>
      <c r="O454" s="418"/>
      <c r="P454" s="418"/>
      <c r="Q454" s="418"/>
      <c r="R454" s="418"/>
      <c r="S454" s="418"/>
      <c r="T454" s="418"/>
      <c r="U454" s="418"/>
      <c r="V454" s="418"/>
      <c r="W454" s="418"/>
      <c r="X454" s="418"/>
      <c r="Y454" s="418"/>
      <c r="Z454" s="418"/>
      <c r="AA454" s="418"/>
      <c r="AB454" s="418"/>
    </row>
    <row r="455" spans="1:28">
      <c r="A455" s="19" t="s">
        <v>1714</v>
      </c>
      <c r="B455" s="117">
        <v>3</v>
      </c>
      <c r="C455" s="19">
        <v>0</v>
      </c>
      <c r="D455" s="19" t="s">
        <v>10</v>
      </c>
      <c r="E455" s="19" t="s">
        <v>1715</v>
      </c>
      <c r="F455" s="19">
        <v>7709990089684</v>
      </c>
    </row>
    <row r="456" spans="1:28" ht="29.25">
      <c r="A456" s="22" t="s">
        <v>1716</v>
      </c>
      <c r="B456" s="22">
        <v>4</v>
      </c>
      <c r="C456" s="175">
        <v>0.19</v>
      </c>
      <c r="D456" s="176" t="s">
        <v>1717</v>
      </c>
      <c r="E456" s="22" t="s">
        <v>1718</v>
      </c>
      <c r="F456" s="22">
        <v>7702277549024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8">
      <c r="A457" s="19" t="s">
        <v>1714</v>
      </c>
      <c r="B457" s="117">
        <v>3</v>
      </c>
      <c r="C457" s="19">
        <v>0</v>
      </c>
      <c r="D457" s="19" t="s">
        <v>10</v>
      </c>
      <c r="E457" s="19" t="s">
        <v>1715</v>
      </c>
      <c r="F457" s="19">
        <v>7709990089684</v>
      </c>
    </row>
    <row r="458" spans="1:28">
      <c r="A458" s="418"/>
      <c r="B458" s="440"/>
      <c r="C458" s="418"/>
      <c r="D458" s="418"/>
      <c r="E458" s="418"/>
      <c r="F458" s="418"/>
      <c r="G458" s="418"/>
      <c r="H458" s="418"/>
      <c r="I458" s="418"/>
      <c r="J458" s="418"/>
      <c r="K458" s="418"/>
      <c r="L458" s="418"/>
      <c r="M458" s="418"/>
      <c r="N458" s="418"/>
      <c r="O458" s="418"/>
      <c r="P458" s="418"/>
      <c r="Q458" s="418"/>
      <c r="R458" s="418"/>
      <c r="S458" s="418"/>
      <c r="T458" s="418"/>
      <c r="U458" s="418"/>
      <c r="V458" s="418"/>
      <c r="W458" s="418"/>
      <c r="X458" s="418"/>
      <c r="Y458" s="418"/>
      <c r="Z458" s="418"/>
      <c r="AA458" s="418"/>
      <c r="AB458" s="418"/>
    </row>
    <row r="459" spans="1:28">
      <c r="A459" s="112" t="s">
        <v>1339</v>
      </c>
      <c r="B459" s="32">
        <v>5</v>
      </c>
      <c r="C459" s="72">
        <v>0</v>
      </c>
      <c r="D459" s="81" t="s">
        <v>625</v>
      </c>
      <c r="E459" s="73" t="s">
        <v>1340</v>
      </c>
      <c r="F459" s="321">
        <v>7703689000448</v>
      </c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8" ht="30">
      <c r="A460" s="16" t="s">
        <v>1541</v>
      </c>
      <c r="B460" s="17">
        <v>1</v>
      </c>
      <c r="C460" s="124">
        <v>0</v>
      </c>
      <c r="D460" s="17" t="s">
        <v>1719</v>
      </c>
      <c r="E460" s="16" t="s">
        <v>1542</v>
      </c>
      <c r="F460" s="139">
        <v>7703281000679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8" ht="29.25">
      <c r="A461" s="24" t="s">
        <v>1720</v>
      </c>
      <c r="B461" s="8">
        <v>6</v>
      </c>
      <c r="C461" s="9">
        <v>0</v>
      </c>
      <c r="D461" s="10" t="s">
        <v>232</v>
      </c>
      <c r="E461" s="24" t="s">
        <v>1721</v>
      </c>
      <c r="F461" s="63">
        <v>7704412004276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117"/>
      <c r="AA461" s="117"/>
      <c r="AB461" s="117"/>
    </row>
    <row r="462" spans="1:28">
      <c r="A462" s="418"/>
      <c r="B462" s="440"/>
      <c r="C462" s="418"/>
      <c r="D462" s="418"/>
      <c r="E462" s="418"/>
      <c r="F462" s="418"/>
      <c r="G462" s="418"/>
      <c r="H462" s="418"/>
      <c r="I462" s="418"/>
      <c r="J462" s="418"/>
      <c r="K462" s="418"/>
      <c r="L462" s="418"/>
      <c r="M462" s="418"/>
      <c r="N462" s="418"/>
      <c r="O462" s="418"/>
      <c r="P462" s="418"/>
      <c r="Q462" s="418"/>
      <c r="R462" s="418"/>
      <c r="S462" s="418"/>
      <c r="T462" s="418"/>
      <c r="U462" s="418"/>
      <c r="V462" s="418"/>
      <c r="W462" s="418"/>
      <c r="X462" s="418"/>
      <c r="Y462" s="418"/>
      <c r="Z462" s="418"/>
      <c r="AA462" s="418"/>
      <c r="AB462" s="418"/>
    </row>
    <row r="463" spans="1:28">
      <c r="A463" s="24" t="s">
        <v>1722</v>
      </c>
      <c r="B463" s="30">
        <v>10</v>
      </c>
      <c r="C463" s="128">
        <v>0</v>
      </c>
      <c r="D463" s="254" t="s">
        <v>7</v>
      </c>
      <c r="E463" s="8" t="s">
        <v>1723</v>
      </c>
      <c r="F463" s="28">
        <v>7709923870556</v>
      </c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</row>
    <row r="464" spans="1:28">
      <c r="A464" t="s">
        <v>1724</v>
      </c>
      <c r="B464">
        <v>10</v>
      </c>
      <c r="C464" s="51">
        <v>0</v>
      </c>
      <c r="D464" s="172" t="s">
        <v>10</v>
      </c>
      <c r="E464" s="39" t="s">
        <v>1725</v>
      </c>
      <c r="F464">
        <v>7707282990953</v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/>
      <c r="AA464"/>
    </row>
    <row r="465" spans="1:28" ht="29.25">
      <c r="A465" t="s">
        <v>1726</v>
      </c>
      <c r="B465">
        <v>2</v>
      </c>
      <c r="C465" s="133">
        <v>0</v>
      </c>
      <c r="D465" t="s">
        <v>59</v>
      </c>
      <c r="E465" s="22" t="s">
        <v>1727</v>
      </c>
      <c r="F465">
        <v>7707232099095</v>
      </c>
    </row>
    <row r="466" spans="1:28" ht="30">
      <c r="A466" s="19" t="s">
        <v>1728</v>
      </c>
      <c r="B466" s="117">
        <v>1</v>
      </c>
      <c r="C466" s="19">
        <v>0</v>
      </c>
      <c r="D466" s="19" t="s">
        <v>348</v>
      </c>
      <c r="E466" s="43" t="s">
        <v>18</v>
      </c>
      <c r="F466" s="19">
        <v>7702560048715</v>
      </c>
    </row>
    <row r="467" spans="1:28" ht="28.5">
      <c r="A467" s="12" t="s">
        <v>1729</v>
      </c>
      <c r="B467" s="12">
        <v>1</v>
      </c>
      <c r="C467" s="59">
        <v>0.19</v>
      </c>
      <c r="D467" s="12" t="s">
        <v>26</v>
      </c>
      <c r="E467" s="13" t="s">
        <v>1730</v>
      </c>
      <c r="F467" s="15">
        <v>7702314700449</v>
      </c>
      <c r="G467" s="12"/>
      <c r="H467" s="12"/>
      <c r="I467" s="12"/>
      <c r="J467" s="12"/>
      <c r="K467" s="12"/>
      <c r="L467" s="12"/>
      <c r="M467" s="12"/>
      <c r="N467" s="12"/>
      <c r="O467" s="12"/>
      <c r="AA467" s="117"/>
      <c r="AB467" s="117"/>
    </row>
    <row r="468" spans="1:28" ht="30">
      <c r="A468" s="117" t="s">
        <v>1424</v>
      </c>
      <c r="B468" s="117">
        <v>3</v>
      </c>
      <c r="C468" s="345">
        <v>0</v>
      </c>
      <c r="D468" s="117" t="s">
        <v>519</v>
      </c>
      <c r="E468" s="112" t="s">
        <v>1425</v>
      </c>
      <c r="F468" s="117">
        <v>7702057715885</v>
      </c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8" ht="29.25">
      <c r="A469" t="s">
        <v>1731</v>
      </c>
      <c r="B469">
        <v>3</v>
      </c>
      <c r="C469" s="133">
        <v>0</v>
      </c>
      <c r="D469" t="s">
        <v>471</v>
      </c>
      <c r="E469" s="22" t="s">
        <v>1732</v>
      </c>
      <c r="F469">
        <v>7707188720029</v>
      </c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</row>
    <row r="470" spans="1:28">
      <c r="A470" s="117" t="s">
        <v>657</v>
      </c>
      <c r="B470" s="117">
        <v>2</v>
      </c>
      <c r="C470" s="117">
        <v>0</v>
      </c>
      <c r="D470" s="117" t="s">
        <v>85</v>
      </c>
      <c r="E470" s="117" t="s">
        <v>658</v>
      </c>
      <c r="F470" s="117">
        <v>7707188720036</v>
      </c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8">
      <c r="A471" s="73" t="s">
        <v>1733</v>
      </c>
      <c r="B471" s="17">
        <v>1</v>
      </c>
      <c r="C471" s="124">
        <v>0</v>
      </c>
      <c r="D471" s="204" t="s">
        <v>1301</v>
      </c>
      <c r="E471" s="32" t="s">
        <v>1734</v>
      </c>
      <c r="F471" s="20">
        <v>7707177972712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spans="1:28" ht="29.25">
      <c r="A472" t="s">
        <v>1735</v>
      </c>
      <c r="B472">
        <v>2</v>
      </c>
      <c r="C472" s="133">
        <v>0</v>
      </c>
      <c r="D472" s="163" t="s">
        <v>118</v>
      </c>
      <c r="E472" s="22" t="s">
        <v>1736</v>
      </c>
      <c r="F472">
        <v>7701205202284</v>
      </c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</row>
    <row r="473" spans="1:28" ht="85.5">
      <c r="A473" s="71" t="s">
        <v>1737</v>
      </c>
      <c r="B473" s="14">
        <v>1</v>
      </c>
      <c r="C473" s="14">
        <v>0</v>
      </c>
      <c r="D473" s="14" t="s">
        <v>948</v>
      </c>
      <c r="E473" s="69" t="s">
        <v>1738</v>
      </c>
      <c r="F473" s="71">
        <v>7702560027833</v>
      </c>
      <c r="G473" s="28"/>
      <c r="H473" s="28"/>
      <c r="I473" s="28"/>
      <c r="J473" s="28"/>
      <c r="K473" s="28"/>
      <c r="L473" s="28"/>
      <c r="M473" s="28"/>
      <c r="N473" s="28"/>
      <c r="O473" s="28"/>
    </row>
    <row r="474" spans="1:28">
      <c r="A474" s="418"/>
      <c r="B474" s="440"/>
      <c r="C474" s="418"/>
      <c r="D474" s="418"/>
      <c r="E474" s="418"/>
      <c r="F474" s="418"/>
      <c r="G474" s="418"/>
      <c r="H474" s="418"/>
      <c r="I474" s="418"/>
      <c r="J474" s="418"/>
      <c r="K474" s="418"/>
      <c r="L474" s="418"/>
      <c r="M474" s="418"/>
      <c r="N474" s="418"/>
      <c r="O474" s="418"/>
      <c r="P474" s="418"/>
      <c r="Q474" s="418"/>
      <c r="R474" s="418"/>
      <c r="S474" s="418"/>
      <c r="T474" s="418"/>
      <c r="U474" s="418"/>
      <c r="V474" s="418"/>
      <c r="W474" s="418"/>
      <c r="X474" s="418"/>
      <c r="Y474" s="418"/>
      <c r="Z474" s="418"/>
      <c r="AA474" s="418"/>
      <c r="AB474" s="418"/>
    </row>
    <row r="477" spans="1:28" ht="29.25">
      <c r="A477" t="s">
        <v>1172</v>
      </c>
      <c r="B477">
        <v>2</v>
      </c>
      <c r="C477" s="133">
        <v>0</v>
      </c>
      <c r="D477" s="23" t="s">
        <v>94</v>
      </c>
      <c r="E477" s="41" t="s">
        <v>95</v>
      </c>
      <c r="F477">
        <v>7702195102387</v>
      </c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8" ht="30">
      <c r="A478" s="19" t="s">
        <v>1739</v>
      </c>
      <c r="B478" s="117">
        <v>2</v>
      </c>
      <c r="C478" s="126">
        <v>0.19</v>
      </c>
      <c r="D478" s="19" t="s">
        <v>118</v>
      </c>
      <c r="E478" s="43" t="s">
        <v>1740</v>
      </c>
      <c r="F478" s="19">
        <v>7707233050378</v>
      </c>
    </row>
    <row r="479" spans="1:28" ht="30">
      <c r="A479" s="76" t="s">
        <v>144</v>
      </c>
      <c r="B479" s="74">
        <v>4</v>
      </c>
      <c r="C479" s="75">
        <v>0</v>
      </c>
      <c r="D479" s="74" t="s">
        <v>145</v>
      </c>
      <c r="E479" s="76" t="s">
        <v>146</v>
      </c>
      <c r="F479" s="74">
        <v>7702605103294</v>
      </c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</row>
    <row r="480" spans="1:28" ht="30">
      <c r="A480" s="96" t="s">
        <v>1365</v>
      </c>
      <c r="B480" s="96">
        <v>2</v>
      </c>
      <c r="C480" s="97">
        <v>0</v>
      </c>
      <c r="D480" s="120" t="s">
        <v>1366</v>
      </c>
      <c r="E480" s="152" t="s">
        <v>1367</v>
      </c>
      <c r="F480" s="375">
        <v>7703712010000</v>
      </c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8" ht="30">
      <c r="A481" s="117" t="s">
        <v>1741</v>
      </c>
      <c r="B481" s="117">
        <v>1</v>
      </c>
      <c r="C481" s="117">
        <v>0</v>
      </c>
      <c r="D481" s="117" t="s">
        <v>491</v>
      </c>
      <c r="E481" s="112" t="s">
        <v>1742</v>
      </c>
      <c r="F481" s="117">
        <v>7707232095615</v>
      </c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8">
      <c r="A482" t="s">
        <v>1743</v>
      </c>
      <c r="B482">
        <v>1</v>
      </c>
      <c r="C482" s="140">
        <v>0</v>
      </c>
      <c r="D482" s="23" t="s">
        <v>1744</v>
      </c>
      <c r="E482" s="22" t="s">
        <v>477</v>
      </c>
      <c r="F482">
        <v>7861073963554</v>
      </c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8">
      <c r="A483" s="418"/>
      <c r="B483" s="440"/>
      <c r="C483" s="418"/>
      <c r="D483" s="418"/>
      <c r="E483" s="418"/>
      <c r="F483" s="418"/>
      <c r="G483" s="418"/>
      <c r="H483" s="418"/>
      <c r="I483" s="418"/>
      <c r="J483" s="418"/>
      <c r="K483" s="418"/>
      <c r="L483" s="418"/>
      <c r="M483" s="418"/>
      <c r="N483" s="418"/>
      <c r="O483" s="418"/>
      <c r="P483" s="418"/>
      <c r="Q483" s="418"/>
      <c r="R483" s="418"/>
      <c r="S483" s="418"/>
      <c r="T483" s="418"/>
      <c r="U483" s="418"/>
      <c r="V483" s="418"/>
      <c r="W483" s="418"/>
      <c r="X483" s="418"/>
      <c r="Y483" s="418"/>
      <c r="Z483" s="418"/>
      <c r="AA483" s="418"/>
      <c r="AB483" s="418"/>
    </row>
    <row r="484" spans="1:28" ht="30">
      <c r="A484" s="19" t="s">
        <v>1745</v>
      </c>
      <c r="B484" s="117">
        <v>3</v>
      </c>
      <c r="C484" s="19">
        <v>0</v>
      </c>
      <c r="D484" s="19" t="s">
        <v>103</v>
      </c>
      <c r="E484" s="43" t="s">
        <v>1746</v>
      </c>
      <c r="F484" s="19">
        <v>6921875009971</v>
      </c>
    </row>
    <row r="485" spans="1:28">
      <c r="A485" s="22" t="s">
        <v>1747</v>
      </c>
      <c r="B485">
        <v>1</v>
      </c>
      <c r="C485" s="133">
        <v>0</v>
      </c>
      <c r="D485" s="172" t="s">
        <v>740</v>
      </c>
      <c r="E485" t="s">
        <v>1748</v>
      </c>
      <c r="F485">
        <v>7702057712808</v>
      </c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8">
      <c r="A486" t="s">
        <v>1749</v>
      </c>
      <c r="B486" s="39">
        <v>3</v>
      </c>
      <c r="C486" s="40">
        <v>0</v>
      </c>
      <c r="D486" s="40" t="s">
        <v>1750</v>
      </c>
      <c r="E486" t="s">
        <v>1590</v>
      </c>
      <c r="F486">
        <v>7702605104543</v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 spans="1:28" ht="43.5">
      <c r="A487" s="24" t="s">
        <v>1751</v>
      </c>
      <c r="B487" s="28">
        <v>1</v>
      </c>
      <c r="C487" s="192">
        <v>0</v>
      </c>
      <c r="D487" s="193" t="s">
        <v>1433</v>
      </c>
      <c r="E487" s="24" t="s">
        <v>1752</v>
      </c>
      <c r="F487" s="28">
        <v>7702057804503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8" ht="30">
      <c r="A488" s="117" t="s">
        <v>1314</v>
      </c>
      <c r="B488" s="117">
        <v>2</v>
      </c>
      <c r="C488" s="117">
        <v>0</v>
      </c>
      <c r="D488" s="117" t="s">
        <v>747</v>
      </c>
      <c r="E488" s="112" t="s">
        <v>1315</v>
      </c>
      <c r="F488" s="117">
        <v>7703286111752</v>
      </c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</row>
    <row r="489" spans="1:28" ht="30">
      <c r="A489" s="19" t="s">
        <v>1753</v>
      </c>
      <c r="B489" s="19">
        <v>6</v>
      </c>
      <c r="C489" s="19">
        <v>0</v>
      </c>
      <c r="D489" s="19" t="s">
        <v>80</v>
      </c>
      <c r="E489" s="43" t="s">
        <v>1754</v>
      </c>
      <c r="F489" s="19">
        <v>7709063849023</v>
      </c>
      <c r="AA489"/>
    </row>
    <row r="490" spans="1:28" ht="28.5">
      <c r="A490" s="13" t="s">
        <v>246</v>
      </c>
      <c r="B490" s="14">
        <v>1</v>
      </c>
      <c r="C490" s="105">
        <v>0.19</v>
      </c>
      <c r="D490" s="137" t="s">
        <v>247</v>
      </c>
      <c r="E490" s="13" t="s">
        <v>248</v>
      </c>
      <c r="F490" s="211">
        <v>7703286115101</v>
      </c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</row>
    <row r="491" spans="1:28" ht="30">
      <c r="A491" s="112" t="s">
        <v>1755</v>
      </c>
      <c r="B491" s="117">
        <v>1</v>
      </c>
      <c r="C491" s="345">
        <v>0.19</v>
      </c>
      <c r="D491" s="116" t="s">
        <v>481</v>
      </c>
      <c r="E491" s="112" t="s">
        <v>1756</v>
      </c>
      <c r="F491" s="117">
        <v>7709990613162</v>
      </c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8">
      <c r="A492" s="418"/>
      <c r="B492" s="440"/>
      <c r="C492" s="418"/>
      <c r="D492" s="418"/>
      <c r="E492" s="418"/>
      <c r="F492" s="418"/>
      <c r="G492" s="418"/>
      <c r="H492" s="418"/>
      <c r="I492" s="418"/>
      <c r="J492" s="418"/>
      <c r="K492" s="418"/>
      <c r="L492" s="418"/>
      <c r="M492" s="418"/>
      <c r="N492" s="418"/>
      <c r="O492" s="418"/>
      <c r="P492" s="418"/>
      <c r="Q492" s="418"/>
      <c r="R492" s="418"/>
      <c r="S492" s="418"/>
      <c r="T492" s="418"/>
      <c r="U492" s="418"/>
      <c r="V492" s="418"/>
      <c r="W492" s="418"/>
      <c r="X492" s="418"/>
      <c r="Y492" s="418"/>
      <c r="Z492" s="418"/>
      <c r="AA492" s="418"/>
      <c r="AB492" s="418"/>
    </row>
    <row r="493" spans="1:28">
      <c r="A493" s="76" t="s">
        <v>1757</v>
      </c>
      <c r="B493" s="74">
        <v>2</v>
      </c>
      <c r="C493" s="75">
        <v>0.19</v>
      </c>
      <c r="D493" s="75" t="s">
        <v>118</v>
      </c>
      <c r="E493" s="74" t="s">
        <v>1758</v>
      </c>
      <c r="F493" s="378">
        <v>7705471100046</v>
      </c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8">
      <c r="A494" t="s">
        <v>1759</v>
      </c>
      <c r="B494">
        <v>3</v>
      </c>
      <c r="C494" s="133">
        <v>0.19</v>
      </c>
      <c r="D494" s="134" t="s">
        <v>471</v>
      </c>
      <c r="E494" t="s">
        <v>1760</v>
      </c>
      <c r="F494" s="42">
        <v>7705471205925</v>
      </c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 s="117"/>
      <c r="AB494" s="117"/>
    </row>
    <row r="495" spans="1:28">
      <c r="A495" s="22" t="s">
        <v>614</v>
      </c>
      <c r="B495" s="23">
        <v>4</v>
      </c>
      <c r="C495" s="51">
        <v>0</v>
      </c>
      <c r="D495" s="23" t="s">
        <v>29</v>
      </c>
      <c r="E495" t="s">
        <v>615</v>
      </c>
      <c r="F495">
        <v>7702057075231</v>
      </c>
    </row>
    <row r="496" spans="1:28" ht="30">
      <c r="A496" s="117" t="s">
        <v>202</v>
      </c>
      <c r="B496" s="117">
        <v>2</v>
      </c>
      <c r="C496" s="117">
        <v>0</v>
      </c>
      <c r="D496" s="117" t="s">
        <v>203</v>
      </c>
      <c r="E496" s="112" t="s">
        <v>204</v>
      </c>
      <c r="F496" s="117">
        <v>7702184010457</v>
      </c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8">
      <c r="A497" s="73" t="s">
        <v>199</v>
      </c>
      <c r="B497" s="32">
        <v>1</v>
      </c>
      <c r="C497" s="72">
        <v>0</v>
      </c>
      <c r="D497" s="32" t="s">
        <v>200</v>
      </c>
      <c r="E497" s="73" t="s">
        <v>201</v>
      </c>
      <c r="F497" s="321">
        <v>7707397791636</v>
      </c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</row>
    <row r="498" spans="1:28" s="117" customFormat="1" ht="30">
      <c r="A498" s="32" t="s">
        <v>175</v>
      </c>
      <c r="B498" s="32">
        <v>5</v>
      </c>
      <c r="C498" s="72">
        <v>0</v>
      </c>
      <c r="D498" s="72" t="s">
        <v>38</v>
      </c>
      <c r="E498" s="76" t="s">
        <v>121</v>
      </c>
      <c r="F498" s="321">
        <v>7501125176470</v>
      </c>
    </row>
    <row r="499" spans="1:28" s="117" customFormat="1" ht="30">
      <c r="A499" s="384" t="s">
        <v>762</v>
      </c>
      <c r="B499" s="384">
        <v>5</v>
      </c>
      <c r="C499" s="385">
        <v>0</v>
      </c>
      <c r="D499" s="384" t="s">
        <v>38</v>
      </c>
      <c r="E499" s="383" t="s">
        <v>121</v>
      </c>
      <c r="F499" s="384">
        <v>7501125184864</v>
      </c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</row>
    <row r="500" spans="1:28" ht="29.25">
      <c r="A500" s="22" t="s">
        <v>1626</v>
      </c>
      <c r="B500" s="23">
        <v>2</v>
      </c>
      <c r="C500" s="51">
        <v>0.19</v>
      </c>
      <c r="D500" s="23" t="s">
        <v>1627</v>
      </c>
      <c r="E500" s="22" t="s">
        <v>1628</v>
      </c>
      <c r="F500" s="52">
        <v>7705471206571</v>
      </c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8" ht="29.25">
      <c r="A501" s="22" t="s">
        <v>128</v>
      </c>
      <c r="B501" s="280">
        <v>3</v>
      </c>
      <c r="C501" s="281">
        <v>0.19</v>
      </c>
      <c r="D501" s="280" t="s">
        <v>129</v>
      </c>
      <c r="E501" s="22" t="s">
        <v>130</v>
      </c>
      <c r="F501" s="282">
        <v>7705471206533</v>
      </c>
      <c r="G501" s="283"/>
      <c r="H501" s="283"/>
      <c r="I501" s="283"/>
      <c r="J501" s="283"/>
      <c r="K501" s="283"/>
      <c r="L501" s="283"/>
      <c r="M501" s="283"/>
      <c r="N501" s="283"/>
      <c r="O501" s="283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</row>
    <row r="502" spans="1:28" ht="28.5">
      <c r="A502" s="13" t="s">
        <v>1761</v>
      </c>
      <c r="B502" s="12">
        <v>1</v>
      </c>
      <c r="C502" s="59">
        <v>0</v>
      </c>
      <c r="D502" s="60" t="s">
        <v>343</v>
      </c>
      <c r="E502" s="13" t="s">
        <v>1762</v>
      </c>
      <c r="F502" s="411">
        <v>7705959885793</v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/>
    </row>
    <row r="503" spans="1:28">
      <c r="A503" t="s">
        <v>1763</v>
      </c>
      <c r="B503" s="23">
        <v>3</v>
      </c>
      <c r="C503" s="51">
        <v>0.19</v>
      </c>
      <c r="D503" s="23" t="s">
        <v>1764</v>
      </c>
      <c r="E503" t="s">
        <v>1765</v>
      </c>
      <c r="F503">
        <v>7702026147631</v>
      </c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8">
      <c r="A504" s="418"/>
      <c r="B504" s="440"/>
      <c r="C504" s="418"/>
      <c r="D504" s="418"/>
      <c r="E504" s="418"/>
      <c r="F504" s="418"/>
      <c r="G504" s="418"/>
      <c r="H504" s="418"/>
      <c r="I504" s="418"/>
      <c r="J504" s="418"/>
      <c r="K504" s="418"/>
      <c r="L504" s="418"/>
      <c r="M504" s="418"/>
      <c r="N504" s="418"/>
      <c r="O504" s="418"/>
      <c r="P504" s="418"/>
      <c r="Q504" s="418"/>
      <c r="R504" s="418"/>
      <c r="S504" s="418"/>
      <c r="T504" s="418"/>
      <c r="U504" s="418"/>
      <c r="V504" s="418"/>
      <c r="W504" s="418"/>
      <c r="X504" s="418"/>
      <c r="Y504" s="418"/>
      <c r="Z504" s="418"/>
      <c r="AA504" s="418"/>
      <c r="AB504" s="418"/>
    </row>
    <row r="505" spans="1:28">
      <c r="A505" s="76" t="s">
        <v>817</v>
      </c>
      <c r="B505" s="74">
        <v>2</v>
      </c>
      <c r="C505" s="75">
        <v>0</v>
      </c>
      <c r="D505" s="74" t="s">
        <v>818</v>
      </c>
      <c r="E505" s="76" t="s">
        <v>428</v>
      </c>
      <c r="F505" s="74">
        <v>7703038050018</v>
      </c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117"/>
      <c r="AA505" s="117"/>
      <c r="AB505" s="117"/>
    </row>
    <row r="506" spans="1:28" ht="28.5">
      <c r="A506" s="69" t="s">
        <v>1766</v>
      </c>
      <c r="B506" s="12">
        <v>1</v>
      </c>
      <c r="C506" s="59">
        <v>0.05</v>
      </c>
      <c r="D506" s="111" t="s">
        <v>1767</v>
      </c>
      <c r="E506" s="121" t="s">
        <v>1768</v>
      </c>
      <c r="F506" s="211">
        <v>7703006009338</v>
      </c>
    </row>
    <row r="507" spans="1:28" ht="28.5">
      <c r="A507" s="71" t="s">
        <v>521</v>
      </c>
      <c r="B507" s="14">
        <v>2</v>
      </c>
      <c r="C507" s="105">
        <v>0.05</v>
      </c>
      <c r="D507" s="137" t="s">
        <v>1769</v>
      </c>
      <c r="E507" s="121" t="s">
        <v>523</v>
      </c>
      <c r="F507" s="211">
        <v>7703006086339</v>
      </c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 s="117"/>
      <c r="AB507" s="117"/>
    </row>
    <row r="508" spans="1:28" ht="29.25">
      <c r="A508" s="24" t="s">
        <v>1770</v>
      </c>
      <c r="B508" s="30">
        <v>1</v>
      </c>
      <c r="C508" s="31">
        <v>0</v>
      </c>
      <c r="D508" s="30" t="s">
        <v>103</v>
      </c>
      <c r="E508" s="24" t="s">
        <v>54</v>
      </c>
      <c r="F508" s="28">
        <v>7703038050179</v>
      </c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</row>
    <row r="509" spans="1:28">
      <c r="A509" s="76" t="s">
        <v>1276</v>
      </c>
      <c r="B509" s="74">
        <v>2</v>
      </c>
      <c r="C509" s="75">
        <v>0</v>
      </c>
      <c r="D509" s="336" t="s">
        <v>318</v>
      </c>
      <c r="E509" s="76" t="s">
        <v>1277</v>
      </c>
      <c r="F509" s="372">
        <v>3582910009900</v>
      </c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8">
      <c r="A510" t="s">
        <v>407</v>
      </c>
      <c r="B510">
        <v>2</v>
      </c>
      <c r="C510" s="173">
        <v>0</v>
      </c>
      <c r="D510" s="30" t="s">
        <v>408</v>
      </c>
      <c r="E510" t="s">
        <v>409</v>
      </c>
      <c r="F510">
        <v>7703038518747</v>
      </c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8">
      <c r="A511" s="8" t="s">
        <v>1771</v>
      </c>
      <c r="B511" s="8">
        <v>8</v>
      </c>
      <c r="C511" s="9">
        <v>0</v>
      </c>
      <c r="D511" s="8" t="s">
        <v>1772</v>
      </c>
      <c r="E511" s="30" t="s">
        <v>1773</v>
      </c>
      <c r="F511" s="30">
        <v>7702195079559</v>
      </c>
      <c r="G511" s="23"/>
      <c r="H511" s="23"/>
      <c r="I511" s="23"/>
      <c r="J511" s="23"/>
      <c r="K511" s="23"/>
      <c r="L511" s="23"/>
      <c r="M511" s="23"/>
      <c r="N511" s="23"/>
      <c r="O511" s="23"/>
    </row>
    <row r="512" spans="1:28">
      <c r="A512" s="418"/>
      <c r="B512" s="440"/>
      <c r="C512" s="418"/>
      <c r="D512" s="418"/>
      <c r="E512" s="418"/>
      <c r="F512" s="418"/>
      <c r="G512" s="418"/>
      <c r="H512" s="418"/>
      <c r="I512" s="418"/>
      <c r="J512" s="418"/>
      <c r="K512" s="418"/>
      <c r="L512" s="418"/>
      <c r="M512" s="418"/>
      <c r="N512" s="418"/>
      <c r="O512" s="418"/>
      <c r="P512" s="418"/>
      <c r="Q512" s="418"/>
      <c r="R512" s="418"/>
      <c r="S512" s="418"/>
      <c r="T512" s="418"/>
      <c r="U512" s="418"/>
      <c r="V512" s="418"/>
      <c r="W512" s="418"/>
      <c r="X512" s="418"/>
      <c r="Y512" s="418"/>
      <c r="Z512" s="418"/>
      <c r="AA512" s="418"/>
      <c r="AB512" s="418"/>
    </row>
    <row r="513" spans="1:28" ht="30">
      <c r="A513" s="18" t="s">
        <v>102</v>
      </c>
      <c r="B513" s="18">
        <v>1</v>
      </c>
      <c r="C513" s="184">
        <v>0</v>
      </c>
      <c r="D513" s="17" t="s">
        <v>103</v>
      </c>
      <c r="E513" s="16" t="s">
        <v>104</v>
      </c>
      <c r="F513" s="20">
        <v>7703038050452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117"/>
      <c r="AA513" s="117"/>
      <c r="AB513" s="117"/>
    </row>
    <row r="514" spans="1:28" ht="29.25">
      <c r="A514" s="28" t="s">
        <v>22</v>
      </c>
      <c r="B514" s="30">
        <v>6</v>
      </c>
      <c r="C514" s="30">
        <v>0</v>
      </c>
      <c r="D514" s="30" t="s">
        <v>23</v>
      </c>
      <c r="E514" s="24" t="s">
        <v>24</v>
      </c>
      <c r="F514" s="28">
        <v>7705959885229</v>
      </c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</row>
    <row r="515" spans="1:28">
      <c r="A515" t="s">
        <v>395</v>
      </c>
      <c r="B515" s="39">
        <v>2</v>
      </c>
      <c r="C515" s="40">
        <v>0</v>
      </c>
      <c r="D515" s="40" t="s">
        <v>1774</v>
      </c>
      <c r="E515" t="s">
        <v>396</v>
      </c>
      <c r="F515">
        <v>7707355059686</v>
      </c>
    </row>
    <row r="516" spans="1:28">
      <c r="A516" t="s">
        <v>395</v>
      </c>
      <c r="B516" s="39">
        <v>1</v>
      </c>
      <c r="C516" s="40">
        <v>0</v>
      </c>
      <c r="D516" s="40" t="s">
        <v>1774</v>
      </c>
      <c r="E516" t="s">
        <v>396</v>
      </c>
      <c r="F516">
        <v>7707355059686</v>
      </c>
    </row>
    <row r="517" spans="1:28">
      <c r="A517" s="19" t="s">
        <v>1775</v>
      </c>
      <c r="B517" s="19">
        <v>15</v>
      </c>
      <c r="C517" s="19">
        <v>0</v>
      </c>
      <c r="D517" s="19" t="s">
        <v>20</v>
      </c>
      <c r="E517" s="19" t="s">
        <v>233</v>
      </c>
      <c r="F517" s="19">
        <v>7703712030787</v>
      </c>
    </row>
    <row r="518" spans="1:28">
      <c r="A518" s="117" t="s">
        <v>1132</v>
      </c>
      <c r="B518" s="117">
        <v>5</v>
      </c>
      <c r="C518" s="345">
        <v>0</v>
      </c>
      <c r="D518" s="119" t="s">
        <v>109</v>
      </c>
      <c r="E518" s="112" t="s">
        <v>1133</v>
      </c>
      <c r="F518" s="117">
        <v>7702195061400</v>
      </c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8">
      <c r="A519" t="s">
        <v>1776</v>
      </c>
      <c r="B519">
        <v>2</v>
      </c>
      <c r="C519">
        <v>0</v>
      </c>
      <c r="D519" t="s">
        <v>1777</v>
      </c>
      <c r="E519" t="s">
        <v>116</v>
      </c>
      <c r="F519">
        <v>7703432421353</v>
      </c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</row>
    <row r="520" spans="1:28">
      <c r="A520" s="19" t="s">
        <v>1778</v>
      </c>
      <c r="B520" s="153">
        <v>2</v>
      </c>
      <c r="C520" s="55">
        <v>0</v>
      </c>
      <c r="D520" s="55" t="s">
        <v>1779</v>
      </c>
      <c r="E520" s="19" t="s">
        <v>294</v>
      </c>
      <c r="F520" s="19">
        <v>7702896001477</v>
      </c>
    </row>
    <row r="521" spans="1:28" ht="30">
      <c r="A521" s="117" t="s">
        <v>1780</v>
      </c>
      <c r="B521" s="117">
        <v>3</v>
      </c>
      <c r="C521" s="117">
        <v>0</v>
      </c>
      <c r="D521" s="117" t="s">
        <v>652</v>
      </c>
      <c r="E521" s="112" t="s">
        <v>1038</v>
      </c>
      <c r="F521" s="117">
        <v>7707067620877</v>
      </c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8" ht="28.5">
      <c r="A522" s="71" t="s">
        <v>1781</v>
      </c>
      <c r="B522" s="14">
        <v>2</v>
      </c>
      <c r="C522" s="105">
        <v>0.19</v>
      </c>
      <c r="D522" s="137" t="s">
        <v>188</v>
      </c>
      <c r="E522" s="13" t="s">
        <v>364</v>
      </c>
      <c r="F522" s="71">
        <v>7794640171550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</row>
    <row r="523" spans="1:28">
      <c r="A523" s="418"/>
      <c r="B523" s="440"/>
      <c r="C523" s="418"/>
      <c r="D523" s="418"/>
      <c r="E523" s="418"/>
      <c r="F523" s="418"/>
      <c r="G523" s="418"/>
      <c r="H523" s="418"/>
      <c r="I523" s="418"/>
      <c r="J523" s="418"/>
      <c r="K523" s="418"/>
      <c r="L523" s="418"/>
      <c r="M523" s="418"/>
      <c r="N523" s="418"/>
      <c r="O523" s="418"/>
      <c r="P523" s="418"/>
      <c r="Q523" s="418"/>
      <c r="R523" s="418"/>
      <c r="S523" s="418"/>
      <c r="T523" s="418"/>
      <c r="U523" s="418"/>
      <c r="V523" s="418"/>
      <c r="W523" s="418"/>
      <c r="X523" s="418"/>
      <c r="Y523" s="418"/>
      <c r="Z523" s="418"/>
      <c r="AA523" s="418"/>
      <c r="AB523" s="418"/>
    </row>
    <row r="524" spans="1:28" ht="30">
      <c r="A524" s="43" t="s">
        <v>1782</v>
      </c>
      <c r="B524" s="117">
        <v>1</v>
      </c>
      <c r="C524" s="19">
        <v>0</v>
      </c>
      <c r="D524" s="19" t="s">
        <v>1783</v>
      </c>
      <c r="E524" s="43" t="s">
        <v>1784</v>
      </c>
      <c r="F524" s="19">
        <v>7702870000229</v>
      </c>
    </row>
    <row r="525" spans="1:28" ht="29.25">
      <c r="A525" s="22" t="s">
        <v>758</v>
      </c>
      <c r="B525" s="23">
        <v>2</v>
      </c>
      <c r="C525" s="23">
        <v>0</v>
      </c>
      <c r="D525" s="172" t="s">
        <v>759</v>
      </c>
      <c r="E525" s="41" t="s">
        <v>760</v>
      </c>
      <c r="F525" s="273">
        <v>7707173600091</v>
      </c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 s="117"/>
      <c r="AB525" s="117"/>
    </row>
    <row r="526" spans="1:28" ht="30">
      <c r="A526" s="19" t="s">
        <v>1785</v>
      </c>
      <c r="B526" s="117">
        <v>1</v>
      </c>
      <c r="C526" s="126">
        <v>0.19</v>
      </c>
      <c r="D526" s="19" t="s">
        <v>1786</v>
      </c>
      <c r="E526" s="43" t="s">
        <v>1787</v>
      </c>
      <c r="F526" s="19">
        <v>7702314155232</v>
      </c>
    </row>
    <row r="527" spans="1:28">
      <c r="A527" s="24" t="s">
        <v>1209</v>
      </c>
      <c r="B527" s="28">
        <v>1</v>
      </c>
      <c r="C527" s="192">
        <v>0</v>
      </c>
      <c r="D527" s="30" t="s">
        <v>222</v>
      </c>
      <c r="E527" s="24" t="s">
        <v>872</v>
      </c>
      <c r="F527" s="63">
        <v>7896006202516</v>
      </c>
      <c r="G527" s="28"/>
    </row>
    <row r="528" spans="1:28" ht="29.25">
      <c r="A528" s="22" t="s">
        <v>1788</v>
      </c>
      <c r="B528" s="22">
        <v>2</v>
      </c>
      <c r="C528" s="175">
        <v>0</v>
      </c>
      <c r="D528" s="176" t="s">
        <v>1789</v>
      </c>
      <c r="E528" s="22" t="s">
        <v>1790</v>
      </c>
      <c r="F528" s="22">
        <v>7704588000409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8" ht="28.5">
      <c r="A529" s="69" t="s">
        <v>1791</v>
      </c>
      <c r="B529" s="14">
        <v>10</v>
      </c>
      <c r="C529" s="105">
        <v>0.19</v>
      </c>
      <c r="D529" s="137" t="s">
        <v>214</v>
      </c>
      <c r="E529" s="13" t="s">
        <v>1792</v>
      </c>
      <c r="F529" s="71">
        <v>7707271202791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8">
      <c r="A530" s="418"/>
      <c r="B530" s="440"/>
      <c r="C530" s="418"/>
      <c r="D530" s="418"/>
      <c r="E530" s="418"/>
      <c r="F530" s="418"/>
      <c r="G530" s="418"/>
      <c r="H530" s="418"/>
      <c r="I530" s="418"/>
      <c r="J530" s="418"/>
      <c r="K530" s="418"/>
      <c r="L530" s="418"/>
      <c r="M530" s="418"/>
      <c r="N530" s="418"/>
      <c r="O530" s="418"/>
      <c r="P530" s="418"/>
      <c r="Q530" s="418"/>
      <c r="R530" s="418"/>
      <c r="S530" s="418"/>
      <c r="T530" s="418"/>
      <c r="U530" s="418"/>
      <c r="V530" s="418"/>
      <c r="W530" s="418"/>
      <c r="X530" s="418"/>
      <c r="Y530" s="418"/>
      <c r="Z530" s="418"/>
      <c r="AA530" s="418"/>
      <c r="AB530" s="418"/>
    </row>
    <row r="531" spans="1:28">
      <c r="A531" s="117" t="s">
        <v>1417</v>
      </c>
      <c r="B531" s="117">
        <v>1</v>
      </c>
      <c r="C531" s="345">
        <v>0</v>
      </c>
      <c r="D531" s="117" t="s">
        <v>29</v>
      </c>
      <c r="E531" s="117" t="s">
        <v>827</v>
      </c>
      <c r="F531" s="117">
        <v>7702184010754</v>
      </c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8">
      <c r="A532" s="117" t="s">
        <v>1417</v>
      </c>
      <c r="B532" s="117">
        <v>1</v>
      </c>
      <c r="C532" s="345">
        <v>0</v>
      </c>
      <c r="D532" s="117" t="s">
        <v>29</v>
      </c>
      <c r="E532" s="117" t="s">
        <v>827</v>
      </c>
      <c r="F532" s="117">
        <v>7702184014608</v>
      </c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8" ht="29.25">
      <c r="A533" t="s">
        <v>838</v>
      </c>
      <c r="B533">
        <v>3</v>
      </c>
      <c r="C533" s="133">
        <v>0</v>
      </c>
      <c r="D533" s="134" t="s">
        <v>32</v>
      </c>
      <c r="E533" s="22" t="s">
        <v>839</v>
      </c>
      <c r="F533">
        <v>7702870002636</v>
      </c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8">
      <c r="A534" s="76" t="s">
        <v>1757</v>
      </c>
      <c r="B534" s="74">
        <v>2</v>
      </c>
      <c r="C534" s="75">
        <v>0.19</v>
      </c>
      <c r="D534" s="75" t="s">
        <v>118</v>
      </c>
      <c r="E534" s="74" t="s">
        <v>1758</v>
      </c>
      <c r="F534" s="378">
        <v>7705471100046</v>
      </c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8" ht="29.25">
      <c r="A535" t="s">
        <v>1726</v>
      </c>
      <c r="B535">
        <v>2</v>
      </c>
      <c r="C535" s="133">
        <v>0</v>
      </c>
      <c r="D535" t="s">
        <v>59</v>
      </c>
      <c r="E535" s="22" t="s">
        <v>1727</v>
      </c>
      <c r="F535">
        <v>7707232099095</v>
      </c>
    </row>
    <row r="536" spans="1:28">
      <c r="A536" s="117" t="s">
        <v>45</v>
      </c>
      <c r="B536" s="117">
        <v>2</v>
      </c>
      <c r="C536" s="345">
        <v>0</v>
      </c>
      <c r="D536" s="117" t="s">
        <v>46</v>
      </c>
      <c r="E536" s="112" t="s">
        <v>48</v>
      </c>
      <c r="F536" s="117">
        <v>7704412080607</v>
      </c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8" ht="28.5">
      <c r="A537" s="159" t="s">
        <v>1793</v>
      </c>
      <c r="B537" s="147">
        <v>2</v>
      </c>
      <c r="C537" s="148">
        <v>0</v>
      </c>
      <c r="D537" s="149" t="s">
        <v>276</v>
      </c>
      <c r="E537" s="159" t="s">
        <v>1794</v>
      </c>
      <c r="F537" s="168">
        <v>7702057080396</v>
      </c>
      <c r="AA537"/>
    </row>
    <row r="538" spans="1:28">
      <c r="A538" s="8" t="s">
        <v>526</v>
      </c>
      <c r="B538" s="30">
        <v>1</v>
      </c>
      <c r="C538" s="173">
        <v>0</v>
      </c>
      <c r="D538" s="30" t="s">
        <v>527</v>
      </c>
      <c r="E538" s="25" t="s">
        <v>528</v>
      </c>
      <c r="F538" s="30">
        <v>7702195057304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8">
      <c r="A539" s="22" t="s">
        <v>1795</v>
      </c>
      <c r="B539" s="23">
        <v>4</v>
      </c>
      <c r="C539" s="51">
        <v>0</v>
      </c>
      <c r="D539" s="23" t="s">
        <v>1796</v>
      </c>
      <c r="E539" s="22" t="s">
        <v>431</v>
      </c>
      <c r="F539">
        <v>7707035540206</v>
      </c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8">
      <c r="A540" s="117" t="s">
        <v>226</v>
      </c>
      <c r="B540" s="117">
        <v>5</v>
      </c>
      <c r="C540" s="345">
        <v>0</v>
      </c>
      <c r="D540" s="117" t="s">
        <v>227</v>
      </c>
      <c r="E540" s="117" t="s">
        <v>228</v>
      </c>
      <c r="F540" s="117">
        <v>7703038067023</v>
      </c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8" ht="29.25">
      <c r="A541" s="233" t="s">
        <v>1797</v>
      </c>
      <c r="B541" s="30">
        <v>1</v>
      </c>
      <c r="C541" s="31">
        <v>0</v>
      </c>
      <c r="D541" s="99" t="s">
        <v>1798</v>
      </c>
      <c r="E541" s="7" t="s">
        <v>1799</v>
      </c>
      <c r="F541" s="63">
        <v>7707172681060</v>
      </c>
    </row>
    <row r="542" spans="1:28" ht="29.25">
      <c r="A542" s="22" t="s">
        <v>1800</v>
      </c>
      <c r="B542" s="39">
        <v>1</v>
      </c>
      <c r="C542" s="40">
        <v>0</v>
      </c>
      <c r="D542" s="57" t="s">
        <v>1801</v>
      </c>
      <c r="E542" s="22" t="s">
        <v>1799</v>
      </c>
      <c r="F542" s="42">
        <v>7707172681107</v>
      </c>
    </row>
    <row r="543" spans="1:28" ht="29.25">
      <c r="A543" s="22" t="s">
        <v>1802</v>
      </c>
      <c r="B543" s="39">
        <v>1</v>
      </c>
      <c r="C543" s="40">
        <v>0</v>
      </c>
      <c r="D543" s="57" t="s">
        <v>14</v>
      </c>
      <c r="E543" s="22" t="s">
        <v>1799</v>
      </c>
      <c r="F543" s="42">
        <v>7707172681183</v>
      </c>
    </row>
    <row r="544" spans="1:28" ht="29.25">
      <c r="A544" s="7" t="s">
        <v>1803</v>
      </c>
      <c r="B544" s="8">
        <v>1</v>
      </c>
      <c r="C544" s="9">
        <v>0</v>
      </c>
      <c r="D544" s="10" t="s">
        <v>112</v>
      </c>
      <c r="E544" s="7" t="s">
        <v>1799</v>
      </c>
      <c r="F544" s="8">
        <v>7707172681114</v>
      </c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</row>
    <row r="545" spans="1:28" ht="29.25">
      <c r="A545" s="7" t="s">
        <v>1804</v>
      </c>
      <c r="B545" s="28">
        <v>1</v>
      </c>
      <c r="C545" s="31">
        <v>0</v>
      </c>
      <c r="D545" s="99" t="s">
        <v>112</v>
      </c>
      <c r="E545" s="7" t="s">
        <v>1805</v>
      </c>
      <c r="F545" s="142">
        <v>7707172681190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/>
      <c r="AA545"/>
      <c r="AB545"/>
    </row>
    <row r="546" spans="1:28" ht="29.25">
      <c r="A546" s="7" t="s">
        <v>1806</v>
      </c>
      <c r="B546" s="8">
        <v>1</v>
      </c>
      <c r="C546" s="9">
        <v>0</v>
      </c>
      <c r="D546" s="10" t="s">
        <v>112</v>
      </c>
      <c r="E546" s="7" t="s">
        <v>1805</v>
      </c>
      <c r="F546" s="8">
        <v>7707172681077</v>
      </c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8" ht="29.25">
      <c r="A547" t="s">
        <v>1807</v>
      </c>
      <c r="B547">
        <v>2</v>
      </c>
      <c r="C547">
        <v>19</v>
      </c>
      <c r="D547" s="23" t="s">
        <v>276</v>
      </c>
      <c r="E547" s="22" t="s">
        <v>434</v>
      </c>
      <c r="F547">
        <v>4005808377534</v>
      </c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</row>
    <row r="548" spans="1:28" ht="30">
      <c r="A548" s="19" t="s">
        <v>1808</v>
      </c>
      <c r="B548" s="117">
        <v>3</v>
      </c>
      <c r="C548" s="19">
        <v>0</v>
      </c>
      <c r="D548" s="19" t="s">
        <v>7</v>
      </c>
      <c r="E548" s="43" t="s">
        <v>1809</v>
      </c>
      <c r="F548" s="19">
        <v>7702605349265</v>
      </c>
    </row>
    <row r="549" spans="1:28">
      <c r="A549" t="s">
        <v>926</v>
      </c>
      <c r="B549">
        <v>8</v>
      </c>
      <c r="C549" s="218">
        <v>0.19</v>
      </c>
      <c r="D549" s="219" t="s">
        <v>927</v>
      </c>
      <c r="E549" t="s">
        <v>928</v>
      </c>
      <c r="F549">
        <v>7702026174897</v>
      </c>
      <c r="G549" s="28"/>
    </row>
    <row r="550" spans="1:28">
      <c r="A550" s="418"/>
      <c r="B550" s="440"/>
      <c r="C550" s="418"/>
      <c r="D550" s="418"/>
      <c r="E550" s="418"/>
      <c r="F550" s="418"/>
      <c r="G550" s="418"/>
      <c r="H550" s="418"/>
      <c r="I550" s="418"/>
      <c r="J550" s="418"/>
      <c r="K550" s="418"/>
      <c r="L550" s="418"/>
      <c r="M550" s="418"/>
      <c r="N550" s="418"/>
      <c r="O550" s="418"/>
      <c r="P550" s="418"/>
      <c r="Q550" s="418"/>
      <c r="R550" s="418"/>
      <c r="S550" s="418"/>
      <c r="T550" s="418"/>
      <c r="U550" s="418"/>
      <c r="V550" s="418"/>
      <c r="W550" s="418"/>
      <c r="X550" s="418"/>
      <c r="Y550" s="418"/>
      <c r="Z550" s="418"/>
      <c r="AA550" s="418"/>
      <c r="AB550" s="418"/>
    </row>
    <row r="551" spans="1:28" ht="28.5">
      <c r="A551" s="64" t="s">
        <v>1810</v>
      </c>
      <c r="B551" s="102">
        <v>2</v>
      </c>
      <c r="C551" s="101">
        <v>0</v>
      </c>
      <c r="D551" s="109" t="s">
        <v>491</v>
      </c>
      <c r="E551" s="64" t="s">
        <v>1811</v>
      </c>
      <c r="F551" s="103">
        <v>7709740220718</v>
      </c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</row>
    <row r="552" spans="1:28">
      <c r="A552" s="32" t="s">
        <v>1812</v>
      </c>
      <c r="B552" s="32">
        <v>4</v>
      </c>
      <c r="C552" s="82">
        <v>0</v>
      </c>
      <c r="D552" s="32" t="s">
        <v>10</v>
      </c>
      <c r="E552" s="73" t="s">
        <v>1813</v>
      </c>
      <c r="F552" s="32">
        <v>7702184020227</v>
      </c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117"/>
      <c r="AA552" s="117"/>
      <c r="AB552" s="117"/>
    </row>
    <row r="553" spans="1:28">
      <c r="A553" s="32" t="s">
        <v>1812</v>
      </c>
      <c r="B553" s="32">
        <v>2</v>
      </c>
      <c r="C553" s="82">
        <v>0</v>
      </c>
      <c r="D553" s="32" t="s">
        <v>10</v>
      </c>
      <c r="E553" s="73" t="s">
        <v>1813</v>
      </c>
      <c r="F553" s="32">
        <v>7702184020227</v>
      </c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117"/>
      <c r="AA553" s="117"/>
      <c r="AB553" s="117"/>
    </row>
    <row r="554" spans="1:28">
      <c r="A554" s="19" t="s">
        <v>1814</v>
      </c>
      <c r="B554" s="117">
        <v>2</v>
      </c>
      <c r="C554" s="19">
        <v>19</v>
      </c>
      <c r="D554" s="19" t="s">
        <v>1344</v>
      </c>
      <c r="E554" s="43" t="s">
        <v>1815</v>
      </c>
      <c r="F554" s="19">
        <v>7707364808770</v>
      </c>
    </row>
    <row r="555" spans="1:28">
      <c r="A555" s="19" t="s">
        <v>1816</v>
      </c>
      <c r="B555" s="117">
        <v>2</v>
      </c>
      <c r="C555" s="19">
        <v>19</v>
      </c>
      <c r="D555" s="19" t="s">
        <v>1344</v>
      </c>
      <c r="E555" s="43" t="s">
        <v>1815</v>
      </c>
      <c r="F555" s="19">
        <v>7707364809289</v>
      </c>
    </row>
    <row r="556" spans="1:28" ht="28.5">
      <c r="A556" s="69" t="s">
        <v>155</v>
      </c>
      <c r="B556">
        <v>1</v>
      </c>
      <c r="C556" s="59">
        <v>0</v>
      </c>
      <c r="D556" s="137" t="s">
        <v>156</v>
      </c>
      <c r="E556" s="121" t="s">
        <v>54</v>
      </c>
      <c r="F556" s="211">
        <v>7703038066606</v>
      </c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8">
      <c r="A557" s="22" t="s">
        <v>1817</v>
      </c>
      <c r="B557" s="39">
        <v>6</v>
      </c>
      <c r="C557" s="40">
        <v>0</v>
      </c>
      <c r="D557" s="39" t="s">
        <v>109</v>
      </c>
      <c r="E557" t="s">
        <v>1818</v>
      </c>
      <c r="F557">
        <v>7707035540404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/>
    </row>
    <row r="558" spans="1:28" ht="28.5">
      <c r="A558" s="71" t="s">
        <v>1819</v>
      </c>
      <c r="B558" s="14">
        <v>6</v>
      </c>
      <c r="C558" s="105">
        <v>0</v>
      </c>
      <c r="D558" s="14" t="s">
        <v>7</v>
      </c>
      <c r="E558" s="69" t="s">
        <v>1820</v>
      </c>
      <c r="F558" s="71">
        <v>7703038061038</v>
      </c>
      <c r="G558" s="71"/>
      <c r="H558" s="71"/>
      <c r="I558" s="71"/>
      <c r="J558" s="71"/>
      <c r="K558" s="71"/>
      <c r="L558" s="71"/>
      <c r="M558" s="71"/>
      <c r="N558" s="71"/>
      <c r="O558" s="71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 spans="1:28" ht="30">
      <c r="A559" s="73" t="s">
        <v>325</v>
      </c>
      <c r="B559" s="32">
        <v>4</v>
      </c>
      <c r="C559" s="72">
        <v>0</v>
      </c>
      <c r="D559" s="32" t="s">
        <v>188</v>
      </c>
      <c r="E559" s="73" t="s">
        <v>326</v>
      </c>
      <c r="F559" s="379">
        <v>7702057012007</v>
      </c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 spans="1:28">
      <c r="A560" s="24" t="s">
        <v>714</v>
      </c>
      <c r="B560" s="30">
        <v>2</v>
      </c>
      <c r="C560" s="31">
        <v>0</v>
      </c>
      <c r="D560" s="30" t="s">
        <v>715</v>
      </c>
      <c r="E560" s="8" t="s">
        <v>716</v>
      </c>
      <c r="F560" s="63">
        <v>650240069932</v>
      </c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</row>
    <row r="561" spans="1:28">
      <c r="A561" s="418"/>
      <c r="B561" s="440"/>
      <c r="C561" s="418"/>
      <c r="D561" s="418"/>
      <c r="E561" s="418"/>
      <c r="F561" s="418"/>
      <c r="G561" s="418"/>
      <c r="H561" s="418"/>
      <c r="I561" s="418"/>
      <c r="J561" s="418"/>
      <c r="K561" s="418"/>
      <c r="L561" s="418"/>
      <c r="M561" s="418"/>
      <c r="N561" s="418"/>
      <c r="O561" s="418"/>
      <c r="P561" s="418"/>
      <c r="Q561" s="418"/>
      <c r="R561" s="418"/>
      <c r="S561" s="418"/>
      <c r="T561" s="418"/>
      <c r="U561" s="418"/>
      <c r="V561" s="418"/>
      <c r="W561" s="418"/>
      <c r="X561" s="418"/>
      <c r="Y561" s="418"/>
      <c r="Z561" s="418"/>
      <c r="AA561" s="418"/>
      <c r="AB561" s="418"/>
    </row>
    <row r="562" spans="1:28" ht="30">
      <c r="A562" s="19" t="s">
        <v>1821</v>
      </c>
      <c r="B562" s="117">
        <v>2</v>
      </c>
      <c r="C562" s="126">
        <v>0.19</v>
      </c>
      <c r="D562" s="19" t="s">
        <v>7</v>
      </c>
      <c r="E562" s="43" t="s">
        <v>1822</v>
      </c>
    </row>
    <row r="563" spans="1:28" ht="29.25">
      <c r="A563" s="24" t="s">
        <v>1264</v>
      </c>
      <c r="B563" s="28">
        <v>7</v>
      </c>
      <c r="C563" s="31">
        <v>0.19</v>
      </c>
      <c r="D563" s="99" t="s">
        <v>7</v>
      </c>
      <c r="E563" s="24" t="s">
        <v>1265</v>
      </c>
      <c r="F563" s="28">
        <v>7707202224281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8" ht="29.25">
      <c r="A564" s="24" t="s">
        <v>1823</v>
      </c>
      <c r="B564" s="22">
        <v>7</v>
      </c>
      <c r="C564" s="175">
        <v>0.19</v>
      </c>
      <c r="D564" s="106" t="s">
        <v>80</v>
      </c>
      <c r="E564" s="22" t="s">
        <v>1824</v>
      </c>
      <c r="F564" s="273">
        <v>7707202223680</v>
      </c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1:28" ht="28.5">
      <c r="A565" s="69" t="s">
        <v>1825</v>
      </c>
      <c r="B565" s="71">
        <v>2</v>
      </c>
      <c r="C565" s="206">
        <v>0.19</v>
      </c>
      <c r="D565" s="105" t="s">
        <v>23</v>
      </c>
      <c r="E565" s="69" t="s">
        <v>1826</v>
      </c>
      <c r="F565" s="61">
        <v>7707280391301</v>
      </c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</row>
    <row r="566" spans="1:28" ht="30">
      <c r="A566" s="19" t="s">
        <v>1827</v>
      </c>
      <c r="B566" s="117">
        <v>1</v>
      </c>
      <c r="C566" s="126">
        <v>0.19</v>
      </c>
      <c r="D566" s="19" t="s">
        <v>10</v>
      </c>
      <c r="E566" s="43" t="s">
        <v>1828</v>
      </c>
      <c r="F566" s="19">
        <v>7707280395569</v>
      </c>
    </row>
    <row r="567" spans="1:28" ht="30">
      <c r="A567" s="274" t="s">
        <v>1829</v>
      </c>
      <c r="B567" s="275">
        <v>1</v>
      </c>
      <c r="C567" s="105">
        <v>0.19</v>
      </c>
      <c r="D567" s="276" t="s">
        <v>1240</v>
      </c>
      <c r="E567" s="274" t="s">
        <v>1830</v>
      </c>
      <c r="F567" s="277">
        <v>7707280394609</v>
      </c>
      <c r="G567" s="275"/>
      <c r="H567" s="275"/>
      <c r="I567" s="275"/>
      <c r="J567" s="275"/>
      <c r="K567" s="275"/>
      <c r="L567" s="275"/>
      <c r="M567" s="275"/>
      <c r="N567" s="275"/>
      <c r="O567" s="275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</row>
    <row r="568" spans="1:28">
      <c r="A568" s="418"/>
      <c r="B568" s="440"/>
      <c r="C568" s="418"/>
      <c r="D568" s="418"/>
      <c r="E568" s="418"/>
      <c r="F568" s="418"/>
      <c r="G568" s="418"/>
      <c r="H568" s="418"/>
      <c r="I568" s="418"/>
      <c r="J568" s="418"/>
      <c r="K568" s="418"/>
      <c r="L568" s="418"/>
      <c r="M568" s="418"/>
      <c r="N568" s="418"/>
      <c r="O568" s="418"/>
      <c r="P568" s="418"/>
      <c r="Q568" s="418"/>
      <c r="R568" s="418"/>
      <c r="S568" s="418"/>
      <c r="T568" s="418"/>
      <c r="U568" s="418"/>
      <c r="V568" s="418"/>
      <c r="W568" s="418"/>
      <c r="X568" s="418"/>
      <c r="Y568" s="418"/>
      <c r="Z568" s="418"/>
      <c r="AA568" s="418"/>
      <c r="AB568" s="418"/>
    </row>
    <row r="569" spans="1:28" ht="30">
      <c r="A569" s="16" t="s">
        <v>1831</v>
      </c>
      <c r="B569" s="17">
        <v>1</v>
      </c>
      <c r="C569" s="33">
        <v>0</v>
      </c>
      <c r="D569" s="34" t="s">
        <v>7</v>
      </c>
      <c r="E569" s="73" t="s">
        <v>1832</v>
      </c>
      <c r="F569" s="110">
        <v>6921875003290</v>
      </c>
    </row>
    <row r="570" spans="1:28" ht="29.25">
      <c r="A570" s="7" t="s">
        <v>42</v>
      </c>
      <c r="B570" s="25">
        <v>5</v>
      </c>
      <c r="C570" s="26">
        <v>0</v>
      </c>
      <c r="D570" s="30" t="s">
        <v>587</v>
      </c>
      <c r="E570" s="25" t="s">
        <v>44</v>
      </c>
      <c r="F570" s="25">
        <v>7702870004425</v>
      </c>
      <c r="G570" s="30"/>
      <c r="H570" s="23"/>
      <c r="I570" s="23"/>
      <c r="J570" s="23"/>
      <c r="K570" s="23"/>
      <c r="L570" s="23"/>
      <c r="M570" s="23"/>
      <c r="N570" s="23"/>
      <c r="O570" s="23"/>
    </row>
    <row r="571" spans="1:28">
      <c r="A571" s="8" t="s">
        <v>526</v>
      </c>
      <c r="B571" s="8">
        <v>6</v>
      </c>
      <c r="C571" s="173">
        <v>0</v>
      </c>
      <c r="D571" s="30" t="s">
        <v>527</v>
      </c>
      <c r="E571" s="25" t="s">
        <v>528</v>
      </c>
      <c r="F571" s="30">
        <v>7702195057304</v>
      </c>
      <c r="G571" s="30"/>
      <c r="H571" s="30"/>
      <c r="I571" s="30"/>
      <c r="J571" s="30"/>
      <c r="K571" s="30"/>
      <c r="L571" s="30"/>
      <c r="M571" s="30"/>
      <c r="N571" s="30"/>
      <c r="O571" s="30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8">
      <c r="A572" s="53" t="s">
        <v>1833</v>
      </c>
      <c r="B572" s="53">
        <v>1</v>
      </c>
      <c r="C572" s="122">
        <v>0</v>
      </c>
      <c r="D572" s="53" t="s">
        <v>1834</v>
      </c>
      <c r="E572" s="53" t="s">
        <v>1835</v>
      </c>
      <c r="F572" s="53">
        <v>6971109095010</v>
      </c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 spans="1:28">
      <c r="A573" s="24" t="s">
        <v>1836</v>
      </c>
      <c r="B573" s="30">
        <v>1</v>
      </c>
      <c r="C573" s="31">
        <v>0</v>
      </c>
      <c r="D573" s="98" t="s">
        <v>103</v>
      </c>
      <c r="E573" s="7" t="s">
        <v>258</v>
      </c>
      <c r="F573" s="142">
        <v>7703038050124</v>
      </c>
    </row>
    <row r="574" spans="1:28">
      <c r="A574" s="19" t="s">
        <v>1837</v>
      </c>
      <c r="B574" s="117">
        <v>2</v>
      </c>
      <c r="C574" s="19">
        <v>0</v>
      </c>
      <c r="D574" s="19" t="s">
        <v>88</v>
      </c>
      <c r="E574" s="43" t="s">
        <v>1838</v>
      </c>
      <c r="F574" s="19">
        <v>7707237630019</v>
      </c>
    </row>
    <row r="575" spans="1:28" ht="30">
      <c r="A575" s="73" t="s">
        <v>1113</v>
      </c>
      <c r="B575" s="32">
        <v>4</v>
      </c>
      <c r="C575" s="72">
        <v>0</v>
      </c>
      <c r="D575" s="32" t="s">
        <v>1114</v>
      </c>
      <c r="E575" s="73" t="s">
        <v>1115</v>
      </c>
      <c r="F575" s="32">
        <v>7706569001160</v>
      </c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 spans="1:28">
      <c r="A576" s="418"/>
      <c r="B576" s="440"/>
      <c r="C576" s="418"/>
      <c r="D576" s="418"/>
      <c r="E576" s="418"/>
      <c r="F576" s="418"/>
      <c r="G576" s="418"/>
      <c r="H576" s="418"/>
      <c r="I576" s="418"/>
      <c r="J576" s="418"/>
      <c r="K576" s="418"/>
      <c r="L576" s="418"/>
      <c r="M576" s="418"/>
      <c r="N576" s="418"/>
      <c r="O576" s="418"/>
      <c r="P576" s="418"/>
      <c r="Q576" s="418"/>
      <c r="R576" s="418"/>
      <c r="S576" s="418"/>
      <c r="T576" s="418"/>
      <c r="U576" s="418"/>
      <c r="V576" s="418"/>
      <c r="W576" s="418"/>
      <c r="X576" s="418"/>
      <c r="Y576" s="418"/>
      <c r="Z576" s="418"/>
      <c r="AA576" s="418"/>
      <c r="AB576" s="418"/>
    </row>
    <row r="577" spans="1:28">
      <c r="A577" t="s">
        <v>1839</v>
      </c>
      <c r="B577">
        <v>1</v>
      </c>
      <c r="C577" s="133">
        <v>0</v>
      </c>
      <c r="D577" s="134" t="s">
        <v>1840</v>
      </c>
      <c r="E577" t="s">
        <v>1841</v>
      </c>
      <c r="F577">
        <v>7792219000607</v>
      </c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</row>
    <row r="578" spans="1:28" ht="30">
      <c r="A578" s="117" t="s">
        <v>1842</v>
      </c>
      <c r="B578" s="117">
        <v>3</v>
      </c>
      <c r="C578" s="117">
        <v>0</v>
      </c>
      <c r="D578" s="117" t="s">
        <v>118</v>
      </c>
      <c r="E578" s="112" t="s">
        <v>110</v>
      </c>
      <c r="F578" s="117">
        <v>7702123006732</v>
      </c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 spans="1:28">
      <c r="A579" s="418"/>
      <c r="B579" s="440"/>
      <c r="C579" s="418"/>
      <c r="D579" s="418"/>
      <c r="E579" s="418"/>
      <c r="F579" s="418"/>
      <c r="G579" s="418"/>
      <c r="H579" s="418"/>
      <c r="I579" s="418"/>
      <c r="J579" s="418"/>
      <c r="K579" s="418"/>
      <c r="L579" s="418"/>
      <c r="M579" s="418"/>
      <c r="N579" s="418"/>
      <c r="O579" s="418"/>
      <c r="P579" s="418"/>
      <c r="Q579" s="418"/>
      <c r="R579" s="418"/>
      <c r="S579" s="418"/>
      <c r="T579" s="418"/>
      <c r="U579" s="418"/>
      <c r="V579" s="418"/>
      <c r="W579" s="418"/>
      <c r="X579" s="418"/>
      <c r="Y579" s="418"/>
      <c r="Z579" s="418"/>
      <c r="AA579" s="418"/>
      <c r="AB579" s="418"/>
    </row>
    <row r="580" spans="1:28" ht="30">
      <c r="A580" s="73" t="s">
        <v>1193</v>
      </c>
      <c r="B580" s="32">
        <v>1</v>
      </c>
      <c r="C580" s="72">
        <v>0</v>
      </c>
      <c r="D580" s="83" t="s">
        <v>1194</v>
      </c>
      <c r="E580" s="73" t="s">
        <v>1195</v>
      </c>
      <c r="F580" s="32">
        <v>7702057018054</v>
      </c>
      <c r="G580" s="32"/>
      <c r="H580" s="32"/>
      <c r="I580" s="32"/>
      <c r="J580" s="32"/>
      <c r="K580" s="32"/>
      <c r="L580" s="32"/>
      <c r="M580" s="32"/>
      <c r="N580" s="32"/>
      <c r="O580" s="32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 spans="1:28">
      <c r="A581" t="s">
        <v>1843</v>
      </c>
      <c r="B581" s="39">
        <v>3</v>
      </c>
      <c r="C581" s="40">
        <v>0</v>
      </c>
      <c r="D581" s="39" t="s">
        <v>1550</v>
      </c>
      <c r="E581" t="s">
        <v>116</v>
      </c>
      <c r="F581">
        <v>8903726189955</v>
      </c>
    </row>
    <row r="582" spans="1:28">
      <c r="A582" s="418"/>
      <c r="B582" s="440"/>
      <c r="C582" s="418"/>
      <c r="D582" s="418"/>
      <c r="E582" s="418"/>
      <c r="F582" s="418"/>
      <c r="G582" s="418"/>
      <c r="H582" s="418"/>
      <c r="I582" s="418"/>
      <c r="J582" s="418"/>
      <c r="K582" s="418"/>
      <c r="L582" s="418"/>
      <c r="M582" s="418"/>
      <c r="N582" s="418"/>
      <c r="O582" s="418"/>
      <c r="P582" s="418"/>
      <c r="Q582" s="418"/>
      <c r="R582" s="418"/>
      <c r="S582" s="418"/>
      <c r="T582" s="418"/>
      <c r="U582" s="418"/>
      <c r="V582" s="418"/>
      <c r="W582" s="418"/>
      <c r="X582" s="418"/>
      <c r="Y582" s="418"/>
      <c r="Z582" s="418"/>
      <c r="AA582" s="418"/>
      <c r="AB582" s="418"/>
    </row>
    <row r="583" spans="1:28">
      <c r="A583" s="69" t="s">
        <v>1844</v>
      </c>
      <c r="B583" s="14">
        <v>2</v>
      </c>
      <c r="C583" s="105">
        <v>0</v>
      </c>
      <c r="D583" s="14" t="s">
        <v>603</v>
      </c>
      <c r="E583" s="69" t="s">
        <v>1845</v>
      </c>
      <c r="F583" s="61">
        <v>7703153020262</v>
      </c>
      <c r="G583" s="71"/>
    </row>
    <row r="584" spans="1:28" ht="42.75">
      <c r="A584" s="141" t="s">
        <v>1846</v>
      </c>
      <c r="B584" s="147">
        <v>2</v>
      </c>
      <c r="C584" s="148">
        <v>0</v>
      </c>
      <c r="D584" s="158" t="s">
        <v>26</v>
      </c>
      <c r="E584" s="146" t="s">
        <v>1847</v>
      </c>
      <c r="F584" s="160">
        <v>7702896001286</v>
      </c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8">
      <c r="A585" s="418"/>
      <c r="B585" s="440"/>
      <c r="C585" s="418"/>
      <c r="D585" s="418"/>
      <c r="E585" s="418"/>
      <c r="F585" s="418"/>
      <c r="G585" s="418"/>
      <c r="H585" s="418"/>
      <c r="I585" s="418"/>
      <c r="J585" s="418"/>
      <c r="K585" s="418"/>
      <c r="L585" s="418"/>
      <c r="M585" s="418"/>
      <c r="N585" s="418"/>
      <c r="O585" s="418"/>
      <c r="P585" s="418"/>
      <c r="Q585" s="418"/>
      <c r="R585" s="418"/>
      <c r="S585" s="418"/>
      <c r="T585" s="418"/>
      <c r="U585" s="418"/>
      <c r="V585" s="418"/>
      <c r="W585" s="418"/>
      <c r="X585" s="418"/>
      <c r="Y585" s="418"/>
      <c r="Z585" s="418"/>
      <c r="AA585" s="418"/>
      <c r="AB585" s="418"/>
    </row>
    <row r="586" spans="1:28">
      <c r="A586" s="8" t="s">
        <v>1848</v>
      </c>
      <c r="B586" s="30">
        <v>6</v>
      </c>
      <c r="C586" s="31">
        <v>0.19</v>
      </c>
      <c r="D586" s="98" t="s">
        <v>153</v>
      </c>
      <c r="E586" s="8" t="s">
        <v>1849</v>
      </c>
      <c r="F586" s="8">
        <v>7709469175238</v>
      </c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8">
      <c r="A587" s="28" t="s">
        <v>1604</v>
      </c>
      <c r="B587" s="8">
        <v>1</v>
      </c>
      <c r="C587" s="31">
        <v>0</v>
      </c>
      <c r="D587" s="30" t="s">
        <v>1605</v>
      </c>
      <c r="E587" s="28" t="s">
        <v>1606</v>
      </c>
      <c r="F587" s="28">
        <v>7730969301810</v>
      </c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</row>
    <row r="588" spans="1:28">
      <c r="A588" s="74" t="s">
        <v>350</v>
      </c>
      <c r="B588" s="74">
        <v>3</v>
      </c>
      <c r="C588" s="75">
        <v>0</v>
      </c>
      <c r="D588" s="74" t="s">
        <v>318</v>
      </c>
      <c r="E588" s="74" t="s">
        <v>351</v>
      </c>
      <c r="F588" s="74">
        <v>7707035560037</v>
      </c>
      <c r="G588" s="74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 spans="1:28" ht="30">
      <c r="A589" s="32" t="s">
        <v>1850</v>
      </c>
      <c r="B589" s="32">
        <v>6</v>
      </c>
      <c r="C589" s="89">
        <v>0</v>
      </c>
      <c r="D589" s="90" t="s">
        <v>10</v>
      </c>
      <c r="E589" s="73" t="s">
        <v>1851</v>
      </c>
      <c r="F589" s="32">
        <v>7703038859246</v>
      </c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 spans="1:28">
      <c r="A590" s="418"/>
      <c r="B590" s="440"/>
      <c r="C590" s="418"/>
      <c r="D590" s="418"/>
      <c r="E590" s="418"/>
      <c r="F590" s="418"/>
      <c r="G590" s="418"/>
      <c r="H590" s="418"/>
      <c r="I590" s="418"/>
      <c r="J590" s="418"/>
      <c r="K590" s="418"/>
      <c r="L590" s="418"/>
      <c r="M590" s="418"/>
      <c r="N590" s="418"/>
      <c r="O590" s="418"/>
      <c r="P590" s="418"/>
      <c r="Q590" s="418"/>
      <c r="R590" s="418"/>
      <c r="S590" s="418"/>
      <c r="T590" s="418"/>
      <c r="U590" s="418"/>
      <c r="V590" s="418"/>
      <c r="W590" s="418"/>
      <c r="X590" s="418"/>
      <c r="Y590" s="418"/>
      <c r="Z590" s="418"/>
      <c r="AA590" s="418"/>
      <c r="AB590" s="418"/>
    </row>
    <row r="591" spans="1:28">
      <c r="A591" s="71" t="s">
        <v>1064</v>
      </c>
      <c r="B591" s="71">
        <v>4</v>
      </c>
      <c r="C591" s="105">
        <v>0</v>
      </c>
      <c r="D591" s="137" t="s">
        <v>519</v>
      </c>
      <c r="E591" s="13" t="s">
        <v>1065</v>
      </c>
      <c r="F591" s="71">
        <v>7703153032111</v>
      </c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8" ht="30">
      <c r="A592" s="380" t="s">
        <v>1852</v>
      </c>
      <c r="B592" s="92">
        <v>8</v>
      </c>
      <c r="C592" s="381">
        <v>0</v>
      </c>
      <c r="D592" s="381" t="s">
        <v>331</v>
      </c>
      <c r="E592" s="92" t="s">
        <v>1853</v>
      </c>
      <c r="F592" s="92">
        <v>7707141349298</v>
      </c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 spans="1:28" ht="30">
      <c r="A593" s="380" t="s">
        <v>1852</v>
      </c>
      <c r="B593" s="92">
        <v>1</v>
      </c>
      <c r="C593" s="381">
        <v>0</v>
      </c>
      <c r="D593" s="381" t="s">
        <v>331</v>
      </c>
      <c r="E593" s="92" t="s">
        <v>1853</v>
      </c>
      <c r="F593" s="92">
        <v>7707141349298</v>
      </c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 spans="1:28" ht="30">
      <c r="A594" s="380" t="s">
        <v>1852</v>
      </c>
      <c r="B594" s="92">
        <v>1</v>
      </c>
      <c r="C594" s="381">
        <v>0</v>
      </c>
      <c r="D594" s="381" t="s">
        <v>331</v>
      </c>
      <c r="E594" s="92" t="s">
        <v>1853</v>
      </c>
      <c r="F594" s="92">
        <v>7707141349298</v>
      </c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 spans="1:28">
      <c r="A595" s="418"/>
      <c r="B595" s="440"/>
      <c r="C595" s="418"/>
      <c r="D595" s="418"/>
      <c r="E595" s="418"/>
      <c r="F595" s="418"/>
      <c r="G595" s="418"/>
      <c r="H595" s="418"/>
      <c r="I595" s="418"/>
      <c r="J595" s="418"/>
      <c r="K595" s="418"/>
      <c r="L595" s="418"/>
      <c r="M595" s="418"/>
      <c r="N595" s="418"/>
      <c r="O595" s="418"/>
      <c r="P595" s="418"/>
      <c r="Q595" s="418"/>
      <c r="R595" s="418"/>
      <c r="S595" s="418"/>
      <c r="T595" s="418"/>
      <c r="U595" s="418"/>
      <c r="V595" s="418"/>
      <c r="W595" s="418"/>
      <c r="X595" s="418"/>
      <c r="Y595" s="418"/>
      <c r="Z595" s="418"/>
      <c r="AA595" s="418"/>
      <c r="AB595" s="418"/>
    </row>
    <row r="596" spans="1:28" ht="29.25">
      <c r="A596" s="19" t="s">
        <v>1854</v>
      </c>
      <c r="B596" s="117">
        <v>1</v>
      </c>
      <c r="C596" s="19">
        <v>0</v>
      </c>
      <c r="D596" s="19" t="s">
        <v>293</v>
      </c>
      <c r="E596" s="22" t="s">
        <v>1855</v>
      </c>
    </row>
    <row r="597" spans="1:28">
      <c r="A597" s="24" t="s">
        <v>180</v>
      </c>
      <c r="B597" s="8">
        <v>4</v>
      </c>
      <c r="C597" s="9">
        <v>0</v>
      </c>
      <c r="D597" s="8" t="s">
        <v>1126</v>
      </c>
      <c r="E597" s="24" t="s">
        <v>182</v>
      </c>
      <c r="F597" s="142">
        <v>7707288826706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 spans="1:28">
      <c r="A598" s="32" t="s">
        <v>965</v>
      </c>
      <c r="B598" s="32">
        <v>6</v>
      </c>
      <c r="C598" s="89">
        <v>0</v>
      </c>
      <c r="D598" s="90" t="s">
        <v>1856</v>
      </c>
      <c r="E598" s="73" t="s">
        <v>966</v>
      </c>
      <c r="F598" s="32">
        <v>7707177971616</v>
      </c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 spans="1:28">
      <c r="A599" s="32" t="s">
        <v>169</v>
      </c>
      <c r="B599" s="32">
        <v>2</v>
      </c>
      <c r="C599" s="72">
        <v>0</v>
      </c>
      <c r="D599" s="32" t="s">
        <v>170</v>
      </c>
      <c r="E599" s="73" t="s">
        <v>171</v>
      </c>
      <c r="F599" s="32">
        <v>7709071926723</v>
      </c>
      <c r="G599" s="32"/>
      <c r="H599" s="32"/>
      <c r="I599" s="32"/>
      <c r="J599" s="32"/>
      <c r="K599" s="32"/>
      <c r="L599" s="32"/>
      <c r="M599" s="32"/>
      <c r="N599" s="32"/>
      <c r="O599" s="32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</row>
    <row r="600" spans="1:28" ht="29.25">
      <c r="A600" s="28" t="s">
        <v>1857</v>
      </c>
      <c r="B600" s="28">
        <v>1</v>
      </c>
      <c r="C600" s="192">
        <v>0</v>
      </c>
      <c r="D600" s="192" t="s">
        <v>1858</v>
      </c>
      <c r="E600" s="24" t="s">
        <v>1859</v>
      </c>
      <c r="F600" s="28">
        <v>8427030008936</v>
      </c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</row>
    <row r="601" spans="1:28" ht="29.25">
      <c r="A601" s="24" t="s">
        <v>1860</v>
      </c>
      <c r="B601" s="30">
        <v>1</v>
      </c>
      <c r="C601" s="128">
        <v>0</v>
      </c>
      <c r="D601" s="220" t="s">
        <v>1861</v>
      </c>
      <c r="E601" s="7" t="s">
        <v>1859</v>
      </c>
      <c r="F601" s="28">
        <v>8427030008592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spans="1:28" ht="28.5">
      <c r="A602" s="69" t="s">
        <v>1862</v>
      </c>
      <c r="B602" s="14">
        <v>1</v>
      </c>
      <c r="C602" s="105">
        <v>0</v>
      </c>
      <c r="D602" s="105" t="s">
        <v>1863</v>
      </c>
      <c r="E602" s="13" t="s">
        <v>1864</v>
      </c>
      <c r="F602" s="71">
        <v>8427030008943</v>
      </c>
      <c r="G602" s="28"/>
      <c r="AA602"/>
    </row>
    <row r="603" spans="1:28" ht="28.5">
      <c r="A603" s="13" t="s">
        <v>1865</v>
      </c>
      <c r="B603" s="14">
        <v>1</v>
      </c>
      <c r="C603" s="136">
        <v>0</v>
      </c>
      <c r="D603" s="136" t="s">
        <v>1866</v>
      </c>
      <c r="E603" s="13" t="s">
        <v>1864</v>
      </c>
      <c r="F603" s="61">
        <v>8427030008608</v>
      </c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</row>
    <row r="604" spans="1:28">
      <c r="A604" s="418"/>
      <c r="B604" s="440"/>
      <c r="C604" s="418"/>
      <c r="D604" s="418"/>
      <c r="E604" s="418"/>
      <c r="F604" s="418"/>
      <c r="G604" s="418"/>
      <c r="H604" s="418"/>
      <c r="I604" s="418"/>
      <c r="J604" s="418"/>
      <c r="K604" s="418"/>
      <c r="L604" s="418"/>
      <c r="M604" s="418"/>
      <c r="N604" s="418"/>
      <c r="O604" s="418"/>
      <c r="P604" s="418"/>
      <c r="Q604" s="418"/>
      <c r="R604" s="418"/>
      <c r="S604" s="418"/>
      <c r="T604" s="418"/>
      <c r="U604" s="418"/>
      <c r="V604" s="418"/>
      <c r="W604" s="418"/>
      <c r="X604" s="418"/>
      <c r="Y604" s="418"/>
      <c r="Z604" s="418"/>
      <c r="AA604" s="418"/>
      <c r="AB604" s="418"/>
    </row>
    <row r="605" spans="1:28" ht="30">
      <c r="A605" s="32" t="s">
        <v>1850</v>
      </c>
      <c r="B605" s="32">
        <v>10</v>
      </c>
      <c r="C605" s="89">
        <v>0</v>
      </c>
      <c r="D605" s="90" t="s">
        <v>10</v>
      </c>
      <c r="E605" s="73" t="s">
        <v>1851</v>
      </c>
      <c r="F605" s="32">
        <v>7703038859246</v>
      </c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</row>
    <row r="606" spans="1:28">
      <c r="A606" s="195" t="s">
        <v>1058</v>
      </c>
      <c r="B606" s="200">
        <v>3</v>
      </c>
      <c r="C606" s="360">
        <v>0</v>
      </c>
      <c r="D606" s="200" t="s">
        <v>1059</v>
      </c>
      <c r="E606" s="195" t="s">
        <v>1060</v>
      </c>
      <c r="F606" s="382">
        <v>7709225183033</v>
      </c>
      <c r="G606" s="74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 spans="1:28">
      <c r="A607" s="71" t="s">
        <v>1247</v>
      </c>
      <c r="B607" s="71">
        <v>1</v>
      </c>
      <c r="C607" s="206">
        <v>0</v>
      </c>
      <c r="D607" s="14" t="s">
        <v>53</v>
      </c>
      <c r="E607" s="69" t="s">
        <v>1248</v>
      </c>
      <c r="F607" s="71">
        <v>7703038050247</v>
      </c>
      <c r="G607" s="71"/>
      <c r="H607" s="71"/>
      <c r="I607" s="71"/>
      <c r="J607" s="71"/>
      <c r="K607" s="71"/>
      <c r="L607" s="71"/>
      <c r="M607" s="71"/>
      <c r="N607" s="71"/>
      <c r="O607" s="71"/>
    </row>
    <row r="608" spans="1:28">
      <c r="A608" s="22" t="s">
        <v>1867</v>
      </c>
      <c r="B608">
        <v>3</v>
      </c>
      <c r="C608" s="133">
        <v>0</v>
      </c>
      <c r="D608" s="183" t="s">
        <v>1777</v>
      </c>
      <c r="E608" s="39" t="s">
        <v>1868</v>
      </c>
      <c r="F608" s="42">
        <v>7702057717346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/>
      <c r="AA608"/>
    </row>
    <row r="609" spans="1:28" ht="30">
      <c r="A609" s="73" t="s">
        <v>1118</v>
      </c>
      <c r="B609" s="32">
        <v>2</v>
      </c>
      <c r="C609" s="72">
        <v>0</v>
      </c>
      <c r="D609" s="72" t="s">
        <v>676</v>
      </c>
      <c r="E609" s="73" t="s">
        <v>1119</v>
      </c>
      <c r="F609" s="32">
        <v>7500435107013</v>
      </c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 spans="1:28" ht="29.25">
      <c r="A610" t="s">
        <v>1869</v>
      </c>
      <c r="B610">
        <v>1</v>
      </c>
      <c r="C610" s="133">
        <v>0</v>
      </c>
      <c r="D610" t="s">
        <v>276</v>
      </c>
      <c r="E610" s="22" t="s">
        <v>1870</v>
      </c>
      <c r="F610">
        <v>7707313280152</v>
      </c>
    </row>
    <row r="611" spans="1:28" ht="29.25">
      <c r="A611" t="s">
        <v>1869</v>
      </c>
      <c r="B611">
        <v>1</v>
      </c>
      <c r="C611" s="133">
        <v>0</v>
      </c>
      <c r="D611" t="s">
        <v>276</v>
      </c>
      <c r="E611" s="22" t="s">
        <v>1870</v>
      </c>
      <c r="F611">
        <v>7707313280152</v>
      </c>
    </row>
    <row r="612" spans="1:28" ht="42.75">
      <c r="A612" s="141" t="s">
        <v>1190</v>
      </c>
      <c r="B612" s="141">
        <v>1</v>
      </c>
      <c r="C612" s="236">
        <v>0</v>
      </c>
      <c r="D612" s="237" t="s">
        <v>1871</v>
      </c>
      <c r="E612" s="146" t="s">
        <v>1192</v>
      </c>
      <c r="F612" s="141">
        <v>7702207161166</v>
      </c>
    </row>
    <row r="613" spans="1:28">
      <c r="A613" s="117" t="s">
        <v>45</v>
      </c>
      <c r="B613" s="117">
        <v>2</v>
      </c>
      <c r="C613" s="345">
        <v>0</v>
      </c>
      <c r="D613" s="117" t="s">
        <v>1708</v>
      </c>
      <c r="E613" s="112" t="s">
        <v>48</v>
      </c>
      <c r="F613" s="117">
        <v>7704412080607</v>
      </c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 spans="1:28" ht="30">
      <c r="A614" s="16" t="s">
        <v>1222</v>
      </c>
      <c r="B614" s="32">
        <v>3</v>
      </c>
      <c r="C614" s="422">
        <v>0.05</v>
      </c>
      <c r="D614" s="422" t="s">
        <v>150</v>
      </c>
      <c r="E614" s="16" t="s">
        <v>1223</v>
      </c>
      <c r="F614" s="18">
        <v>7703197053059</v>
      </c>
      <c r="G614" s="21"/>
      <c r="H614" s="21"/>
      <c r="I614" s="21"/>
      <c r="J614" s="21"/>
      <c r="K614" s="21"/>
      <c r="L614" s="21"/>
      <c r="M614" s="21"/>
      <c r="N614" s="21"/>
      <c r="O614" s="21"/>
    </row>
    <row r="615" spans="1:28">
      <c r="A615" s="32" t="s">
        <v>169</v>
      </c>
      <c r="B615" s="32">
        <v>2</v>
      </c>
      <c r="C615" s="72">
        <v>0</v>
      </c>
      <c r="D615" s="32" t="s">
        <v>170</v>
      </c>
      <c r="E615" s="73" t="s">
        <v>171</v>
      </c>
      <c r="F615" s="32">
        <v>7709071926723</v>
      </c>
      <c r="G615" s="32"/>
      <c r="H615" s="32"/>
      <c r="I615" s="32"/>
      <c r="J615" s="32"/>
      <c r="K615" s="32"/>
      <c r="L615" s="32"/>
      <c r="M615" s="32"/>
      <c r="N615" s="32"/>
      <c r="O615" s="32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</row>
    <row r="616" spans="1:28">
      <c r="A616" s="73" t="s">
        <v>1872</v>
      </c>
      <c r="B616" s="32">
        <v>3</v>
      </c>
      <c r="C616" s="72">
        <v>0</v>
      </c>
      <c r="D616" s="83" t="s">
        <v>348</v>
      </c>
      <c r="E616" s="73" t="s">
        <v>1873</v>
      </c>
      <c r="F616" s="321">
        <v>7702057067212</v>
      </c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 spans="1:28">
      <c r="A617" s="32" t="s">
        <v>6</v>
      </c>
      <c r="B617" s="32">
        <v>6</v>
      </c>
      <c r="C617" s="72">
        <v>0</v>
      </c>
      <c r="D617" s="83" t="s">
        <v>7</v>
      </c>
      <c r="E617" s="73" t="s">
        <v>8</v>
      </c>
      <c r="F617" s="321">
        <v>7703038067269</v>
      </c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</row>
    <row r="618" spans="1:28">
      <c r="A618" s="32" t="s">
        <v>1874</v>
      </c>
      <c r="B618" s="32">
        <v>6</v>
      </c>
      <c r="C618" s="72">
        <v>0</v>
      </c>
      <c r="D618" s="32" t="s">
        <v>80</v>
      </c>
      <c r="E618" s="73" t="s">
        <v>8</v>
      </c>
      <c r="F618" s="321">
        <v>7703038065630</v>
      </c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117"/>
      <c r="AA618" s="117"/>
      <c r="AB618" s="117"/>
    </row>
    <row r="619" spans="1:28" ht="30">
      <c r="A619" s="117" t="s">
        <v>345</v>
      </c>
      <c r="B619" s="117">
        <v>6</v>
      </c>
      <c r="C619" s="117">
        <v>0</v>
      </c>
      <c r="D619" s="117" t="s">
        <v>74</v>
      </c>
      <c r="E619" s="112" t="s">
        <v>346</v>
      </c>
      <c r="F619" s="117">
        <v>7707996059205</v>
      </c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</row>
    <row r="620" spans="1:28">
      <c r="A620" s="418"/>
      <c r="B620" s="440"/>
      <c r="C620" s="418"/>
      <c r="D620" s="418"/>
      <c r="E620" s="418"/>
      <c r="F620" s="418"/>
      <c r="G620" s="418"/>
      <c r="H620" s="418"/>
      <c r="I620" s="418"/>
      <c r="J620" s="418"/>
      <c r="K620" s="418"/>
      <c r="L620" s="418"/>
      <c r="M620" s="418"/>
      <c r="N620" s="418"/>
      <c r="O620" s="418"/>
      <c r="P620" s="418"/>
      <c r="Q620" s="418"/>
      <c r="R620" s="418"/>
      <c r="S620" s="418"/>
      <c r="T620" s="418"/>
      <c r="U620" s="418"/>
      <c r="V620" s="418"/>
      <c r="W620" s="418"/>
      <c r="X620" s="418"/>
      <c r="Y620" s="418"/>
      <c r="Z620" s="418"/>
      <c r="AA620" s="418"/>
      <c r="AB620" s="418"/>
    </row>
    <row r="621" spans="1:28" ht="29.25">
      <c r="A621" s="22" t="s">
        <v>1875</v>
      </c>
      <c r="B621">
        <v>1</v>
      </c>
      <c r="C621" s="133">
        <v>0</v>
      </c>
      <c r="D621" s="172" t="s">
        <v>1779</v>
      </c>
      <c r="E621" t="s">
        <v>1876</v>
      </c>
      <c r="F621" s="42">
        <v>7703153031299</v>
      </c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</row>
    <row r="622" spans="1:28" ht="30">
      <c r="A622" s="43" t="s">
        <v>1877</v>
      </c>
      <c r="B622" s="117">
        <v>2</v>
      </c>
      <c r="C622" s="19">
        <v>0</v>
      </c>
      <c r="D622" s="19" t="s">
        <v>497</v>
      </c>
      <c r="E622" s="43" t="s">
        <v>1878</v>
      </c>
      <c r="F622" s="19">
        <v>7703153036201</v>
      </c>
    </row>
    <row r="623" spans="1:28">
      <c r="A623" s="418"/>
      <c r="B623" s="440"/>
      <c r="C623" s="418"/>
      <c r="D623" s="418"/>
      <c r="E623" s="418"/>
      <c r="F623" s="418"/>
      <c r="G623" s="418"/>
      <c r="H623" s="418"/>
      <c r="I623" s="418"/>
      <c r="J623" s="418"/>
      <c r="K623" s="418"/>
      <c r="L623" s="418"/>
      <c r="M623" s="418"/>
      <c r="N623" s="418"/>
      <c r="O623" s="418"/>
      <c r="P623" s="418"/>
      <c r="Q623" s="418"/>
      <c r="R623" s="418"/>
      <c r="S623" s="418"/>
      <c r="T623" s="418"/>
      <c r="U623" s="418"/>
      <c r="V623" s="418"/>
      <c r="W623" s="418"/>
      <c r="X623" s="418"/>
      <c r="Y623" s="418"/>
      <c r="Z623" s="418"/>
      <c r="AA623" s="418"/>
      <c r="AB623" s="418"/>
    </row>
    <row r="624" spans="1:28">
      <c r="A624" s="41" t="s">
        <v>1879</v>
      </c>
      <c r="B624" s="23">
        <v>1</v>
      </c>
      <c r="C624" s="107">
        <v>0</v>
      </c>
      <c r="D624" s="348" t="s">
        <v>1880</v>
      </c>
      <c r="E624" s="23" t="s">
        <v>1881</v>
      </c>
      <c r="F624" s="23">
        <v>7702132008307</v>
      </c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8" ht="28.5">
      <c r="A625" s="146" t="s">
        <v>1882</v>
      </c>
      <c r="B625" s="150">
        <v>6</v>
      </c>
      <c r="C625" s="286">
        <v>0</v>
      </c>
      <c r="D625" s="287" t="s">
        <v>59</v>
      </c>
      <c r="E625" s="146" t="s">
        <v>1883</v>
      </c>
      <c r="F625" s="146">
        <v>7705366103022</v>
      </c>
    </row>
    <row r="626" spans="1:28">
      <c r="A626" s="19" t="s">
        <v>1884</v>
      </c>
      <c r="B626" s="117">
        <v>1</v>
      </c>
      <c r="C626" s="19">
        <v>0</v>
      </c>
      <c r="D626" s="19" t="s">
        <v>366</v>
      </c>
      <c r="E626" s="19" t="s">
        <v>1885</v>
      </c>
      <c r="F626" s="19">
        <v>7707236126728</v>
      </c>
    </row>
    <row r="627" spans="1:28">
      <c r="A627" s="64" t="s">
        <v>440</v>
      </c>
      <c r="B627" s="102">
        <v>2</v>
      </c>
      <c r="C627" s="101">
        <v>0</v>
      </c>
      <c r="D627" s="102" t="s">
        <v>1886</v>
      </c>
      <c r="E627" s="64" t="s">
        <v>116</v>
      </c>
      <c r="F627" s="103">
        <v>7707288820254</v>
      </c>
      <c r="G627" s="28"/>
      <c r="H627" s="28"/>
      <c r="I627" s="28"/>
      <c r="J627" s="28"/>
      <c r="K627" s="28"/>
      <c r="L627" s="28"/>
      <c r="M627" s="28"/>
      <c r="N627" s="28"/>
      <c r="O627" s="28"/>
    </row>
    <row r="628" spans="1:28" ht="29.25">
      <c r="A628" t="s">
        <v>1887</v>
      </c>
      <c r="B628">
        <v>1</v>
      </c>
      <c r="C628">
        <v>0</v>
      </c>
      <c r="D628" s="23" t="s">
        <v>1888</v>
      </c>
      <c r="E628" s="22" t="s">
        <v>1889</v>
      </c>
      <c r="F628" s="42">
        <v>7702003459016</v>
      </c>
    </row>
    <row r="629" spans="1:28" ht="29.25">
      <c r="A629" s="22" t="s">
        <v>1890</v>
      </c>
      <c r="B629">
        <v>1</v>
      </c>
      <c r="C629" s="133">
        <v>0</v>
      </c>
      <c r="D629" s="23" t="s">
        <v>1891</v>
      </c>
      <c r="E629" s="22" t="s">
        <v>1892</v>
      </c>
      <c r="F629">
        <v>7702057012410</v>
      </c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</row>
    <row r="630" spans="1:28" ht="29.25">
      <c r="A630" s="22" t="s">
        <v>1893</v>
      </c>
      <c r="B630" s="22">
        <v>50</v>
      </c>
      <c r="C630" s="442">
        <v>0.19</v>
      </c>
      <c r="D630" s="326" t="s">
        <v>384</v>
      </c>
      <c r="E630" s="22" t="s">
        <v>1894</v>
      </c>
      <c r="F630" s="22">
        <v>7707353306263</v>
      </c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</row>
    <row r="631" spans="1:28" ht="29.25">
      <c r="A631" s="22" t="s">
        <v>1895</v>
      </c>
      <c r="B631" s="22">
        <v>3</v>
      </c>
      <c r="C631" s="175">
        <v>0.19</v>
      </c>
      <c r="D631" s="23" t="s">
        <v>59</v>
      </c>
      <c r="E631" s="22" t="s">
        <v>1896</v>
      </c>
      <c r="F631" s="22">
        <v>7707353306294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/>
    </row>
    <row r="632" spans="1:28">
      <c r="A632" s="152" t="s">
        <v>828</v>
      </c>
      <c r="B632" s="96">
        <v>1</v>
      </c>
      <c r="C632" s="97">
        <v>0</v>
      </c>
      <c r="D632" s="95" t="s">
        <v>1897</v>
      </c>
      <c r="E632" s="152" t="s">
        <v>830</v>
      </c>
      <c r="F632" s="117">
        <v>7709233974463</v>
      </c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 spans="1:28">
      <c r="A633" s="71" t="s">
        <v>90</v>
      </c>
      <c r="B633" s="14">
        <v>2</v>
      </c>
      <c r="C633" s="105">
        <v>0.19</v>
      </c>
      <c r="D633" s="137" t="s">
        <v>91</v>
      </c>
      <c r="E633" s="12" t="s">
        <v>92</v>
      </c>
      <c r="F633" s="61">
        <v>7707277580459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8">
      <c r="A634" s="73" t="s">
        <v>1898</v>
      </c>
      <c r="B634" s="18">
        <v>1</v>
      </c>
      <c r="C634" s="124">
        <v>0</v>
      </c>
      <c r="D634" s="17" t="s">
        <v>222</v>
      </c>
      <c r="E634" s="73" t="s">
        <v>909</v>
      </c>
      <c r="F634" s="32">
        <v>7451079001529</v>
      </c>
      <c r="G634" s="21"/>
      <c r="H634" s="21"/>
      <c r="I634" s="21"/>
      <c r="J634" s="21"/>
      <c r="K634" s="21"/>
      <c r="L634" s="21"/>
      <c r="M634" s="21"/>
      <c r="N634" s="21"/>
      <c r="O634" s="21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8" ht="29.25">
      <c r="A635" s="22" t="s">
        <v>1899</v>
      </c>
      <c r="B635" s="23">
        <v>1</v>
      </c>
      <c r="C635" s="51">
        <v>0</v>
      </c>
      <c r="D635" s="23" t="s">
        <v>1900</v>
      </c>
      <c r="E635" s="22" t="s">
        <v>1901</v>
      </c>
      <c r="F635" s="52">
        <v>7702057160999</v>
      </c>
    </row>
    <row r="636" spans="1:28" ht="43.5">
      <c r="A636" s="28" t="s">
        <v>1530</v>
      </c>
      <c r="B636" s="28">
        <v>50</v>
      </c>
      <c r="C636" s="192">
        <v>0.19</v>
      </c>
      <c r="D636" s="30" t="s">
        <v>298</v>
      </c>
      <c r="E636" s="24" t="s">
        <v>1531</v>
      </c>
      <c r="F636" s="28">
        <v>7707346260039</v>
      </c>
      <c r="G636" s="28"/>
    </row>
    <row r="637" spans="1:28" ht="29.25">
      <c r="A637" s="28" t="s">
        <v>1902</v>
      </c>
      <c r="B637" s="28">
        <v>1</v>
      </c>
      <c r="C637" s="192">
        <v>0</v>
      </c>
      <c r="D637" s="193" t="s">
        <v>191</v>
      </c>
      <c r="E637" s="24" t="s">
        <v>1263</v>
      </c>
      <c r="F637" s="63">
        <v>7702057168070</v>
      </c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</row>
    <row r="638" spans="1:28">
      <c r="A638" s="418"/>
      <c r="B638" s="440"/>
      <c r="C638" s="418"/>
      <c r="D638" s="418"/>
      <c r="E638" s="418"/>
      <c r="F638" s="418"/>
      <c r="G638" s="418"/>
      <c r="H638" s="418"/>
      <c r="I638" s="418"/>
      <c r="J638" s="418"/>
      <c r="K638" s="418"/>
      <c r="L638" s="418"/>
      <c r="M638" s="418"/>
      <c r="N638" s="418"/>
      <c r="O638" s="418"/>
      <c r="P638" s="418"/>
      <c r="Q638" s="418"/>
      <c r="R638" s="418"/>
      <c r="S638" s="418"/>
      <c r="T638" s="418"/>
      <c r="U638" s="418"/>
      <c r="V638" s="418"/>
      <c r="W638" s="418"/>
      <c r="X638" s="418"/>
      <c r="Y638" s="418"/>
      <c r="Z638" s="418"/>
      <c r="AA638" s="418"/>
      <c r="AB638" s="418"/>
    </row>
    <row r="639" spans="1:28" ht="29.25">
      <c r="A639" t="s">
        <v>1903</v>
      </c>
      <c r="B639">
        <v>5</v>
      </c>
      <c r="C639" s="133">
        <v>0</v>
      </c>
      <c r="D639" t="s">
        <v>26</v>
      </c>
      <c r="E639" s="22" t="s">
        <v>1904</v>
      </c>
      <c r="F639">
        <v>7709258997706</v>
      </c>
    </row>
    <row r="640" spans="1:28">
      <c r="A640" s="24" t="s">
        <v>180</v>
      </c>
      <c r="B640" s="8">
        <v>4</v>
      </c>
      <c r="C640" s="9">
        <v>0</v>
      </c>
      <c r="D640" s="8" t="s">
        <v>1126</v>
      </c>
      <c r="E640" s="24" t="s">
        <v>182</v>
      </c>
      <c r="F640" s="142">
        <v>7707288826706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 spans="1:28">
      <c r="A641" s="418"/>
      <c r="B641" s="440"/>
      <c r="C641" s="418"/>
      <c r="D641" s="418"/>
      <c r="E641" s="418"/>
      <c r="F641" s="418"/>
      <c r="G641" s="418"/>
      <c r="H641" s="418"/>
      <c r="I641" s="418"/>
      <c r="J641" s="418"/>
      <c r="K641" s="418"/>
      <c r="L641" s="418"/>
      <c r="M641" s="418"/>
      <c r="N641" s="418"/>
      <c r="O641" s="418"/>
      <c r="P641" s="418"/>
      <c r="Q641" s="418"/>
      <c r="R641" s="418"/>
      <c r="S641" s="418"/>
      <c r="T641" s="418"/>
      <c r="U641" s="418"/>
      <c r="V641" s="418"/>
      <c r="W641" s="418"/>
      <c r="X641" s="418"/>
      <c r="Y641" s="418"/>
      <c r="Z641" s="418"/>
      <c r="AA641" s="418"/>
      <c r="AB641" s="418"/>
    </row>
    <row r="642" spans="1:28" ht="30">
      <c r="A642" s="19" t="s">
        <v>1905</v>
      </c>
      <c r="B642" s="37">
        <v>1</v>
      </c>
      <c r="C642" s="423">
        <v>0</v>
      </c>
      <c r="D642" s="424" t="s">
        <v>59</v>
      </c>
      <c r="E642" s="43" t="s">
        <v>1906</v>
      </c>
      <c r="F642" s="19">
        <v>7702057211417</v>
      </c>
    </row>
    <row r="643" spans="1:28">
      <c r="A643" s="73" t="s">
        <v>1907</v>
      </c>
      <c r="B643" s="32">
        <v>3</v>
      </c>
      <c r="C643" s="72">
        <v>0</v>
      </c>
      <c r="D643" s="83" t="s">
        <v>1018</v>
      </c>
      <c r="E643" s="73" t="s">
        <v>1168</v>
      </c>
      <c r="F643" s="321">
        <v>7707019371260</v>
      </c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</row>
    <row r="644" spans="1:28">
      <c r="A644" s="19" t="s">
        <v>1908</v>
      </c>
      <c r="B644" s="117">
        <v>3</v>
      </c>
      <c r="C644" s="19">
        <v>0</v>
      </c>
      <c r="D644" s="19" t="s">
        <v>109</v>
      </c>
      <c r="E644" s="43" t="s">
        <v>1909</v>
      </c>
      <c r="F644" s="19">
        <v>7707346260329</v>
      </c>
    </row>
    <row r="645" spans="1:28" ht="30">
      <c r="A645" s="19" t="s">
        <v>1910</v>
      </c>
      <c r="B645" s="117">
        <v>10</v>
      </c>
      <c r="C645" s="19">
        <v>0</v>
      </c>
      <c r="D645" s="19" t="s">
        <v>1911</v>
      </c>
      <c r="E645" s="43" t="s">
        <v>107</v>
      </c>
      <c r="F645" s="19">
        <v>7730979097970</v>
      </c>
    </row>
    <row r="646" spans="1:28">
      <c r="A646" s="418"/>
      <c r="B646" s="440"/>
      <c r="C646" s="418"/>
      <c r="D646" s="418"/>
      <c r="E646" s="418"/>
      <c r="F646" s="418"/>
      <c r="G646" s="418"/>
      <c r="H646" s="418"/>
      <c r="I646" s="418"/>
      <c r="J646" s="418"/>
      <c r="K646" s="418"/>
      <c r="L646" s="418"/>
      <c r="M646" s="418"/>
      <c r="N646" s="418"/>
      <c r="O646" s="418"/>
      <c r="P646" s="418"/>
      <c r="Q646" s="418"/>
      <c r="R646" s="418"/>
      <c r="S646" s="418"/>
      <c r="T646" s="418"/>
      <c r="U646" s="418"/>
      <c r="V646" s="418"/>
      <c r="W646" s="418"/>
      <c r="X646" s="418"/>
      <c r="Y646" s="418"/>
      <c r="Z646" s="418"/>
      <c r="AA646" s="418"/>
      <c r="AB646" s="418"/>
    </row>
    <row r="647" spans="1:28">
      <c r="A647" s="73" t="s">
        <v>1912</v>
      </c>
      <c r="B647" s="17">
        <v>1</v>
      </c>
      <c r="C647" s="124">
        <v>0</v>
      </c>
      <c r="D647" s="204" t="s">
        <v>1409</v>
      </c>
      <c r="E647" s="32" t="s">
        <v>1734</v>
      </c>
      <c r="F647" s="20">
        <v>7707177972705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spans="1:28" ht="28.5">
      <c r="A648" s="69" t="s">
        <v>155</v>
      </c>
      <c r="B648">
        <v>1</v>
      </c>
      <c r="C648" s="59">
        <v>0</v>
      </c>
      <c r="D648" s="137" t="s">
        <v>156</v>
      </c>
      <c r="E648" s="121" t="s">
        <v>54</v>
      </c>
      <c r="F648" s="211">
        <v>7703038066606</v>
      </c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8">
      <c r="A649" s="19" t="s">
        <v>1775</v>
      </c>
      <c r="B649" s="19">
        <v>30</v>
      </c>
      <c r="C649" s="19">
        <v>0</v>
      </c>
      <c r="D649" s="19" t="s">
        <v>20</v>
      </c>
      <c r="E649" s="19" t="s">
        <v>233</v>
      </c>
      <c r="F649" s="19">
        <v>7703712030787</v>
      </c>
    </row>
    <row r="650" spans="1:28" ht="28.5">
      <c r="A650" s="12" t="s">
        <v>1729</v>
      </c>
      <c r="B650" s="12">
        <v>1</v>
      </c>
      <c r="C650" s="59">
        <v>0.19</v>
      </c>
      <c r="D650" s="12" t="s">
        <v>26</v>
      </c>
      <c r="E650" s="13" t="s">
        <v>1730</v>
      </c>
      <c r="F650" s="15">
        <v>7702314700449</v>
      </c>
      <c r="G650" s="12"/>
      <c r="H650" s="12"/>
      <c r="I650" s="12"/>
      <c r="J650" s="12"/>
      <c r="K650" s="12"/>
      <c r="L650" s="12"/>
      <c r="M650" s="12"/>
      <c r="N650" s="12"/>
      <c r="O650" s="12"/>
      <c r="AA650" s="117"/>
      <c r="AB650" s="117"/>
    </row>
    <row r="651" spans="1:28">
      <c r="A651" t="s">
        <v>231</v>
      </c>
      <c r="B651">
        <v>6</v>
      </c>
      <c r="C651" s="133">
        <v>0</v>
      </c>
      <c r="D651" t="s">
        <v>232</v>
      </c>
      <c r="E651" t="s">
        <v>233</v>
      </c>
      <c r="F651">
        <v>7707019381627</v>
      </c>
    </row>
    <row r="652" spans="1:28">
      <c r="A652" t="s">
        <v>1913</v>
      </c>
      <c r="B652">
        <v>8</v>
      </c>
      <c r="C652">
        <v>0</v>
      </c>
      <c r="D652" t="s">
        <v>1914</v>
      </c>
      <c r="E652" t="s">
        <v>1915</v>
      </c>
      <c r="F652">
        <v>7707019340204</v>
      </c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</row>
    <row r="653" spans="1:28">
      <c r="A653" s="76" t="s">
        <v>1636</v>
      </c>
      <c r="B653" s="74">
        <v>1</v>
      </c>
      <c r="C653" s="75">
        <v>0</v>
      </c>
      <c r="D653" s="74" t="s">
        <v>1637</v>
      </c>
      <c r="E653" s="76" t="s">
        <v>428</v>
      </c>
      <c r="F653" s="372">
        <v>7703712035355</v>
      </c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</row>
    <row r="654" spans="1:28">
      <c r="A654" s="76" t="s">
        <v>1636</v>
      </c>
      <c r="B654" s="74">
        <v>1</v>
      </c>
      <c r="C654" s="75">
        <v>0</v>
      </c>
      <c r="D654" s="74" t="s">
        <v>1637</v>
      </c>
      <c r="E654" s="76" t="s">
        <v>428</v>
      </c>
      <c r="F654" s="372">
        <v>7703712035355</v>
      </c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</row>
    <row r="655" spans="1:28">
      <c r="A655" s="13" t="s">
        <v>141</v>
      </c>
      <c r="B655" s="14">
        <v>1</v>
      </c>
      <c r="C655" s="14">
        <v>0</v>
      </c>
      <c r="D655" s="137" t="s">
        <v>142</v>
      </c>
      <c r="E655" s="121" t="s">
        <v>143</v>
      </c>
      <c r="F655" s="14">
        <v>7803510002396</v>
      </c>
      <c r="G655" s="14"/>
      <c r="H655" s="14"/>
      <c r="I655" s="14"/>
      <c r="J655" s="14"/>
      <c r="K655" s="14"/>
      <c r="L655" s="14"/>
      <c r="M655" s="14"/>
      <c r="N655" s="14"/>
      <c r="O655" s="14"/>
      <c r="P655"/>
      <c r="Q655"/>
      <c r="R655"/>
      <c r="S655"/>
      <c r="T655"/>
      <c r="U655"/>
      <c r="V655"/>
      <c r="W655"/>
      <c r="X655"/>
      <c r="Y655"/>
      <c r="Z655"/>
    </row>
    <row r="656" spans="1:28" ht="30">
      <c r="A656" s="32" t="s">
        <v>370</v>
      </c>
      <c r="B656" s="74">
        <v>6</v>
      </c>
      <c r="C656" s="75">
        <v>0</v>
      </c>
      <c r="D656" s="336" t="s">
        <v>85</v>
      </c>
      <c r="E656" s="73" t="s">
        <v>165</v>
      </c>
      <c r="F656" s="32">
        <v>7501033957376</v>
      </c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 spans="1:28" ht="30">
      <c r="A657" s="53" t="s">
        <v>770</v>
      </c>
      <c r="B657" s="153">
        <v>4</v>
      </c>
      <c r="C657" s="55">
        <v>0</v>
      </c>
      <c r="D657" s="153" t="s">
        <v>85</v>
      </c>
      <c r="E657" s="152" t="s">
        <v>165</v>
      </c>
      <c r="F657" s="155">
        <v>7501033957369</v>
      </c>
      <c r="G657"/>
      <c r="H657"/>
      <c r="I657"/>
      <c r="J657"/>
      <c r="K657"/>
      <c r="L657"/>
      <c r="M657"/>
      <c r="N657"/>
      <c r="O657"/>
    </row>
    <row r="658" spans="1:28" ht="30">
      <c r="A658" s="53" t="s">
        <v>771</v>
      </c>
      <c r="B658" s="53">
        <v>3</v>
      </c>
      <c r="C658" s="122">
        <v>0</v>
      </c>
      <c r="D658" s="123" t="s">
        <v>85</v>
      </c>
      <c r="E658" s="56" t="s">
        <v>165</v>
      </c>
      <c r="F658" s="53">
        <v>7501033957413</v>
      </c>
      <c r="G658" s="53"/>
      <c r="H658" s="53"/>
      <c r="I658" s="53"/>
      <c r="J658" s="53"/>
      <c r="K658" s="53"/>
      <c r="L658" s="53"/>
      <c r="M658" s="53"/>
      <c r="N658" s="53"/>
      <c r="O658" s="53"/>
    </row>
    <row r="659" spans="1:28">
      <c r="A659" s="56" t="s">
        <v>1916</v>
      </c>
      <c r="B659" s="153">
        <v>1</v>
      </c>
      <c r="C659" s="293">
        <v>0.19</v>
      </c>
      <c r="D659" s="225" t="s">
        <v>358</v>
      </c>
      <c r="E659" s="56" t="s">
        <v>1917</v>
      </c>
      <c r="F659" s="53">
        <v>7709990750942</v>
      </c>
      <c r="G659" s="53"/>
      <c r="H659" s="53"/>
      <c r="I659" s="53"/>
      <c r="J659" s="53"/>
      <c r="K659" s="53"/>
      <c r="L659" s="53"/>
      <c r="M659" s="53"/>
      <c r="N659" s="53"/>
      <c r="O659" s="53"/>
      <c r="P659" s="53"/>
    </row>
    <row r="660" spans="1:28">
      <c r="A660" s="32" t="s">
        <v>1812</v>
      </c>
      <c r="B660" s="32">
        <v>4</v>
      </c>
      <c r="C660" s="82">
        <v>0</v>
      </c>
      <c r="D660" s="32" t="s">
        <v>10</v>
      </c>
      <c r="E660" s="73" t="s">
        <v>1813</v>
      </c>
      <c r="F660" s="32">
        <v>7702184020227</v>
      </c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117"/>
      <c r="AA660" s="117"/>
      <c r="AB660" s="117"/>
    </row>
    <row r="661" spans="1:28">
      <c r="A661" s="32" t="s">
        <v>1812</v>
      </c>
      <c r="B661" s="32">
        <v>2</v>
      </c>
      <c r="C661" s="82">
        <v>0</v>
      </c>
      <c r="D661" s="32" t="s">
        <v>10</v>
      </c>
      <c r="E661" s="73" t="s">
        <v>1813</v>
      </c>
      <c r="F661" s="32">
        <v>7702184020227</v>
      </c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117"/>
      <c r="AA661" s="117"/>
      <c r="AB661" s="117"/>
    </row>
    <row r="662" spans="1:28">
      <c r="A662" s="418"/>
      <c r="B662" s="440"/>
      <c r="C662" s="418"/>
      <c r="D662" s="418"/>
      <c r="E662" s="418"/>
      <c r="F662" s="418"/>
      <c r="G662" s="418"/>
      <c r="H662" s="418"/>
      <c r="I662" s="418"/>
      <c r="J662" s="418"/>
      <c r="K662" s="418"/>
      <c r="L662" s="418"/>
      <c r="M662" s="418"/>
      <c r="N662" s="418"/>
      <c r="O662" s="418"/>
      <c r="P662" s="418"/>
      <c r="Q662" s="418"/>
      <c r="R662" s="418"/>
      <c r="S662" s="418"/>
      <c r="T662" s="418"/>
      <c r="U662" s="418"/>
      <c r="V662" s="418"/>
      <c r="W662" s="418"/>
      <c r="X662" s="418"/>
      <c r="Y662" s="418"/>
      <c r="Z662" s="418"/>
      <c r="AA662" s="418"/>
      <c r="AB662" s="418"/>
    </row>
    <row r="663" spans="1:28">
      <c r="A663" s="19" t="s">
        <v>289</v>
      </c>
      <c r="B663" s="117">
        <v>20</v>
      </c>
      <c r="C663" s="19">
        <v>0</v>
      </c>
      <c r="D663" s="19" t="s">
        <v>238</v>
      </c>
      <c r="E663" s="19" t="s">
        <v>291</v>
      </c>
      <c r="F663" s="19">
        <v>6916119062652</v>
      </c>
    </row>
    <row r="664" spans="1:28">
      <c r="A664" s="43" t="s">
        <v>1918</v>
      </c>
      <c r="B664" s="117">
        <v>2</v>
      </c>
      <c r="C664" s="19">
        <v>0</v>
      </c>
      <c r="D664" s="19" t="s">
        <v>29</v>
      </c>
      <c r="E664" s="43" t="s">
        <v>985</v>
      </c>
      <c r="F664" s="19">
        <v>7703546378734</v>
      </c>
    </row>
    <row r="665" spans="1:28">
      <c r="A665" s="32" t="s">
        <v>1919</v>
      </c>
      <c r="B665" s="32">
        <v>1</v>
      </c>
      <c r="C665" s="72">
        <v>0</v>
      </c>
      <c r="D665" s="32" t="s">
        <v>156</v>
      </c>
      <c r="E665" s="73" t="s">
        <v>422</v>
      </c>
      <c r="F665" s="74">
        <v>7702184011041</v>
      </c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 spans="1:28">
      <c r="A666" s="32" t="s">
        <v>1919</v>
      </c>
      <c r="B666" s="32">
        <v>1</v>
      </c>
      <c r="C666" s="72">
        <v>0</v>
      </c>
      <c r="D666" s="32" t="s">
        <v>156</v>
      </c>
      <c r="E666" s="73" t="s">
        <v>422</v>
      </c>
      <c r="F666" s="74">
        <v>7702184011041</v>
      </c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 spans="1:28">
      <c r="A667" s="74" t="s">
        <v>93</v>
      </c>
      <c r="B667" s="74">
        <v>1</v>
      </c>
      <c r="C667" s="75">
        <v>0</v>
      </c>
      <c r="D667" s="336" t="s">
        <v>94</v>
      </c>
      <c r="E667" s="74" t="s">
        <v>95</v>
      </c>
      <c r="F667" s="378">
        <v>7702184011430</v>
      </c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117"/>
    </row>
    <row r="668" spans="1:28">
      <c r="A668" s="74" t="s">
        <v>93</v>
      </c>
      <c r="B668" s="74">
        <v>1</v>
      </c>
      <c r="C668" s="75">
        <v>0</v>
      </c>
      <c r="D668" s="336" t="s">
        <v>94</v>
      </c>
      <c r="E668" s="74" t="s">
        <v>95</v>
      </c>
      <c r="F668" s="378">
        <v>7702184011430</v>
      </c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117"/>
    </row>
    <row r="669" spans="1:28">
      <c r="A669" s="117" t="s">
        <v>709</v>
      </c>
      <c r="B669" s="117">
        <v>6</v>
      </c>
      <c r="C669" s="345">
        <v>0</v>
      </c>
      <c r="D669" s="119" t="s">
        <v>38</v>
      </c>
      <c r="E669" s="117" t="s">
        <v>611</v>
      </c>
      <c r="F669" s="117">
        <v>8901117247888</v>
      </c>
      <c r="G669" s="74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 spans="1:28" ht="29.25">
      <c r="A670" s="41" t="s">
        <v>690</v>
      </c>
      <c r="B670" s="23">
        <v>3</v>
      </c>
      <c r="C670" s="51">
        <v>0</v>
      </c>
      <c r="D670" s="23" t="s">
        <v>88</v>
      </c>
      <c r="E670" s="41" t="s">
        <v>692</v>
      </c>
      <c r="F670" s="273">
        <v>7707274721206</v>
      </c>
    </row>
    <row r="671" spans="1:28">
      <c r="A671" s="28" t="s">
        <v>1920</v>
      </c>
      <c r="B671" s="8">
        <v>1</v>
      </c>
      <c r="C671" s="9">
        <v>0</v>
      </c>
      <c r="D671" s="203" t="s">
        <v>567</v>
      </c>
      <c r="E671" s="28" t="s">
        <v>273</v>
      </c>
      <c r="F671" s="28">
        <v>7704412080867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/>
      <c r="AA671" s="117"/>
      <c r="AB671" s="117"/>
    </row>
    <row r="672" spans="1:28">
      <c r="A672" s="69" t="s">
        <v>1921</v>
      </c>
      <c r="B672" s="14">
        <v>1</v>
      </c>
      <c r="C672" s="14">
        <v>0</v>
      </c>
      <c r="D672" s="137" t="s">
        <v>262</v>
      </c>
      <c r="E672" s="69" t="s">
        <v>1553</v>
      </c>
      <c r="F672" s="15">
        <v>7706849113316</v>
      </c>
      <c r="G672" s="71"/>
      <c r="H672" s="71"/>
      <c r="I672" s="71"/>
      <c r="J672" s="71"/>
      <c r="K672" s="71"/>
      <c r="L672" s="71"/>
      <c r="M672" s="71"/>
      <c r="N672" s="71"/>
      <c r="O672" s="71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8">
      <c r="A673" s="418"/>
      <c r="B673" s="440"/>
      <c r="C673" s="418"/>
      <c r="D673" s="418"/>
      <c r="E673" s="418"/>
      <c r="F673" s="418"/>
      <c r="G673" s="418"/>
      <c r="H673" s="418"/>
      <c r="I673" s="418"/>
      <c r="J673" s="418"/>
      <c r="K673" s="418"/>
      <c r="L673" s="418"/>
      <c r="M673" s="418"/>
      <c r="N673" s="418"/>
      <c r="O673" s="418"/>
      <c r="P673" s="418"/>
      <c r="Q673" s="418"/>
      <c r="R673" s="418"/>
      <c r="S673" s="418"/>
      <c r="T673" s="418"/>
      <c r="U673" s="418"/>
      <c r="V673" s="418"/>
      <c r="W673" s="418"/>
      <c r="X673" s="418"/>
      <c r="Y673" s="418"/>
      <c r="Z673" s="418"/>
      <c r="AA673" s="418"/>
      <c r="AB673" s="418"/>
    </row>
    <row r="674" spans="1:28" ht="30">
      <c r="A674" s="117" t="s">
        <v>345</v>
      </c>
      <c r="B674" s="117">
        <v>6</v>
      </c>
      <c r="C674" s="117">
        <v>0</v>
      </c>
      <c r="D674" s="117" t="s">
        <v>74</v>
      </c>
      <c r="E674" s="112" t="s">
        <v>346</v>
      </c>
      <c r="F674" s="117">
        <v>7707996059205</v>
      </c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</row>
    <row r="675" spans="1:28" ht="30">
      <c r="A675" s="117" t="s">
        <v>345</v>
      </c>
      <c r="B675" s="117">
        <v>1</v>
      </c>
      <c r="C675" s="117">
        <v>0</v>
      </c>
      <c r="D675" s="117" t="s">
        <v>74</v>
      </c>
      <c r="E675" s="112" t="s">
        <v>346</v>
      </c>
      <c r="F675" s="117">
        <v>7707996059205</v>
      </c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</row>
    <row r="676" spans="1:28">
      <c r="A676" s="32" t="s">
        <v>6</v>
      </c>
      <c r="B676" s="32">
        <v>6</v>
      </c>
      <c r="C676" s="72">
        <v>0</v>
      </c>
      <c r="D676" s="83" t="s">
        <v>7</v>
      </c>
      <c r="E676" s="73" t="s">
        <v>8</v>
      </c>
      <c r="F676" s="321">
        <v>7703038067269</v>
      </c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</row>
    <row r="677" spans="1:28">
      <c r="A677" s="32" t="s">
        <v>1874</v>
      </c>
      <c r="B677" s="32">
        <v>6</v>
      </c>
      <c r="C677" s="72">
        <v>0</v>
      </c>
      <c r="D677" s="32" t="s">
        <v>80</v>
      </c>
      <c r="E677" s="73" t="s">
        <v>8</v>
      </c>
      <c r="F677" s="321">
        <v>7703038065630</v>
      </c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117"/>
      <c r="AA677" s="117"/>
      <c r="AB677" s="117"/>
    </row>
    <row r="678" spans="1:28">
      <c r="A678" s="71" t="s">
        <v>1247</v>
      </c>
      <c r="B678" s="71">
        <v>1</v>
      </c>
      <c r="C678" s="206">
        <v>0</v>
      </c>
      <c r="D678" s="14" t="s">
        <v>53</v>
      </c>
      <c r="E678" s="69" t="s">
        <v>1248</v>
      </c>
      <c r="F678" s="71">
        <v>7703038050247</v>
      </c>
      <c r="G678" s="71"/>
      <c r="H678" s="71"/>
      <c r="I678" s="71"/>
      <c r="J678" s="71"/>
      <c r="K678" s="71"/>
      <c r="L678" s="71"/>
      <c r="M678" s="71"/>
      <c r="N678" s="71"/>
      <c r="O678" s="71"/>
    </row>
    <row r="679" spans="1:28">
      <c r="A679" s="195" t="s">
        <v>1058</v>
      </c>
      <c r="B679" s="200">
        <v>3</v>
      </c>
      <c r="C679" s="360">
        <v>0</v>
      </c>
      <c r="D679" s="200" t="s">
        <v>740</v>
      </c>
      <c r="E679" s="195" t="s">
        <v>1060</v>
      </c>
      <c r="F679" s="382">
        <v>7709225183033</v>
      </c>
      <c r="G679" s="74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 spans="1:28">
      <c r="A680" s="418"/>
      <c r="B680" s="440"/>
      <c r="C680" s="418"/>
      <c r="D680" s="418"/>
      <c r="E680" s="418"/>
      <c r="F680" s="418"/>
      <c r="G680" s="418"/>
      <c r="H680" s="418"/>
      <c r="I680" s="418"/>
      <c r="J680" s="418"/>
      <c r="K680" s="418"/>
      <c r="L680" s="418"/>
      <c r="M680" s="418"/>
      <c r="N680" s="418"/>
      <c r="O680" s="418"/>
      <c r="P680" s="418"/>
      <c r="Q680" s="418"/>
      <c r="R680" s="418"/>
      <c r="S680" s="418"/>
      <c r="T680" s="418"/>
      <c r="U680" s="418"/>
      <c r="V680" s="418"/>
      <c r="W680" s="418"/>
      <c r="X680" s="418"/>
      <c r="Y680" s="418"/>
      <c r="Z680" s="418"/>
      <c r="AA680" s="418"/>
      <c r="AB680" s="418"/>
    </row>
    <row r="681" spans="1:28" ht="28.5">
      <c r="A681" s="64" t="s">
        <v>610</v>
      </c>
      <c r="B681" s="330">
        <v>3</v>
      </c>
      <c r="C681" s="331">
        <v>0</v>
      </c>
      <c r="D681" s="332" t="s">
        <v>491</v>
      </c>
      <c r="E681" s="64" t="s">
        <v>611</v>
      </c>
      <c r="F681" s="333">
        <v>8901117251175</v>
      </c>
    </row>
    <row r="682" spans="1:28">
      <c r="A682" s="73" t="s">
        <v>538</v>
      </c>
      <c r="B682" s="32">
        <v>2</v>
      </c>
      <c r="C682" s="72">
        <v>0</v>
      </c>
      <c r="D682" s="32" t="s">
        <v>7</v>
      </c>
      <c r="E682" s="73" t="s">
        <v>539</v>
      </c>
      <c r="F682" s="379">
        <v>7702896001774</v>
      </c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 spans="1:28">
      <c r="A683" s="19" t="s">
        <v>1778</v>
      </c>
      <c r="B683" s="153">
        <v>2</v>
      </c>
      <c r="C683" s="55">
        <v>0</v>
      </c>
      <c r="D683" s="55" t="s">
        <v>1779</v>
      </c>
      <c r="E683" s="19" t="s">
        <v>294</v>
      </c>
      <c r="F683" s="19">
        <v>7702896001477</v>
      </c>
    </row>
    <row r="684" spans="1:28" ht="28.5">
      <c r="A684" s="13" t="s">
        <v>1922</v>
      </c>
      <c r="B684" s="14">
        <v>1</v>
      </c>
      <c r="C684" s="105">
        <v>0</v>
      </c>
      <c r="D684" s="14" t="s">
        <v>88</v>
      </c>
      <c r="E684" s="13" t="s">
        <v>1923</v>
      </c>
      <c r="F684" s="12">
        <v>77011121</v>
      </c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8" ht="29.25">
      <c r="A685" s="22" t="s">
        <v>1924</v>
      </c>
      <c r="B685">
        <v>1</v>
      </c>
      <c r="C685" s="133">
        <v>0</v>
      </c>
      <c r="D685" s="183" t="s">
        <v>1925</v>
      </c>
      <c r="E685" t="s">
        <v>1926</v>
      </c>
      <c r="F685">
        <v>7501142900065</v>
      </c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</row>
    <row r="686" spans="1:28">
      <c r="A686" s="19" t="s">
        <v>303</v>
      </c>
      <c r="B686" s="117">
        <v>1</v>
      </c>
      <c r="C686" s="19">
        <v>0</v>
      </c>
      <c r="D686" s="19" t="s">
        <v>1261</v>
      </c>
      <c r="E686" s="19" t="s">
        <v>305</v>
      </c>
      <c r="F686" s="19">
        <v>7707350411069</v>
      </c>
    </row>
    <row r="687" spans="1:28" ht="60">
      <c r="A687" s="19" t="s">
        <v>1927</v>
      </c>
      <c r="B687" s="117">
        <v>3</v>
      </c>
      <c r="C687" s="19">
        <v>0</v>
      </c>
      <c r="D687" s="19" t="s">
        <v>1928</v>
      </c>
      <c r="E687" s="43" t="s">
        <v>1929</v>
      </c>
      <c r="F687" s="19">
        <v>7704588000331</v>
      </c>
    </row>
    <row r="688" spans="1:28">
      <c r="A688" s="418"/>
      <c r="B688" s="440"/>
      <c r="C688" s="418"/>
      <c r="D688" s="418"/>
      <c r="E688" s="418"/>
      <c r="F688" s="418"/>
      <c r="G688" s="418"/>
      <c r="H688" s="418"/>
      <c r="I688" s="418"/>
      <c r="J688" s="418"/>
      <c r="K688" s="418"/>
      <c r="L688" s="418"/>
      <c r="M688" s="418"/>
      <c r="N688" s="418"/>
      <c r="O688" s="418"/>
      <c r="P688" s="418"/>
      <c r="Q688" s="418"/>
      <c r="R688" s="418"/>
      <c r="S688" s="418"/>
      <c r="T688" s="418"/>
      <c r="U688" s="418"/>
      <c r="V688" s="418"/>
      <c r="W688" s="418"/>
      <c r="X688" s="418"/>
      <c r="Y688" s="418"/>
      <c r="Z688" s="418"/>
      <c r="AA688" s="418"/>
      <c r="AB688" s="418"/>
    </row>
    <row r="689" spans="1:28">
      <c r="A689" s="117" t="s">
        <v>1930</v>
      </c>
      <c r="B689" s="117">
        <v>12</v>
      </c>
      <c r="C689" s="345">
        <v>0</v>
      </c>
      <c r="D689" s="117" t="s">
        <v>1040</v>
      </c>
      <c r="E689" s="117" t="s">
        <v>1473</v>
      </c>
      <c r="F689" s="117">
        <v>8903726176696</v>
      </c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 spans="1:28">
      <c r="A690" s="73" t="s">
        <v>536</v>
      </c>
      <c r="B690" s="32">
        <v>2</v>
      </c>
      <c r="C690" s="72">
        <v>0</v>
      </c>
      <c r="D690" s="32" t="s">
        <v>115</v>
      </c>
      <c r="E690" s="73" t="s">
        <v>537</v>
      </c>
      <c r="F690" s="371">
        <v>7703153016050</v>
      </c>
      <c r="G690" s="74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 spans="1:28">
      <c r="A691" s="76" t="s">
        <v>1931</v>
      </c>
      <c r="B691" s="117">
        <v>10</v>
      </c>
      <c r="C691" s="354">
        <v>0</v>
      </c>
      <c r="D691" s="355" t="s">
        <v>80</v>
      </c>
      <c r="E691" s="74" t="s">
        <v>1723</v>
      </c>
      <c r="F691" s="74">
        <v>7709923870570</v>
      </c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</row>
    <row r="692" spans="1:28">
      <c r="A692" s="418"/>
      <c r="B692" s="440"/>
      <c r="C692" s="418"/>
      <c r="D692" s="418"/>
      <c r="E692" s="418"/>
      <c r="F692" s="418"/>
      <c r="G692" s="418"/>
      <c r="H692" s="418"/>
      <c r="I692" s="418"/>
      <c r="J692" s="418"/>
      <c r="K692" s="418"/>
      <c r="L692" s="418"/>
      <c r="M692" s="418"/>
      <c r="N692" s="418"/>
      <c r="O692" s="418"/>
      <c r="P692" s="418"/>
      <c r="Q692" s="418"/>
      <c r="R692" s="418"/>
      <c r="S692" s="418"/>
      <c r="T692" s="418"/>
      <c r="U692" s="418"/>
      <c r="V692" s="418"/>
      <c r="W692" s="418"/>
      <c r="X692" s="418"/>
      <c r="Y692" s="418"/>
      <c r="Z692" s="418"/>
      <c r="AA692" s="418"/>
      <c r="AB692" s="418"/>
    </row>
    <row r="693" spans="1:28">
      <c r="A693" s="74" t="s">
        <v>162</v>
      </c>
      <c r="B693" s="74">
        <v>6</v>
      </c>
      <c r="C693" s="75">
        <v>0</v>
      </c>
      <c r="D693" s="74" t="s">
        <v>109</v>
      </c>
      <c r="E693" s="74" t="s">
        <v>163</v>
      </c>
      <c r="F693" s="74">
        <v>7706569001184</v>
      </c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</row>
    <row r="694" spans="1:28" ht="30">
      <c r="A694" s="19" t="s">
        <v>1932</v>
      </c>
      <c r="B694" s="117">
        <v>3</v>
      </c>
      <c r="C694" s="19">
        <v>0</v>
      </c>
      <c r="D694" s="19" t="s">
        <v>408</v>
      </c>
      <c r="E694" s="43" t="s">
        <v>107</v>
      </c>
      <c r="F694" s="19">
        <v>7702184014189</v>
      </c>
    </row>
    <row r="695" spans="1:28">
      <c r="A695" s="8" t="s">
        <v>526</v>
      </c>
      <c r="B695" s="8">
        <v>5</v>
      </c>
      <c r="C695" s="173">
        <v>0</v>
      </c>
      <c r="D695" s="30" t="s">
        <v>527</v>
      </c>
      <c r="E695" s="25" t="s">
        <v>528</v>
      </c>
      <c r="F695" s="30">
        <v>7702195057304</v>
      </c>
      <c r="G695" s="30"/>
      <c r="H695" s="30"/>
      <c r="I695" s="30"/>
      <c r="J695" s="30"/>
      <c r="K695" s="30"/>
      <c r="L695" s="30"/>
      <c r="M695" s="30"/>
      <c r="N695" s="30"/>
      <c r="O695" s="30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8" ht="30">
      <c r="A696" s="19" t="s">
        <v>947</v>
      </c>
      <c r="B696" s="117">
        <v>1</v>
      </c>
      <c r="C696" s="19">
        <v>0</v>
      </c>
      <c r="D696" s="19" t="s">
        <v>948</v>
      </c>
      <c r="E696" s="43" t="s">
        <v>949</v>
      </c>
      <c r="F696" s="19">
        <v>7703153043322</v>
      </c>
    </row>
    <row r="697" spans="1:28">
      <c r="A697" s="64" t="s">
        <v>1933</v>
      </c>
      <c r="B697" s="102">
        <v>1</v>
      </c>
      <c r="C697" s="101">
        <v>0</v>
      </c>
      <c r="D697" s="125" t="s">
        <v>7</v>
      </c>
      <c r="E697" s="64" t="s">
        <v>1934</v>
      </c>
      <c r="F697" s="68">
        <v>7707288825341</v>
      </c>
      <c r="G697" s="65"/>
      <c r="H697" s="65"/>
      <c r="I697" s="65"/>
      <c r="J697" s="65"/>
      <c r="K697" s="65"/>
      <c r="L697" s="65"/>
      <c r="M697" s="65"/>
      <c r="N697" s="65"/>
      <c r="O697" s="65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8" ht="28.5">
      <c r="A698" s="12" t="s">
        <v>234</v>
      </c>
      <c r="B698" s="14">
        <v>1</v>
      </c>
      <c r="C698" s="105">
        <v>0</v>
      </c>
      <c r="D698" s="105" t="s">
        <v>1322</v>
      </c>
      <c r="E698" s="13" t="s">
        <v>236</v>
      </c>
      <c r="F698" s="61">
        <v>7702057092344</v>
      </c>
    </row>
    <row r="699" spans="1:28">
      <c r="A699" s="73" t="s">
        <v>271</v>
      </c>
      <c r="B699" s="32">
        <v>4</v>
      </c>
      <c r="C699" s="72">
        <v>0</v>
      </c>
      <c r="D699" s="83" t="s">
        <v>272</v>
      </c>
      <c r="E699" s="73" t="s">
        <v>273</v>
      </c>
      <c r="F699" s="371">
        <v>7703432422237</v>
      </c>
      <c r="G699" s="32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 spans="1:28">
      <c r="A700" s="73" t="s">
        <v>271</v>
      </c>
      <c r="B700" s="32">
        <v>2</v>
      </c>
      <c r="C700" s="72">
        <v>0</v>
      </c>
      <c r="D700" s="83" t="s">
        <v>272</v>
      </c>
      <c r="E700" s="73" t="s">
        <v>273</v>
      </c>
      <c r="F700" s="371">
        <v>7703432422237</v>
      </c>
      <c r="G700" s="32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 spans="1:28">
      <c r="A701" t="s">
        <v>1935</v>
      </c>
      <c r="B701">
        <v>1</v>
      </c>
      <c r="C701" s="133">
        <v>0</v>
      </c>
      <c r="D701" s="134" t="s">
        <v>156</v>
      </c>
      <c r="E701" s="22" t="s">
        <v>422</v>
      </c>
      <c r="F701">
        <v>7702184010181</v>
      </c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8" ht="28.5">
      <c r="A702" s="71" t="s">
        <v>521</v>
      </c>
      <c r="B702" s="14">
        <v>1</v>
      </c>
      <c r="C702" s="105">
        <v>0.05</v>
      </c>
      <c r="D702" s="137" t="s">
        <v>1936</v>
      </c>
      <c r="E702" s="121" t="s">
        <v>523</v>
      </c>
      <c r="F702" s="211">
        <v>7703006086339</v>
      </c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 s="117"/>
      <c r="AB702" s="117"/>
    </row>
    <row r="703" spans="1:28">
      <c r="A703" s="418"/>
      <c r="B703" s="440"/>
      <c r="C703" s="418"/>
      <c r="D703" s="418"/>
      <c r="E703" s="418"/>
      <c r="F703" s="418"/>
      <c r="G703" s="418"/>
      <c r="H703" s="418"/>
      <c r="I703" s="418"/>
      <c r="J703" s="418"/>
      <c r="K703" s="418"/>
      <c r="L703" s="418"/>
      <c r="M703" s="418"/>
      <c r="N703" s="418"/>
      <c r="O703" s="418"/>
      <c r="P703" s="418"/>
      <c r="Q703" s="418"/>
      <c r="R703" s="418"/>
      <c r="S703" s="418"/>
      <c r="T703" s="418"/>
      <c r="U703" s="418"/>
      <c r="V703" s="418"/>
      <c r="W703" s="418"/>
      <c r="X703" s="418"/>
      <c r="Y703" s="418"/>
      <c r="Z703" s="418"/>
      <c r="AA703" s="418"/>
      <c r="AB703" s="418"/>
    </row>
    <row r="704" spans="1:28">
      <c r="A704" s="117" t="s">
        <v>9</v>
      </c>
      <c r="B704" s="74">
        <v>8</v>
      </c>
      <c r="C704" s="75">
        <v>0</v>
      </c>
      <c r="D704" s="336" t="s">
        <v>10</v>
      </c>
      <c r="E704" s="76" t="s">
        <v>11</v>
      </c>
      <c r="F704" s="74">
        <v>7703689317386</v>
      </c>
      <c r="G704" s="74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 spans="1:28">
      <c r="A705" s="24" t="s">
        <v>1937</v>
      </c>
      <c r="B705" s="30">
        <v>1</v>
      </c>
      <c r="C705" s="31">
        <v>0</v>
      </c>
      <c r="D705" s="193" t="s">
        <v>1891</v>
      </c>
      <c r="E705" s="24" t="s">
        <v>1323</v>
      </c>
      <c r="F705" s="142">
        <v>7702132008529</v>
      </c>
    </row>
    <row r="706" spans="1:28">
      <c r="A706" t="s">
        <v>1938</v>
      </c>
      <c r="B706">
        <v>1</v>
      </c>
      <c r="C706" s="140">
        <v>0</v>
      </c>
      <c r="D706" s="134" t="s">
        <v>1126</v>
      </c>
      <c r="E706" t="s">
        <v>1939</v>
      </c>
      <c r="F706">
        <v>3594455600115</v>
      </c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8">
      <c r="A707" s="39" t="s">
        <v>1940</v>
      </c>
      <c r="B707" s="23">
        <v>7</v>
      </c>
      <c r="C707" s="23">
        <v>0</v>
      </c>
      <c r="D707" s="23" t="s">
        <v>585</v>
      </c>
      <c r="E707" s="23" t="s">
        <v>1941</v>
      </c>
      <c r="F707" s="23">
        <v>7704412175075</v>
      </c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8">
      <c r="A708" s="24" t="s">
        <v>1209</v>
      </c>
      <c r="B708" s="28">
        <v>1</v>
      </c>
      <c r="C708" s="192">
        <v>0</v>
      </c>
      <c r="D708" s="30" t="s">
        <v>222</v>
      </c>
      <c r="E708" s="24" t="s">
        <v>872</v>
      </c>
      <c r="F708" s="63">
        <v>7896006202516</v>
      </c>
      <c r="G708" s="28"/>
    </row>
    <row r="709" spans="1:28" ht="28.5">
      <c r="A709" s="12" t="s">
        <v>64</v>
      </c>
      <c r="B709" s="14">
        <v>6</v>
      </c>
      <c r="C709" s="105">
        <v>0</v>
      </c>
      <c r="D709" s="137" t="s">
        <v>65</v>
      </c>
      <c r="E709" s="121" t="s">
        <v>66</v>
      </c>
      <c r="F709" s="61">
        <v>7702870003596</v>
      </c>
      <c r="G709" s="14"/>
      <c r="H709" s="14"/>
      <c r="I709" s="14"/>
      <c r="J709" s="14"/>
      <c r="K709" s="14"/>
      <c r="L709" s="14"/>
      <c r="M709" s="14"/>
      <c r="N709" s="14"/>
      <c r="O709" s="14"/>
    </row>
    <row r="710" spans="1:28" ht="28.5">
      <c r="A710" s="12" t="s">
        <v>64</v>
      </c>
      <c r="B710" s="14">
        <v>2</v>
      </c>
      <c r="C710" s="105">
        <v>0</v>
      </c>
      <c r="D710" s="137" t="s">
        <v>65</v>
      </c>
      <c r="E710" s="121" t="s">
        <v>66</v>
      </c>
      <c r="F710" s="61">
        <v>7702870003596</v>
      </c>
      <c r="G710" s="14"/>
      <c r="H710" s="14"/>
      <c r="I710" s="14"/>
      <c r="J710" s="14"/>
      <c r="K710" s="14"/>
      <c r="L710" s="14"/>
      <c r="M710" s="14"/>
      <c r="N710" s="14"/>
      <c r="O710" s="14"/>
    </row>
    <row r="711" spans="1:28">
      <c r="A711" s="64" t="s">
        <v>1408</v>
      </c>
      <c r="B711" s="102">
        <v>2</v>
      </c>
      <c r="C711" s="101">
        <v>0</v>
      </c>
      <c r="D711" s="125" t="s">
        <v>1409</v>
      </c>
      <c r="E711" s="64" t="s">
        <v>422</v>
      </c>
      <c r="F711" s="68">
        <v>7702057070748</v>
      </c>
      <c r="G711" s="65"/>
      <c r="H711" s="65"/>
      <c r="I711" s="65"/>
      <c r="J711" s="65"/>
      <c r="K711" s="65"/>
      <c r="L711" s="65"/>
      <c r="M711" s="65"/>
      <c r="N711" s="65"/>
      <c r="O711" s="65"/>
    </row>
    <row r="712" spans="1:28">
      <c r="A712" s="195" t="s">
        <v>475</v>
      </c>
      <c r="B712" s="200">
        <v>6</v>
      </c>
      <c r="C712" s="198">
        <v>0</v>
      </c>
      <c r="D712" s="198" t="s">
        <v>476</v>
      </c>
      <c r="E712" s="428" t="s">
        <v>477</v>
      </c>
      <c r="F712" s="201">
        <v>7703712030695</v>
      </c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spans="1:28">
      <c r="A713" s="152" t="s">
        <v>605</v>
      </c>
      <c r="B713" s="96">
        <v>2</v>
      </c>
      <c r="C713" s="97">
        <v>0</v>
      </c>
      <c r="D713" s="96" t="s">
        <v>702</v>
      </c>
      <c r="E713" s="152" t="s">
        <v>606</v>
      </c>
      <c r="F713" s="375">
        <v>7703451000010</v>
      </c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 spans="1:28" ht="29.25">
      <c r="A714" s="22" t="s">
        <v>1942</v>
      </c>
      <c r="B714" s="22">
        <v>1</v>
      </c>
      <c r="C714" s="175">
        <v>0</v>
      </c>
      <c r="D714" s="23" t="s">
        <v>585</v>
      </c>
      <c r="E714" s="22" t="s">
        <v>1943</v>
      </c>
      <c r="F714" s="22">
        <v>7707035580950</v>
      </c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</row>
    <row r="715" spans="1:28" ht="30">
      <c r="A715" s="19" t="s">
        <v>1944</v>
      </c>
      <c r="B715" s="117">
        <v>2</v>
      </c>
      <c r="C715" s="19">
        <v>0</v>
      </c>
      <c r="D715" s="19" t="s">
        <v>1366</v>
      </c>
      <c r="E715" s="43" t="s">
        <v>1945</v>
      </c>
      <c r="F715" s="19">
        <v>7709195054555</v>
      </c>
    </row>
    <row r="716" spans="1:28">
      <c r="A716" s="418"/>
      <c r="B716" s="440"/>
      <c r="C716" s="418"/>
      <c r="D716" s="418"/>
      <c r="E716" s="418"/>
      <c r="F716" s="418"/>
      <c r="G716" s="418"/>
      <c r="H716" s="418"/>
      <c r="I716" s="418"/>
      <c r="J716" s="418"/>
      <c r="K716" s="418"/>
      <c r="L716" s="418"/>
      <c r="M716" s="418"/>
      <c r="N716" s="418"/>
      <c r="O716" s="418"/>
      <c r="P716" s="418"/>
      <c r="Q716" s="418"/>
      <c r="R716" s="418"/>
      <c r="S716" s="418"/>
      <c r="T716" s="418"/>
      <c r="U716" s="418"/>
      <c r="V716" s="418"/>
      <c r="W716" s="418"/>
      <c r="X716" s="418"/>
      <c r="Y716" s="418"/>
      <c r="Z716" s="418"/>
      <c r="AA716" s="418"/>
      <c r="AB716" s="418"/>
    </row>
    <row r="717" spans="1:28">
      <c r="A717" s="76" t="s">
        <v>178</v>
      </c>
      <c r="B717" s="74">
        <v>6</v>
      </c>
      <c r="C717" s="75">
        <v>0</v>
      </c>
      <c r="D717" s="74" t="s">
        <v>10</v>
      </c>
      <c r="E717" s="74" t="s">
        <v>179</v>
      </c>
      <c r="F717" s="378">
        <v>7730766003375</v>
      </c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 spans="1:28" ht="30">
      <c r="A718" s="73" t="s">
        <v>287</v>
      </c>
      <c r="B718" s="32">
        <v>6</v>
      </c>
      <c r="C718" s="89">
        <v>0</v>
      </c>
      <c r="D718" s="90" t="s">
        <v>10</v>
      </c>
      <c r="E718" s="73" t="s">
        <v>288</v>
      </c>
      <c r="F718" s="20">
        <v>7730766003382</v>
      </c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 spans="1:28">
      <c r="A719" s="76" t="s">
        <v>817</v>
      </c>
      <c r="B719" s="74">
        <v>2</v>
      </c>
      <c r="C719" s="75">
        <v>0</v>
      </c>
      <c r="D719" s="74" t="s">
        <v>818</v>
      </c>
      <c r="E719" s="76" t="s">
        <v>428</v>
      </c>
      <c r="F719" s="74">
        <v>7703038050018</v>
      </c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117"/>
      <c r="AA719" s="117"/>
      <c r="AB719" s="117"/>
    </row>
    <row r="720" spans="1:28" ht="29.25">
      <c r="A720" s="24" t="s">
        <v>1946</v>
      </c>
      <c r="B720" s="24">
        <v>1</v>
      </c>
      <c r="C720" s="311">
        <v>0</v>
      </c>
      <c r="D720" s="30" t="s">
        <v>7</v>
      </c>
      <c r="E720" s="24" t="s">
        <v>1947</v>
      </c>
      <c r="F720" s="24">
        <v>7702184592021</v>
      </c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8" ht="29.25">
      <c r="A721" s="22" t="s">
        <v>1235</v>
      </c>
      <c r="B721">
        <v>1</v>
      </c>
      <c r="C721" s="133">
        <v>0</v>
      </c>
      <c r="D721" s="183" t="s">
        <v>1236</v>
      </c>
      <c r="E721" t="s">
        <v>1237</v>
      </c>
      <c r="F721">
        <v>7702027044090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</row>
    <row r="722" spans="1:28">
      <c r="A722" s="418"/>
      <c r="B722" s="440"/>
      <c r="C722" s="418"/>
      <c r="D722" s="418"/>
      <c r="E722" s="418"/>
      <c r="F722" s="418"/>
      <c r="G722" s="418"/>
      <c r="H722" s="418"/>
      <c r="I722" s="418"/>
      <c r="J722" s="418"/>
      <c r="K722" s="418"/>
      <c r="L722" s="418"/>
      <c r="M722" s="418"/>
      <c r="N722" s="418"/>
      <c r="O722" s="418"/>
      <c r="P722" s="418"/>
      <c r="Q722" s="418"/>
      <c r="R722" s="418"/>
      <c r="S722" s="418"/>
      <c r="T722" s="418"/>
      <c r="U722" s="418"/>
      <c r="V722" s="418"/>
      <c r="W722" s="418"/>
      <c r="X722" s="418"/>
      <c r="Y722" s="418"/>
      <c r="Z722" s="418"/>
      <c r="AA722" s="418"/>
      <c r="AB722" s="418"/>
    </row>
    <row r="723" spans="1:28" ht="30">
      <c r="A723" s="74" t="s">
        <v>436</v>
      </c>
      <c r="B723" s="74">
        <v>1</v>
      </c>
      <c r="C723" s="75">
        <v>0</v>
      </c>
      <c r="D723" s="336" t="s">
        <v>437</v>
      </c>
      <c r="E723" s="76" t="s">
        <v>438</v>
      </c>
      <c r="F723" s="372">
        <v>4104480705151</v>
      </c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 spans="1:28" ht="29.25">
      <c r="A724" s="24" t="s">
        <v>1379</v>
      </c>
      <c r="B724" s="8">
        <v>1</v>
      </c>
      <c r="C724" s="9">
        <v>0</v>
      </c>
      <c r="D724" s="9" t="s">
        <v>1948</v>
      </c>
      <c r="E724" s="24" t="s">
        <v>1381</v>
      </c>
      <c r="F724" s="28">
        <v>7702123006817</v>
      </c>
    </row>
    <row r="725" spans="1:28" ht="29.25">
      <c r="A725" s="28" t="s">
        <v>1949</v>
      </c>
      <c r="B725" s="28">
        <v>1</v>
      </c>
      <c r="C725" s="192">
        <v>0</v>
      </c>
      <c r="D725" s="193" t="s">
        <v>103</v>
      </c>
      <c r="E725" s="24" t="s">
        <v>95</v>
      </c>
      <c r="F725" s="63">
        <v>7703038050384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8">
      <c r="A726" s="64" t="s">
        <v>1950</v>
      </c>
      <c r="B726" s="102">
        <v>3</v>
      </c>
      <c r="C726" s="205">
        <v>0</v>
      </c>
      <c r="D726" s="125" t="s">
        <v>1951</v>
      </c>
      <c r="E726" s="64" t="s">
        <v>1952</v>
      </c>
      <c r="F726" s="68">
        <v>7702195051814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3"/>
    </row>
    <row r="727" spans="1:28" ht="30">
      <c r="A727" s="76" t="s">
        <v>1953</v>
      </c>
      <c r="B727" s="74">
        <v>6</v>
      </c>
      <c r="C727" s="74">
        <v>0</v>
      </c>
      <c r="D727" s="336" t="s">
        <v>14</v>
      </c>
      <c r="E727" s="76" t="s">
        <v>936</v>
      </c>
      <c r="F727" s="378">
        <v>7707236128517</v>
      </c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8">
      <c r="A728" s="76" t="s">
        <v>439</v>
      </c>
      <c r="B728" s="74">
        <v>6</v>
      </c>
      <c r="C728" s="352">
        <v>0</v>
      </c>
      <c r="D728" s="352" t="s">
        <v>80</v>
      </c>
      <c r="E728" s="74" t="s">
        <v>332</v>
      </c>
      <c r="F728" s="74">
        <v>7705451000069</v>
      </c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8" ht="28.5">
      <c r="A729" s="71" t="s">
        <v>1819</v>
      </c>
      <c r="B729" s="14">
        <v>6</v>
      </c>
      <c r="C729" s="105">
        <v>0</v>
      </c>
      <c r="D729" s="14" t="s">
        <v>7</v>
      </c>
      <c r="E729" s="69" t="s">
        <v>1820</v>
      </c>
      <c r="F729" s="71">
        <v>7703038061038</v>
      </c>
      <c r="G729" s="71"/>
      <c r="H729" s="71"/>
      <c r="I729" s="71"/>
      <c r="J729" s="71"/>
      <c r="K729" s="71"/>
      <c r="L729" s="71"/>
      <c r="M729" s="71"/>
      <c r="N729" s="71"/>
      <c r="O729" s="71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 spans="1:28">
      <c r="A730" s="7" t="s">
        <v>314</v>
      </c>
      <c r="B730" s="30">
        <v>1</v>
      </c>
      <c r="C730" s="31">
        <v>0</v>
      </c>
      <c r="D730" s="98" t="s">
        <v>315</v>
      </c>
      <c r="E730" s="7" t="s">
        <v>316</v>
      </c>
      <c r="F730" s="63">
        <v>7702057712396</v>
      </c>
    </row>
    <row r="731" spans="1:28" ht="57.75">
      <c r="A731" s="39" t="s">
        <v>1954</v>
      </c>
      <c r="B731" s="23">
        <v>1</v>
      </c>
      <c r="C731" s="23">
        <v>0</v>
      </c>
      <c r="D731" s="23" t="s">
        <v>1955</v>
      </c>
      <c r="E731" s="11" t="s">
        <v>1956</v>
      </c>
      <c r="F731" s="23">
        <v>2005722</v>
      </c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8">
      <c r="A732" s="22" t="s">
        <v>1957</v>
      </c>
      <c r="B732" s="11">
        <v>1</v>
      </c>
      <c r="C732" s="166">
        <v>0</v>
      </c>
      <c r="D732" s="106" t="s">
        <v>1955</v>
      </c>
      <c r="E732" s="22" t="s">
        <v>1958</v>
      </c>
      <c r="F732" s="22">
        <v>7702057016029</v>
      </c>
      <c r="G732" s="22"/>
      <c r="H732" s="22"/>
      <c r="I732" s="22"/>
      <c r="J732" s="22"/>
      <c r="K732" s="22"/>
      <c r="L732" s="22"/>
      <c r="M732" s="22"/>
      <c r="N732" s="22"/>
      <c r="O732" s="22"/>
    </row>
    <row r="733" spans="1:28">
      <c r="A733" s="418"/>
      <c r="B733" s="440"/>
      <c r="C733" s="418"/>
      <c r="D733" s="418"/>
      <c r="E733" s="418"/>
      <c r="F733" s="418"/>
      <c r="G733" s="418"/>
      <c r="H733" s="418"/>
      <c r="I733" s="418"/>
      <c r="J733" s="418"/>
      <c r="K733" s="418"/>
      <c r="L733" s="418"/>
      <c r="M733" s="418"/>
      <c r="N733" s="418"/>
      <c r="O733" s="418"/>
      <c r="P733" s="418"/>
      <c r="Q733" s="418"/>
      <c r="R733" s="418"/>
      <c r="S733" s="418"/>
      <c r="T733" s="418"/>
      <c r="U733" s="418"/>
      <c r="V733" s="418"/>
      <c r="W733" s="418"/>
      <c r="X733" s="418"/>
      <c r="Y733" s="418"/>
      <c r="Z733" s="418"/>
      <c r="AA733" s="418"/>
      <c r="AB733" s="418"/>
    </row>
    <row r="734" spans="1:28">
      <c r="A734" t="s">
        <v>320</v>
      </c>
      <c r="B734" s="39">
        <v>6</v>
      </c>
      <c r="C734" s="40">
        <v>0</v>
      </c>
      <c r="D734" s="39" t="s">
        <v>902</v>
      </c>
      <c r="E734" t="s">
        <v>322</v>
      </c>
      <c r="F734">
        <v>6921875013176</v>
      </c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</row>
    <row r="735" spans="1:28" ht="30">
      <c r="A735" s="73" t="s">
        <v>132</v>
      </c>
      <c r="B735" s="32">
        <v>3</v>
      </c>
      <c r="C735" s="72">
        <v>0</v>
      </c>
      <c r="D735" s="74" t="s">
        <v>133</v>
      </c>
      <c r="E735" s="73" t="s">
        <v>134</v>
      </c>
      <c r="F735" s="321">
        <v>7705959881016</v>
      </c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117"/>
    </row>
    <row r="736" spans="1:28" ht="30">
      <c r="A736" s="96" t="s">
        <v>1959</v>
      </c>
      <c r="B736" s="96">
        <v>2</v>
      </c>
      <c r="C736" s="97">
        <v>0</v>
      </c>
      <c r="D736" s="120" t="s">
        <v>676</v>
      </c>
      <c r="E736" s="152" t="s">
        <v>1960</v>
      </c>
      <c r="F736" s="375">
        <v>7709990383645</v>
      </c>
      <c r="G736" s="96"/>
      <c r="H736" s="96"/>
      <c r="I736" s="96"/>
      <c r="J736" s="96"/>
      <c r="K736" s="96"/>
      <c r="L736" s="96"/>
      <c r="M736" s="96"/>
      <c r="N736" s="96"/>
      <c r="O736" s="96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</row>
    <row r="737" spans="1:28" ht="30">
      <c r="A737" s="96" t="s">
        <v>1961</v>
      </c>
      <c r="B737" s="96">
        <v>1</v>
      </c>
      <c r="C737" s="97">
        <v>0</v>
      </c>
      <c r="D737" s="120" t="s">
        <v>1962</v>
      </c>
      <c r="E737" s="152" t="s">
        <v>1963</v>
      </c>
      <c r="F737" s="375">
        <v>7707397791483</v>
      </c>
      <c r="G737" s="96"/>
      <c r="H737" s="96"/>
      <c r="I737" s="96"/>
      <c r="J737" s="96"/>
      <c r="K737" s="96"/>
      <c r="L737" s="96"/>
      <c r="M737" s="96"/>
      <c r="N737" s="96"/>
      <c r="O737" s="96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</row>
    <row r="738" spans="1:28" ht="29.25">
      <c r="A738" s="24" t="s">
        <v>1964</v>
      </c>
      <c r="B738" s="8">
        <v>2</v>
      </c>
      <c r="C738" s="40">
        <v>0</v>
      </c>
      <c r="D738" s="94" t="s">
        <v>1080</v>
      </c>
      <c r="E738" s="24" t="s">
        <v>1965</v>
      </c>
      <c r="F738" s="28">
        <v>7706142707106</v>
      </c>
      <c r="G738" s="28"/>
    </row>
    <row r="739" spans="1:28" ht="28.5">
      <c r="A739" s="13" t="s">
        <v>1966</v>
      </c>
      <c r="B739" s="121">
        <v>1</v>
      </c>
      <c r="C739" s="121">
        <v>0</v>
      </c>
      <c r="D739" s="121" t="s">
        <v>1560</v>
      </c>
      <c r="E739" s="13" t="s">
        <v>1967</v>
      </c>
      <c r="F739" s="211">
        <v>7706142707137</v>
      </c>
      <c r="G739" s="28"/>
    </row>
    <row r="740" spans="1:28">
      <c r="A740" s="418"/>
      <c r="B740" s="440"/>
      <c r="C740" s="418"/>
      <c r="D740" s="418"/>
      <c r="E740" s="418"/>
      <c r="F740" s="418"/>
      <c r="G740" s="418"/>
      <c r="H740" s="418"/>
      <c r="I740" s="418"/>
      <c r="J740" s="418"/>
      <c r="K740" s="418"/>
      <c r="L740" s="418"/>
      <c r="M740" s="418"/>
      <c r="N740" s="418"/>
      <c r="O740" s="418"/>
      <c r="P740" s="418"/>
      <c r="Q740" s="418"/>
      <c r="R740" s="418"/>
      <c r="S740" s="418"/>
      <c r="T740" s="418"/>
      <c r="U740" s="418"/>
      <c r="V740" s="418"/>
      <c r="W740" s="418"/>
      <c r="X740" s="418"/>
      <c r="Y740" s="418"/>
      <c r="Z740" s="418"/>
      <c r="AA740" s="418"/>
      <c r="AB740" s="418"/>
    </row>
    <row r="741" spans="1:28" ht="30">
      <c r="A741" s="43" t="s">
        <v>1968</v>
      </c>
      <c r="B741" s="117">
        <v>2</v>
      </c>
      <c r="C741" s="126">
        <v>0.19</v>
      </c>
      <c r="D741" s="19" t="s">
        <v>7</v>
      </c>
      <c r="E741" s="43" t="s">
        <v>1969</v>
      </c>
      <c r="F741" s="19">
        <v>7708682913320</v>
      </c>
    </row>
    <row r="742" spans="1:28" ht="30">
      <c r="A742" s="43" t="s">
        <v>1970</v>
      </c>
      <c r="B742" s="117">
        <v>2</v>
      </c>
      <c r="C742" s="126">
        <v>0.19</v>
      </c>
      <c r="D742" s="19" t="s">
        <v>378</v>
      </c>
      <c r="E742" s="43" t="s">
        <v>1971</v>
      </c>
      <c r="F742" s="19">
        <v>7704631904760</v>
      </c>
    </row>
    <row r="743" spans="1:28">
      <c r="A743" t="s">
        <v>1935</v>
      </c>
      <c r="B743">
        <v>2</v>
      </c>
      <c r="C743" s="133">
        <v>0</v>
      </c>
      <c r="D743" s="134" t="s">
        <v>156</v>
      </c>
      <c r="E743" s="22" t="s">
        <v>422</v>
      </c>
      <c r="F743">
        <v>7702184010181</v>
      </c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8" ht="30">
      <c r="A744" s="19" t="s">
        <v>1972</v>
      </c>
      <c r="B744" s="117">
        <v>1</v>
      </c>
      <c r="C744" s="126">
        <v>0.19</v>
      </c>
      <c r="D744" s="19" t="s">
        <v>676</v>
      </c>
      <c r="E744" s="43" t="s">
        <v>513</v>
      </c>
      <c r="F744" s="19">
        <v>7703712014602</v>
      </c>
    </row>
    <row r="745" spans="1:28" ht="30">
      <c r="A745" s="96" t="s">
        <v>1365</v>
      </c>
      <c r="B745" s="96">
        <v>2</v>
      </c>
      <c r="C745" s="97">
        <v>0</v>
      </c>
      <c r="D745" s="120" t="s">
        <v>1366</v>
      </c>
      <c r="E745" s="152" t="s">
        <v>1367</v>
      </c>
      <c r="F745" s="375">
        <v>7703712010000</v>
      </c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 spans="1:28" ht="30">
      <c r="A746" s="117" t="s">
        <v>1842</v>
      </c>
      <c r="B746" s="117">
        <v>2</v>
      </c>
      <c r="C746" s="117">
        <v>0</v>
      </c>
      <c r="D746" s="117" t="s">
        <v>118</v>
      </c>
      <c r="E746" s="112" t="s">
        <v>110</v>
      </c>
      <c r="F746" s="117">
        <v>7702123006732</v>
      </c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 spans="1:28">
      <c r="A747" s="24" t="s">
        <v>1428</v>
      </c>
      <c r="B747" s="37">
        <v>2</v>
      </c>
      <c r="C747" s="177">
        <v>0.19</v>
      </c>
      <c r="D747" s="292" t="s">
        <v>1973</v>
      </c>
      <c r="E747" s="28" t="s">
        <v>210</v>
      </c>
      <c r="F747" s="21">
        <v>7702027479625</v>
      </c>
      <c r="G747" s="21"/>
      <c r="H747" s="21"/>
      <c r="I747" s="21"/>
      <c r="J747" s="21"/>
      <c r="K747" s="21"/>
      <c r="L747" s="21"/>
      <c r="M747" s="21"/>
      <c r="N747" s="21"/>
      <c r="O747" s="21"/>
      <c r="Z747" s="117"/>
    </row>
    <row r="748" spans="1:28">
      <c r="A748" s="418"/>
      <c r="B748" s="440"/>
      <c r="C748" s="418"/>
      <c r="D748" s="418"/>
      <c r="E748" s="418"/>
      <c r="F748" s="418"/>
      <c r="G748" s="418"/>
      <c r="H748" s="418"/>
      <c r="I748" s="418"/>
      <c r="J748" s="418"/>
      <c r="K748" s="418"/>
      <c r="L748" s="418"/>
      <c r="M748" s="418"/>
      <c r="N748" s="418"/>
      <c r="O748" s="418"/>
      <c r="P748" s="418"/>
      <c r="Q748" s="418"/>
      <c r="R748" s="418"/>
      <c r="S748" s="418"/>
      <c r="T748" s="418"/>
      <c r="U748" s="418"/>
      <c r="V748" s="418"/>
      <c r="W748" s="418"/>
      <c r="X748" s="418"/>
      <c r="Y748" s="418"/>
      <c r="Z748" s="418"/>
      <c r="AA748" s="418"/>
      <c r="AB748" s="4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56"/>
  <sheetViews>
    <sheetView topLeftCell="A732" workbookViewId="0">
      <pane xSplit="1" topLeftCell="B1" activePane="topRight" state="frozen"/>
      <selection pane="topRight" activeCell="A2" sqref="A2:F732"/>
    </sheetView>
  </sheetViews>
  <sheetFormatPr baseColWidth="10" defaultColWidth="9.125" defaultRowHeight="15"/>
  <cols>
    <col min="1" max="1" width="50.875" style="117" customWidth="1"/>
    <col min="2" max="4" width="19.125" style="117" customWidth="1"/>
    <col min="5" max="5" width="30.375" style="117" customWidth="1"/>
    <col min="6" max="6" width="19.125" style="117" customWidth="1"/>
    <col min="7" max="7" width="15" style="117" bestFit="1" customWidth="1"/>
    <col min="8" max="16384" width="9.125" style="117"/>
  </cols>
  <sheetData>
    <row r="1" spans="1:28" s="368" customFormat="1" ht="32.25" customHeight="1">
      <c r="A1" s="363" t="s">
        <v>0</v>
      </c>
      <c r="B1" s="364" t="s">
        <v>1</v>
      </c>
      <c r="C1" s="365" t="s">
        <v>2</v>
      </c>
      <c r="D1" s="365" t="s">
        <v>3</v>
      </c>
      <c r="E1" s="364" t="s">
        <v>4</v>
      </c>
      <c r="F1" s="366" t="s">
        <v>5</v>
      </c>
      <c r="G1" s="367"/>
      <c r="H1" s="367"/>
      <c r="I1" s="367"/>
      <c r="J1" s="367"/>
      <c r="K1" s="367"/>
      <c r="L1" s="367"/>
      <c r="M1" s="367"/>
      <c r="N1" s="367"/>
      <c r="O1" s="367"/>
      <c r="P1" s="367"/>
    </row>
    <row r="2" spans="1:28" ht="30">
      <c r="A2" s="152" t="s">
        <v>229</v>
      </c>
      <c r="B2" s="96">
        <v>2</v>
      </c>
      <c r="C2" s="97">
        <v>0.19</v>
      </c>
      <c r="D2" s="120" t="s">
        <v>14</v>
      </c>
      <c r="E2" s="152" t="s">
        <v>230</v>
      </c>
      <c r="F2" s="369">
        <v>7707210530909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</row>
    <row r="3" spans="1:28" ht="30">
      <c r="A3" s="117" t="s">
        <v>1974</v>
      </c>
      <c r="B3" s="117">
        <v>1</v>
      </c>
      <c r="C3" s="117">
        <v>0</v>
      </c>
      <c r="D3" s="117" t="s">
        <v>181</v>
      </c>
      <c r="E3" s="112" t="s">
        <v>1975</v>
      </c>
      <c r="F3" s="117">
        <v>8903726256619</v>
      </c>
    </row>
    <row r="4" spans="1:28" ht="30">
      <c r="A4" s="73" t="s">
        <v>1976</v>
      </c>
      <c r="B4" s="32">
        <v>1</v>
      </c>
      <c r="C4" s="290">
        <v>0.19</v>
      </c>
      <c r="D4" s="32" t="s">
        <v>676</v>
      </c>
      <c r="E4" s="73" t="s">
        <v>1525</v>
      </c>
      <c r="F4" s="32">
        <v>7702132002633</v>
      </c>
    </row>
    <row r="5" spans="1:28" ht="30">
      <c r="A5" s="112" t="s">
        <v>1014</v>
      </c>
      <c r="B5" s="117">
        <v>1</v>
      </c>
      <c r="C5" s="345">
        <v>0</v>
      </c>
      <c r="D5" s="117" t="s">
        <v>430</v>
      </c>
      <c r="E5" s="112" t="s">
        <v>1015</v>
      </c>
      <c r="F5" s="117">
        <v>7703712014251</v>
      </c>
    </row>
    <row r="6" spans="1:28">
      <c r="A6" s="370"/>
      <c r="B6" s="370"/>
      <c r="C6" s="370"/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  <c r="Q6" s="370"/>
      <c r="R6" s="370"/>
      <c r="S6" s="370"/>
      <c r="T6" s="370"/>
      <c r="U6" s="370"/>
      <c r="V6" s="370"/>
      <c r="W6" s="370"/>
      <c r="X6" s="370"/>
      <c r="Y6" s="370"/>
      <c r="Z6" s="370"/>
      <c r="AA6" s="370"/>
      <c r="AB6" s="370"/>
    </row>
    <row r="7" spans="1:28">
      <c r="A7" s="73" t="s">
        <v>420</v>
      </c>
      <c r="B7" s="32">
        <v>1</v>
      </c>
      <c r="C7" s="72">
        <v>0</v>
      </c>
      <c r="D7" s="83" t="s">
        <v>421</v>
      </c>
      <c r="E7" s="73" t="s">
        <v>422</v>
      </c>
      <c r="F7" s="371">
        <v>7703153040628</v>
      </c>
      <c r="G7" s="32"/>
    </row>
    <row r="8" spans="1:28">
      <c r="A8" s="370"/>
      <c r="B8" s="370"/>
      <c r="C8" s="370"/>
      <c r="D8" s="370"/>
      <c r="E8" s="370"/>
      <c r="F8" s="370"/>
      <c r="G8" s="370"/>
      <c r="H8" s="370"/>
      <c r="I8" s="370"/>
      <c r="J8" s="370"/>
      <c r="K8" s="370"/>
      <c r="L8" s="370"/>
      <c r="M8" s="370"/>
      <c r="N8" s="370"/>
      <c r="O8" s="370"/>
      <c r="P8" s="370"/>
      <c r="Q8" s="370"/>
      <c r="R8" s="370"/>
      <c r="S8" s="370"/>
      <c r="T8" s="370"/>
      <c r="U8" s="370"/>
      <c r="V8" s="370"/>
      <c r="W8" s="370"/>
      <c r="X8" s="370"/>
      <c r="Y8" s="370"/>
      <c r="Z8" s="370"/>
      <c r="AA8" s="370"/>
      <c r="AB8" s="370"/>
    </row>
    <row r="9" spans="1:28" ht="30">
      <c r="A9" s="73" t="s">
        <v>1977</v>
      </c>
      <c r="B9" s="32">
        <v>1</v>
      </c>
      <c r="C9" s="72">
        <v>0.19</v>
      </c>
      <c r="D9" s="83" t="s">
        <v>1978</v>
      </c>
      <c r="E9" s="73" t="s">
        <v>1979</v>
      </c>
      <c r="F9" s="32">
        <v>7891010005047</v>
      </c>
      <c r="G9" s="32"/>
      <c r="H9" s="32"/>
    </row>
    <row r="10" spans="1:28">
      <c r="A10" s="370"/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0"/>
      <c r="S10" s="370"/>
      <c r="T10" s="370"/>
      <c r="U10" s="370"/>
      <c r="V10" s="370"/>
      <c r="W10" s="370"/>
      <c r="X10" s="370"/>
      <c r="Y10" s="370"/>
      <c r="Z10" s="370"/>
      <c r="AA10" s="370"/>
      <c r="AB10" s="370"/>
    </row>
    <row r="11" spans="1:28">
      <c r="A11" s="76" t="s">
        <v>1980</v>
      </c>
      <c r="B11" s="74">
        <v>5</v>
      </c>
      <c r="C11" s="75">
        <v>0</v>
      </c>
      <c r="D11" s="91" t="s">
        <v>684</v>
      </c>
      <c r="E11" s="74" t="s">
        <v>1981</v>
      </c>
      <c r="F11" s="74">
        <v>7702605102617</v>
      </c>
      <c r="G11" s="74"/>
      <c r="H11" s="74"/>
      <c r="I11" s="74"/>
      <c r="J11" s="74"/>
      <c r="K11" s="74"/>
      <c r="L11" s="74"/>
      <c r="M11" s="74"/>
      <c r="N11" s="74"/>
      <c r="O11" s="74"/>
    </row>
    <row r="12" spans="1:28">
      <c r="A12" s="370"/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 s="370"/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/>
    </row>
    <row r="13" spans="1:28">
      <c r="A13" s="76" t="s">
        <v>1982</v>
      </c>
      <c r="B13" s="74">
        <v>5</v>
      </c>
      <c r="C13" s="75">
        <v>0</v>
      </c>
      <c r="D13" s="74" t="s">
        <v>818</v>
      </c>
      <c r="E13" s="74" t="s">
        <v>1248</v>
      </c>
      <c r="F13" s="74">
        <v>7703712035362</v>
      </c>
    </row>
    <row r="14" spans="1:28">
      <c r="A14" s="76" t="s">
        <v>1636</v>
      </c>
      <c r="B14" s="74">
        <v>3</v>
      </c>
      <c r="C14" s="75">
        <v>0</v>
      </c>
      <c r="D14" s="74" t="s">
        <v>1637</v>
      </c>
      <c r="E14" s="76" t="s">
        <v>428</v>
      </c>
      <c r="F14" s="372">
        <v>7703712035355</v>
      </c>
    </row>
    <row r="15" spans="1:28">
      <c r="A15" s="195" t="s">
        <v>1983</v>
      </c>
      <c r="B15" s="200">
        <v>5</v>
      </c>
      <c r="C15" s="360">
        <v>0</v>
      </c>
      <c r="D15" s="361" t="s">
        <v>1984</v>
      </c>
      <c r="E15" s="195" t="s">
        <v>904</v>
      </c>
      <c r="F15" s="373">
        <v>7702605100019</v>
      </c>
    </row>
    <row r="16" spans="1:28">
      <c r="A16" s="112" t="s">
        <v>1528</v>
      </c>
      <c r="B16" s="112">
        <v>2</v>
      </c>
      <c r="C16" s="350">
        <v>0</v>
      </c>
      <c r="D16" s="374" t="s">
        <v>1985</v>
      </c>
      <c r="E16" s="112" t="s">
        <v>228</v>
      </c>
      <c r="F16" s="112">
        <v>8903726232798</v>
      </c>
      <c r="G16" s="112"/>
      <c r="H16" s="112"/>
      <c r="I16" s="112"/>
      <c r="J16" s="112"/>
      <c r="K16" s="112"/>
      <c r="L16" s="112"/>
      <c r="M16" s="112"/>
      <c r="N16" s="112"/>
      <c r="O16" s="112"/>
    </row>
    <row r="17" spans="1:28">
      <c r="A17" s="370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</row>
    <row r="18" spans="1:28">
      <c r="A18" s="74" t="s">
        <v>1986</v>
      </c>
      <c r="B18" s="74">
        <v>2</v>
      </c>
      <c r="C18" s="75">
        <v>0</v>
      </c>
      <c r="D18" s="336" t="s">
        <v>14</v>
      </c>
      <c r="E18" s="74" t="s">
        <v>1987</v>
      </c>
      <c r="F18" s="74">
        <v>7709990383669</v>
      </c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</row>
    <row r="19" spans="1:28" ht="30">
      <c r="A19" s="73" t="s">
        <v>1988</v>
      </c>
      <c r="B19" s="32">
        <v>1</v>
      </c>
      <c r="C19" s="72">
        <v>0.19</v>
      </c>
      <c r="D19" s="83" t="s">
        <v>750</v>
      </c>
      <c r="E19" s="73" t="s">
        <v>1979</v>
      </c>
      <c r="F19" s="32">
        <v>7891010020927</v>
      </c>
      <c r="G19" s="32"/>
      <c r="H19" s="32"/>
    </row>
    <row r="20" spans="1:28">
      <c r="A20" s="32" t="s">
        <v>1989</v>
      </c>
      <c r="B20" s="32">
        <v>5</v>
      </c>
      <c r="C20" s="72">
        <v>0</v>
      </c>
      <c r="D20" s="32" t="s">
        <v>262</v>
      </c>
      <c r="E20" s="73" t="s">
        <v>1519</v>
      </c>
      <c r="F20" s="321">
        <v>7707341100071</v>
      </c>
    </row>
    <row r="21" spans="1:28" ht="30">
      <c r="A21" s="96" t="s">
        <v>1990</v>
      </c>
      <c r="B21" s="96">
        <v>5</v>
      </c>
      <c r="C21" s="97">
        <v>0</v>
      </c>
      <c r="D21" s="120" t="s">
        <v>118</v>
      </c>
      <c r="E21" s="152" t="s">
        <v>184</v>
      </c>
      <c r="F21" s="375">
        <v>7707357200024</v>
      </c>
    </row>
    <row r="22" spans="1:28" ht="30">
      <c r="A22" s="152" t="s">
        <v>1027</v>
      </c>
      <c r="B22" s="96">
        <v>8</v>
      </c>
      <c r="C22" s="97">
        <v>0</v>
      </c>
      <c r="D22" s="96" t="s">
        <v>80</v>
      </c>
      <c r="E22" s="152" t="s">
        <v>1028</v>
      </c>
      <c r="F22" s="369">
        <v>7706569000194</v>
      </c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</row>
    <row r="23" spans="1:28">
      <c r="A23" s="73" t="s">
        <v>55</v>
      </c>
      <c r="B23" s="32">
        <v>1</v>
      </c>
      <c r="C23" s="72">
        <v>0</v>
      </c>
      <c r="D23" s="81" t="s">
        <v>56</v>
      </c>
      <c r="E23" s="32" t="s">
        <v>57</v>
      </c>
      <c r="F23" s="321">
        <v>7709990697889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8" ht="30">
      <c r="A24" s="117" t="s">
        <v>365</v>
      </c>
      <c r="B24" s="117">
        <v>5</v>
      </c>
      <c r="C24" s="345">
        <v>0.19</v>
      </c>
      <c r="D24" s="117" t="s">
        <v>366</v>
      </c>
      <c r="E24" s="112" t="s">
        <v>367</v>
      </c>
      <c r="F24" s="117">
        <v>7707242970575</v>
      </c>
    </row>
    <row r="25" spans="1:28" ht="30">
      <c r="A25" s="112" t="s">
        <v>1991</v>
      </c>
      <c r="B25" s="117">
        <v>5</v>
      </c>
      <c r="C25" s="345">
        <v>0</v>
      </c>
      <c r="D25" s="117" t="s">
        <v>118</v>
      </c>
      <c r="E25" s="112" t="s">
        <v>1992</v>
      </c>
      <c r="F25" s="376">
        <v>7709990202717</v>
      </c>
    </row>
    <row r="26" spans="1:28" ht="30">
      <c r="A26" s="96" t="s">
        <v>1959</v>
      </c>
      <c r="B26" s="96">
        <v>2</v>
      </c>
      <c r="C26" s="97">
        <v>0</v>
      </c>
      <c r="D26" s="120" t="s">
        <v>676</v>
      </c>
      <c r="E26" s="152" t="s">
        <v>1960</v>
      </c>
      <c r="F26" s="375">
        <v>7709990383645</v>
      </c>
      <c r="G26" s="96"/>
      <c r="H26" s="96"/>
      <c r="I26" s="96"/>
      <c r="J26" s="96"/>
      <c r="K26" s="96"/>
      <c r="L26" s="96"/>
      <c r="M26" s="96"/>
      <c r="N26" s="96"/>
      <c r="O26" s="96"/>
    </row>
    <row r="27" spans="1:28">
      <c r="A27" s="195" t="s">
        <v>1993</v>
      </c>
      <c r="B27" s="200">
        <v>1</v>
      </c>
      <c r="C27" s="377">
        <v>0</v>
      </c>
      <c r="D27" s="196" t="s">
        <v>585</v>
      </c>
      <c r="E27" s="195" t="s">
        <v>422</v>
      </c>
      <c r="F27" s="373">
        <v>7702184011225</v>
      </c>
      <c r="G27" s="200"/>
    </row>
    <row r="28" spans="1:28">
      <c r="A28" s="74" t="s">
        <v>1122</v>
      </c>
      <c r="B28" s="74">
        <v>2</v>
      </c>
      <c r="C28" s="75">
        <v>0</v>
      </c>
      <c r="D28" s="336" t="s">
        <v>603</v>
      </c>
      <c r="E28" s="76" t="s">
        <v>63</v>
      </c>
      <c r="F28" s="74">
        <v>7702418004351</v>
      </c>
    </row>
    <row r="29" spans="1:28">
      <c r="A29" s="73" t="s">
        <v>1994</v>
      </c>
      <c r="B29" s="32">
        <v>1</v>
      </c>
      <c r="C29" s="32">
        <v>0</v>
      </c>
      <c r="D29" s="32" t="s">
        <v>59</v>
      </c>
      <c r="E29" s="73" t="s">
        <v>60</v>
      </c>
      <c r="F29" s="321">
        <v>7707232098074</v>
      </c>
      <c r="G29" s="32"/>
      <c r="H29" s="32"/>
      <c r="I29" s="32"/>
      <c r="J29" s="32"/>
      <c r="K29" s="32"/>
      <c r="L29" s="32"/>
      <c r="M29" s="32"/>
      <c r="N29" s="32"/>
      <c r="O29" s="32"/>
    </row>
    <row r="30" spans="1:28">
      <c r="A30" s="76" t="s">
        <v>1386</v>
      </c>
      <c r="B30" s="74">
        <v>1</v>
      </c>
      <c r="C30" s="75">
        <v>0</v>
      </c>
      <c r="D30" s="336" t="s">
        <v>214</v>
      </c>
      <c r="E30" s="76" t="s">
        <v>1387</v>
      </c>
      <c r="F30" s="74">
        <v>650240053160</v>
      </c>
      <c r="G30" s="74"/>
    </row>
    <row r="31" spans="1:28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</row>
    <row r="32" spans="1:28">
      <c r="A32" s="76" t="s">
        <v>883</v>
      </c>
      <c r="B32" s="74">
        <v>5</v>
      </c>
      <c r="C32" s="74">
        <v>0</v>
      </c>
      <c r="D32" s="74" t="s">
        <v>118</v>
      </c>
      <c r="E32" s="74" t="s">
        <v>884</v>
      </c>
      <c r="F32" s="74">
        <v>7702870071489</v>
      </c>
    </row>
    <row r="33" spans="1:28">
      <c r="A33" s="370"/>
      <c r="B33" s="370"/>
      <c r="C33" s="370"/>
      <c r="D33" s="370"/>
      <c r="E33" s="370"/>
      <c r="F33" s="370"/>
      <c r="G33" s="370"/>
      <c r="H33" s="370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/>
    </row>
    <row r="34" spans="1:28">
      <c r="A34" s="74" t="s">
        <v>1995</v>
      </c>
      <c r="B34" s="74">
        <v>1</v>
      </c>
      <c r="C34" s="75">
        <v>0</v>
      </c>
      <c r="D34" s="336" t="s">
        <v>808</v>
      </c>
      <c r="E34" s="76" t="s">
        <v>1996</v>
      </c>
      <c r="F34" s="74">
        <v>8436024611502</v>
      </c>
      <c r="G34" s="74"/>
      <c r="H34" s="74"/>
      <c r="I34" s="74"/>
      <c r="J34" s="74"/>
      <c r="K34" s="74"/>
      <c r="L34" s="74"/>
      <c r="M34" s="74"/>
      <c r="N34" s="74"/>
      <c r="O34" s="74"/>
    </row>
    <row r="35" spans="1:28">
      <c r="A35" s="74" t="s">
        <v>217</v>
      </c>
      <c r="B35" s="74">
        <v>8</v>
      </c>
      <c r="C35" s="75">
        <v>0</v>
      </c>
      <c r="D35" s="336" t="s">
        <v>386</v>
      </c>
      <c r="E35" s="74" t="s">
        <v>218</v>
      </c>
      <c r="F35" s="74">
        <v>7707019379464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</row>
    <row r="36" spans="1:28">
      <c r="A36" s="74" t="s">
        <v>557</v>
      </c>
      <c r="B36" s="74">
        <v>1</v>
      </c>
      <c r="C36" s="75">
        <v>0</v>
      </c>
      <c r="D36" s="336" t="s">
        <v>348</v>
      </c>
      <c r="E36" s="74" t="s">
        <v>558</v>
      </c>
      <c r="F36" s="378">
        <v>7702132009748</v>
      </c>
      <c r="G36" s="74"/>
      <c r="H36" s="74"/>
      <c r="I36" s="74"/>
      <c r="J36" s="74"/>
      <c r="K36" s="74"/>
      <c r="L36" s="74"/>
      <c r="M36" s="74"/>
      <c r="N36" s="74"/>
      <c r="O36" s="74"/>
    </row>
    <row r="37" spans="1:28" ht="30">
      <c r="A37" s="73" t="s">
        <v>1997</v>
      </c>
      <c r="B37" s="32">
        <v>1</v>
      </c>
      <c r="C37" s="72">
        <v>0</v>
      </c>
      <c r="D37" s="83" t="s">
        <v>91</v>
      </c>
      <c r="E37" s="73" t="s">
        <v>1998</v>
      </c>
      <c r="F37" s="32">
        <v>7702560008849</v>
      </c>
      <c r="G37" s="74"/>
    </row>
    <row r="38" spans="1:28">
      <c r="A38" s="32" t="s">
        <v>1812</v>
      </c>
      <c r="B38" s="32">
        <v>4</v>
      </c>
      <c r="C38" s="82">
        <v>0</v>
      </c>
      <c r="D38" s="32" t="s">
        <v>10</v>
      </c>
      <c r="E38" s="73" t="s">
        <v>1813</v>
      </c>
      <c r="F38" s="32">
        <v>7702184020227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8">
      <c r="A39" s="32" t="s">
        <v>1812</v>
      </c>
      <c r="B39" s="32">
        <v>2</v>
      </c>
      <c r="C39" s="82">
        <v>0</v>
      </c>
      <c r="D39" s="32" t="s">
        <v>10</v>
      </c>
      <c r="E39" s="73" t="s">
        <v>1813</v>
      </c>
      <c r="F39" s="32">
        <v>7702184020227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8">
      <c r="A40" s="73" t="s">
        <v>199</v>
      </c>
      <c r="B40" s="32">
        <v>1</v>
      </c>
      <c r="C40" s="72">
        <v>0</v>
      </c>
      <c r="D40" s="32" t="s">
        <v>200</v>
      </c>
      <c r="E40" s="73" t="s">
        <v>201</v>
      </c>
      <c r="F40" s="321">
        <v>7707397791636</v>
      </c>
    </row>
    <row r="41" spans="1:28" ht="30">
      <c r="A41" s="112" t="s">
        <v>205</v>
      </c>
      <c r="B41" s="117">
        <v>1</v>
      </c>
      <c r="C41" s="345">
        <v>0.19</v>
      </c>
      <c r="D41" s="117" t="s">
        <v>68</v>
      </c>
      <c r="E41" s="112" t="s">
        <v>207</v>
      </c>
      <c r="F41" s="117">
        <v>7708636936016</v>
      </c>
    </row>
    <row r="42" spans="1:28" ht="30">
      <c r="A42" s="117" t="s">
        <v>1999</v>
      </c>
      <c r="B42" s="117">
        <v>2</v>
      </c>
      <c r="C42" s="345">
        <v>0.19</v>
      </c>
      <c r="D42" s="117" t="s">
        <v>109</v>
      </c>
      <c r="E42" s="112" t="s">
        <v>2000</v>
      </c>
      <c r="F42" s="117">
        <v>7707271201794</v>
      </c>
    </row>
    <row r="43" spans="1:28" ht="30">
      <c r="A43" s="73" t="s">
        <v>1412</v>
      </c>
      <c r="B43" s="32">
        <v>2</v>
      </c>
      <c r="C43" s="72">
        <v>0.19</v>
      </c>
      <c r="D43" s="81" t="s">
        <v>318</v>
      </c>
      <c r="E43" s="73" t="s">
        <v>1609</v>
      </c>
      <c r="F43" s="379">
        <v>7709880588440</v>
      </c>
    </row>
    <row r="44" spans="1:28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/>
    </row>
    <row r="45" spans="1:28" ht="45">
      <c r="A45" s="117" t="s">
        <v>2001</v>
      </c>
      <c r="B45" s="117">
        <v>1</v>
      </c>
      <c r="C45" s="117">
        <v>0</v>
      </c>
      <c r="D45" s="117" t="s">
        <v>59</v>
      </c>
      <c r="E45" s="112" t="s">
        <v>1026</v>
      </c>
    </row>
    <row r="46" spans="1:28">
      <c r="A46" s="76" t="s">
        <v>1931</v>
      </c>
      <c r="B46" s="117">
        <v>6</v>
      </c>
      <c r="C46" s="354">
        <v>0</v>
      </c>
      <c r="D46" s="355" t="s">
        <v>80</v>
      </c>
      <c r="E46" s="74" t="s">
        <v>1723</v>
      </c>
      <c r="F46" s="74">
        <v>7709923870570</v>
      </c>
    </row>
    <row r="47" spans="1:28">
      <c r="A47" s="76" t="s">
        <v>693</v>
      </c>
      <c r="B47" s="32">
        <v>6</v>
      </c>
      <c r="C47" s="72">
        <v>0</v>
      </c>
      <c r="D47" s="81" t="s">
        <v>694</v>
      </c>
      <c r="E47" s="74" t="s">
        <v>695</v>
      </c>
      <c r="F47" s="378">
        <v>7707274721053</v>
      </c>
    </row>
    <row r="48" spans="1:28" ht="30">
      <c r="A48" s="32" t="s">
        <v>701</v>
      </c>
      <c r="B48" s="32">
        <v>5</v>
      </c>
      <c r="C48" s="72">
        <v>0</v>
      </c>
      <c r="D48" s="32" t="s">
        <v>702</v>
      </c>
      <c r="E48" s="73" t="s">
        <v>151</v>
      </c>
      <c r="F48" s="32">
        <v>7702896001347</v>
      </c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spans="1:26" s="370" customFormat="1"/>
    <row r="50" spans="1:26" ht="30">
      <c r="A50" s="96" t="s">
        <v>193</v>
      </c>
      <c r="B50" s="96">
        <v>8</v>
      </c>
      <c r="C50" s="97">
        <v>0</v>
      </c>
      <c r="D50" s="96" t="s">
        <v>10</v>
      </c>
      <c r="E50" s="152" t="s">
        <v>194</v>
      </c>
      <c r="F50" s="96">
        <v>7707035510513</v>
      </c>
      <c r="G50" s="96"/>
      <c r="H50" s="96"/>
      <c r="I50" s="96"/>
      <c r="J50" s="96"/>
      <c r="K50" s="96"/>
      <c r="L50" s="96"/>
      <c r="M50" s="96"/>
      <c r="N50" s="96"/>
      <c r="O50" s="96"/>
    </row>
    <row r="51" spans="1:26" ht="30">
      <c r="A51" s="117" t="s">
        <v>1090</v>
      </c>
      <c r="B51" s="117">
        <v>5</v>
      </c>
      <c r="C51" s="345">
        <v>0</v>
      </c>
      <c r="D51" s="119" t="s">
        <v>118</v>
      </c>
      <c r="E51" s="112" t="s">
        <v>24</v>
      </c>
      <c r="F51" s="117">
        <v>7707035540596</v>
      </c>
    </row>
    <row r="52" spans="1:26" ht="30">
      <c r="A52" s="380" t="s">
        <v>2002</v>
      </c>
      <c r="B52" s="92">
        <v>2</v>
      </c>
      <c r="C52" s="381">
        <v>0</v>
      </c>
      <c r="D52" s="381" t="s">
        <v>331</v>
      </c>
      <c r="E52" s="92" t="s">
        <v>1853</v>
      </c>
      <c r="F52" s="92">
        <v>7707141349281</v>
      </c>
    </row>
    <row r="53" spans="1:26" ht="30">
      <c r="A53" s="380" t="s">
        <v>1852</v>
      </c>
      <c r="B53" s="92">
        <v>4</v>
      </c>
      <c r="C53" s="381">
        <v>0</v>
      </c>
      <c r="D53" s="381" t="s">
        <v>331</v>
      </c>
      <c r="E53" s="92" t="s">
        <v>1853</v>
      </c>
      <c r="F53" s="92">
        <v>7707141349298</v>
      </c>
    </row>
    <row r="54" spans="1:26">
      <c r="A54" s="152" t="s">
        <v>1439</v>
      </c>
      <c r="B54" s="96">
        <v>6</v>
      </c>
      <c r="C54" s="72">
        <v>0</v>
      </c>
      <c r="D54" s="83" t="s">
        <v>10</v>
      </c>
      <c r="E54" s="152" t="s">
        <v>670</v>
      </c>
      <c r="F54" s="96">
        <v>7703546034029</v>
      </c>
      <c r="G54" s="74"/>
    </row>
    <row r="55" spans="1:26" ht="30">
      <c r="A55" s="117" t="s">
        <v>1128</v>
      </c>
      <c r="B55" s="117">
        <v>3</v>
      </c>
      <c r="C55" s="117">
        <v>0</v>
      </c>
      <c r="D55" s="117" t="s">
        <v>1126</v>
      </c>
      <c r="E55" s="112" t="s">
        <v>1129</v>
      </c>
      <c r="F55" s="117">
        <v>8903726232811</v>
      </c>
    </row>
    <row r="56" spans="1:26" s="370" customFormat="1"/>
    <row r="57" spans="1:26" ht="45">
      <c r="A57" s="117" t="s">
        <v>1202</v>
      </c>
      <c r="B57" s="117">
        <v>3</v>
      </c>
      <c r="C57" s="345">
        <v>0</v>
      </c>
      <c r="D57" s="117" t="s">
        <v>91</v>
      </c>
      <c r="E57" s="112" t="s">
        <v>1203</v>
      </c>
      <c r="F57" s="117">
        <v>7709587585025</v>
      </c>
    </row>
    <row r="58" spans="1:26" ht="30">
      <c r="A58" s="73" t="s">
        <v>1524</v>
      </c>
      <c r="B58" s="32">
        <v>3</v>
      </c>
      <c r="C58" s="290">
        <v>0.19</v>
      </c>
      <c r="D58" s="291" t="s">
        <v>74</v>
      </c>
      <c r="E58" s="73" t="s">
        <v>1525</v>
      </c>
      <c r="F58" s="32">
        <v>7702132004606</v>
      </c>
    </row>
    <row r="59" spans="1:26">
      <c r="A59" s="117" t="s">
        <v>1423</v>
      </c>
      <c r="B59" s="117">
        <v>2</v>
      </c>
      <c r="C59" s="345">
        <v>0</v>
      </c>
      <c r="D59" s="117" t="s">
        <v>2003</v>
      </c>
      <c r="E59" s="117" t="s">
        <v>204</v>
      </c>
      <c r="F59" s="117">
        <v>7707355055732</v>
      </c>
    </row>
    <row r="60" spans="1:26">
      <c r="A60" s="117" t="s">
        <v>1423</v>
      </c>
      <c r="B60" s="117">
        <v>1</v>
      </c>
      <c r="C60" s="345">
        <v>0</v>
      </c>
      <c r="D60" s="117" t="s">
        <v>2003</v>
      </c>
      <c r="E60" s="117" t="s">
        <v>204</v>
      </c>
      <c r="F60" s="117">
        <v>7707355055732</v>
      </c>
    </row>
    <row r="61" spans="1:26">
      <c r="A61" s="117" t="s">
        <v>9</v>
      </c>
      <c r="B61" s="74">
        <v>8</v>
      </c>
      <c r="C61" s="75">
        <v>0</v>
      </c>
      <c r="D61" s="336" t="s">
        <v>10</v>
      </c>
      <c r="E61" s="76" t="s">
        <v>11</v>
      </c>
      <c r="F61" s="74">
        <v>7703689317386</v>
      </c>
      <c r="G61" s="74"/>
    </row>
    <row r="62" spans="1:26">
      <c r="A62" s="117" t="s">
        <v>1132</v>
      </c>
      <c r="B62" s="117">
        <v>8</v>
      </c>
      <c r="C62" s="345">
        <v>0</v>
      </c>
      <c r="D62" s="119" t="s">
        <v>109</v>
      </c>
      <c r="E62" s="112" t="s">
        <v>1133</v>
      </c>
      <c r="F62" s="117">
        <v>7702195061400</v>
      </c>
    </row>
    <row r="63" spans="1:26">
      <c r="A63" s="195" t="s">
        <v>2004</v>
      </c>
      <c r="B63" s="200">
        <v>2</v>
      </c>
      <c r="C63" s="377">
        <v>0</v>
      </c>
      <c r="D63" s="361" t="s">
        <v>509</v>
      </c>
      <c r="E63" s="195" t="s">
        <v>2005</v>
      </c>
      <c r="F63" s="200">
        <v>7702605101948</v>
      </c>
      <c r="G63" s="373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00"/>
      <c r="Y63" s="200"/>
      <c r="Z63" s="200"/>
    </row>
    <row r="64" spans="1:26">
      <c r="A64" s="117" t="s">
        <v>2006</v>
      </c>
      <c r="B64" s="117">
        <v>3</v>
      </c>
      <c r="C64" s="345">
        <v>0</v>
      </c>
      <c r="D64" s="117" t="s">
        <v>2007</v>
      </c>
      <c r="E64" s="117" t="s">
        <v>2008</v>
      </c>
      <c r="F64" s="117">
        <v>8904159624150</v>
      </c>
    </row>
    <row r="65" spans="1:26" ht="30">
      <c r="A65" s="112" t="s">
        <v>1232</v>
      </c>
      <c r="B65" s="112">
        <v>1</v>
      </c>
      <c r="C65" s="350">
        <v>0.19</v>
      </c>
      <c r="D65" s="351" t="s">
        <v>1233</v>
      </c>
      <c r="E65" s="112" t="s">
        <v>1234</v>
      </c>
      <c r="F65" s="112">
        <v>7896009498091</v>
      </c>
      <c r="G65" s="112"/>
      <c r="H65" s="112"/>
      <c r="I65" s="112"/>
      <c r="J65" s="112"/>
      <c r="K65" s="112"/>
      <c r="L65" s="112"/>
      <c r="M65" s="112"/>
      <c r="N65" s="112"/>
      <c r="O65" s="112"/>
    </row>
    <row r="66" spans="1:26">
      <c r="A66" s="370"/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30">
      <c r="A67" s="32" t="s">
        <v>1850</v>
      </c>
      <c r="B67" s="32">
        <v>6</v>
      </c>
      <c r="C67" s="89">
        <v>0</v>
      </c>
      <c r="D67" s="90" t="s">
        <v>10</v>
      </c>
      <c r="E67" s="73" t="s">
        <v>1851</v>
      </c>
      <c r="F67" s="32">
        <v>7703038859246</v>
      </c>
    </row>
    <row r="68" spans="1:26">
      <c r="A68" s="195" t="s">
        <v>1058</v>
      </c>
      <c r="B68" s="200">
        <v>2</v>
      </c>
      <c r="C68" s="360">
        <v>0</v>
      </c>
      <c r="D68" s="200" t="s">
        <v>740</v>
      </c>
      <c r="E68" s="195" t="s">
        <v>1060</v>
      </c>
      <c r="F68" s="382">
        <v>7709225183033</v>
      </c>
      <c r="G68" s="74"/>
    </row>
    <row r="69" spans="1:26">
      <c r="A69" s="112" t="s">
        <v>631</v>
      </c>
      <c r="B69" s="117">
        <v>3</v>
      </c>
      <c r="C69" s="97">
        <v>0</v>
      </c>
      <c r="D69" s="120" t="s">
        <v>453</v>
      </c>
      <c r="E69" s="117" t="s">
        <v>632</v>
      </c>
      <c r="F69" s="117">
        <v>7703038065470</v>
      </c>
    </row>
    <row r="70" spans="1:26">
      <c r="A70" s="76" t="s">
        <v>2009</v>
      </c>
      <c r="B70" s="74">
        <v>1</v>
      </c>
      <c r="C70" s="75">
        <v>0.19</v>
      </c>
      <c r="D70" s="91" t="s">
        <v>808</v>
      </c>
      <c r="E70" s="74" t="s">
        <v>1283</v>
      </c>
      <c r="F70" s="74">
        <v>7702277937494</v>
      </c>
      <c r="G70" s="74"/>
    </row>
    <row r="71" spans="1:26">
      <c r="A71" s="76" t="s">
        <v>2010</v>
      </c>
      <c r="B71" s="74">
        <v>1</v>
      </c>
      <c r="C71" s="75">
        <v>0.19</v>
      </c>
      <c r="D71" s="74" t="s">
        <v>676</v>
      </c>
      <c r="E71" s="74" t="s">
        <v>1280</v>
      </c>
      <c r="F71" s="74">
        <v>7702277628200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spans="1:26" ht="30">
      <c r="A72" s="117" t="s">
        <v>624</v>
      </c>
      <c r="B72" s="117">
        <v>1</v>
      </c>
      <c r="C72" s="345">
        <v>0.19</v>
      </c>
      <c r="D72" s="117" t="s">
        <v>625</v>
      </c>
      <c r="E72" s="112" t="s">
        <v>626</v>
      </c>
      <c r="F72" s="117">
        <v>8411135009639</v>
      </c>
    </row>
    <row r="73" spans="1:26" ht="30">
      <c r="A73" s="117" t="s">
        <v>627</v>
      </c>
      <c r="B73" s="117">
        <v>1</v>
      </c>
      <c r="C73" s="345">
        <v>0.19</v>
      </c>
      <c r="D73" s="117" t="s">
        <v>26</v>
      </c>
      <c r="E73" s="112" t="s">
        <v>628</v>
      </c>
      <c r="F73" s="117">
        <v>8411135009677</v>
      </c>
    </row>
    <row r="74" spans="1:26">
      <c r="A74" s="117" t="s">
        <v>1505</v>
      </c>
      <c r="B74" s="117">
        <v>5</v>
      </c>
      <c r="C74" s="118">
        <v>0</v>
      </c>
      <c r="D74" s="119" t="s">
        <v>118</v>
      </c>
      <c r="E74" s="117" t="s">
        <v>1506</v>
      </c>
      <c r="F74" s="117">
        <v>5997001368466</v>
      </c>
    </row>
    <row r="75" spans="1:26">
      <c r="A75" s="370"/>
      <c r="B75" s="370"/>
      <c r="C75" s="370"/>
      <c r="D75" s="370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>
      <c r="A76" s="117" t="s">
        <v>2011</v>
      </c>
      <c r="B76" s="117">
        <v>4</v>
      </c>
      <c r="C76" s="345">
        <v>0</v>
      </c>
      <c r="D76" s="119" t="s">
        <v>71</v>
      </c>
      <c r="E76" s="117" t="s">
        <v>2012</v>
      </c>
      <c r="F76" s="117">
        <v>7702027444685</v>
      </c>
    </row>
    <row r="77" spans="1:26" ht="30">
      <c r="A77" s="73" t="s">
        <v>70</v>
      </c>
      <c r="B77" s="32">
        <v>4</v>
      </c>
      <c r="C77" s="32">
        <v>0</v>
      </c>
      <c r="D77" s="83" t="s">
        <v>71</v>
      </c>
      <c r="E77" s="73" t="s">
        <v>72</v>
      </c>
      <c r="F77" s="321">
        <v>7702027434020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30">
      <c r="A78" s="112" t="s">
        <v>2013</v>
      </c>
      <c r="B78" s="117">
        <v>4</v>
      </c>
      <c r="C78" s="345">
        <v>0</v>
      </c>
      <c r="D78" s="117" t="s">
        <v>2014</v>
      </c>
      <c r="E78" s="117" t="s">
        <v>2015</v>
      </c>
      <c r="F78" s="117">
        <v>7702027440922</v>
      </c>
    </row>
    <row r="79" spans="1:26" ht="30">
      <c r="A79" s="73" t="s">
        <v>2016</v>
      </c>
      <c r="B79" s="32">
        <v>2</v>
      </c>
      <c r="C79" s="32">
        <v>0</v>
      </c>
      <c r="D79" s="81" t="s">
        <v>2017</v>
      </c>
      <c r="E79" s="73" t="s">
        <v>72</v>
      </c>
      <c r="F79" s="321">
        <v>7702027044502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6">
      <c r="A80" s="117" t="s">
        <v>2018</v>
      </c>
      <c r="B80" s="117">
        <v>3</v>
      </c>
      <c r="C80" s="75">
        <v>0.19</v>
      </c>
      <c r="D80" s="336" t="s">
        <v>2019</v>
      </c>
      <c r="E80" s="117" t="s">
        <v>2020</v>
      </c>
      <c r="F80" s="117">
        <v>7702026313814</v>
      </c>
    </row>
    <row r="81" spans="1:26">
      <c r="A81" s="73" t="s">
        <v>973</v>
      </c>
      <c r="B81" s="32">
        <v>6</v>
      </c>
      <c r="C81" s="72">
        <v>0</v>
      </c>
      <c r="D81" s="72" t="s">
        <v>80</v>
      </c>
      <c r="E81" s="73" t="s">
        <v>975</v>
      </c>
      <c r="F81" s="32">
        <v>7501125132070</v>
      </c>
      <c r="G81" s="32"/>
      <c r="H81" s="32"/>
      <c r="I81" s="32"/>
      <c r="J81" s="32"/>
      <c r="K81" s="32"/>
      <c r="L81" s="32"/>
      <c r="M81" s="32"/>
      <c r="N81" s="32"/>
      <c r="O81" s="32"/>
    </row>
    <row r="82" spans="1:26" ht="30">
      <c r="A82" s="73" t="s">
        <v>79</v>
      </c>
      <c r="B82" s="32">
        <v>6</v>
      </c>
      <c r="C82" s="89">
        <v>0</v>
      </c>
      <c r="D82" s="89" t="s">
        <v>80</v>
      </c>
      <c r="E82" s="73" t="s">
        <v>81</v>
      </c>
      <c r="F82" s="321">
        <v>7705366100014</v>
      </c>
    </row>
    <row r="83" spans="1:26" s="370" customFormat="1"/>
    <row r="84" spans="1:26" ht="30">
      <c r="A84" s="383" t="s">
        <v>125</v>
      </c>
      <c r="B84" s="384">
        <v>6</v>
      </c>
      <c r="C84" s="385">
        <v>0</v>
      </c>
      <c r="D84" s="384" t="s">
        <v>126</v>
      </c>
      <c r="E84" s="383" t="s">
        <v>127</v>
      </c>
      <c r="F84" s="384">
        <v>7702870071526</v>
      </c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</row>
    <row r="85" spans="1:26" ht="30">
      <c r="A85" s="383" t="s">
        <v>125</v>
      </c>
      <c r="B85" s="384">
        <v>6</v>
      </c>
      <c r="C85" s="385">
        <v>0</v>
      </c>
      <c r="D85" s="384" t="s">
        <v>126</v>
      </c>
      <c r="E85" s="383" t="s">
        <v>127</v>
      </c>
      <c r="F85" s="384">
        <v>7702870071526</v>
      </c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</row>
    <row r="86" spans="1:26">
      <c r="A86" s="370"/>
      <c r="B86" s="370"/>
      <c r="C86" s="370"/>
      <c r="D86" s="370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30">
      <c r="A87" s="384" t="s">
        <v>529</v>
      </c>
      <c r="B87" s="384">
        <v>8</v>
      </c>
      <c r="C87" s="384">
        <v>0</v>
      </c>
      <c r="D87" s="384" t="s">
        <v>530</v>
      </c>
      <c r="E87" s="383" t="s">
        <v>513</v>
      </c>
      <c r="F87" s="386">
        <v>7703040000000</v>
      </c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</row>
    <row r="88" spans="1:26">
      <c r="A88" s="384" t="s">
        <v>1712</v>
      </c>
      <c r="B88" s="384">
        <v>6</v>
      </c>
      <c r="C88" s="385">
        <v>0</v>
      </c>
      <c r="D88" s="384" t="s">
        <v>7</v>
      </c>
      <c r="E88" s="383" t="s">
        <v>1713</v>
      </c>
      <c r="F88" s="386">
        <v>7703040000000</v>
      </c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</row>
    <row r="89" spans="1:26">
      <c r="A89" s="117" t="s">
        <v>226</v>
      </c>
      <c r="B89" s="117">
        <v>8</v>
      </c>
      <c r="C89" s="345">
        <v>0</v>
      </c>
      <c r="D89" s="117" t="s">
        <v>227</v>
      </c>
      <c r="E89" s="117" t="s">
        <v>228</v>
      </c>
      <c r="F89" s="117">
        <v>7703038067023</v>
      </c>
    </row>
    <row r="90" spans="1:26" ht="30">
      <c r="A90" s="117" t="s">
        <v>202</v>
      </c>
      <c r="B90" s="117">
        <v>3</v>
      </c>
      <c r="C90" s="117">
        <v>0</v>
      </c>
      <c r="D90" s="117" t="s">
        <v>203</v>
      </c>
      <c r="E90" s="112" t="s">
        <v>204</v>
      </c>
      <c r="F90" s="117">
        <v>7702184010457</v>
      </c>
    </row>
    <row r="91" spans="1:26">
      <c r="A91" s="74" t="s">
        <v>93</v>
      </c>
      <c r="B91" s="74">
        <v>1</v>
      </c>
      <c r="C91" s="75">
        <v>0</v>
      </c>
      <c r="D91" s="336" t="s">
        <v>94</v>
      </c>
      <c r="E91" s="74" t="s">
        <v>95</v>
      </c>
      <c r="F91" s="378">
        <v>7702184011430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spans="1:26">
      <c r="A92" s="74" t="s">
        <v>93</v>
      </c>
      <c r="B92" s="74">
        <v>1</v>
      </c>
      <c r="C92" s="75">
        <v>0</v>
      </c>
      <c r="D92" s="336" t="s">
        <v>94</v>
      </c>
      <c r="E92" s="74" t="s">
        <v>95</v>
      </c>
      <c r="F92" s="378">
        <v>7702184011430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spans="1:26">
      <c r="A93" s="384" t="s">
        <v>2021</v>
      </c>
      <c r="B93" s="384">
        <v>3</v>
      </c>
      <c r="C93" s="384">
        <v>0</v>
      </c>
      <c r="D93" s="384" t="s">
        <v>2022</v>
      </c>
      <c r="E93" s="384" t="s">
        <v>2023</v>
      </c>
      <c r="F93" s="386">
        <v>7709800000000</v>
      </c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</row>
    <row r="94" spans="1:26">
      <c r="A94" s="112" t="s">
        <v>1581</v>
      </c>
      <c r="B94" s="117">
        <v>1</v>
      </c>
      <c r="C94" s="345">
        <v>0</v>
      </c>
      <c r="D94" s="116" t="s">
        <v>1582</v>
      </c>
      <c r="E94" s="117" t="s">
        <v>1583</v>
      </c>
      <c r="F94" s="117">
        <v>751273765119</v>
      </c>
    </row>
    <row r="95" spans="1:26">
      <c r="A95" s="384" t="s">
        <v>2024</v>
      </c>
      <c r="B95" s="383">
        <v>1</v>
      </c>
      <c r="C95" s="387">
        <v>0</v>
      </c>
      <c r="D95" s="384" t="s">
        <v>2025</v>
      </c>
      <c r="E95" s="383" t="s">
        <v>2026</v>
      </c>
      <c r="F95" s="388">
        <v>7705960000000</v>
      </c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</row>
    <row r="96" spans="1:26">
      <c r="A96" s="383" t="s">
        <v>846</v>
      </c>
      <c r="B96" s="384">
        <v>1</v>
      </c>
      <c r="C96" s="385">
        <v>0</v>
      </c>
      <c r="D96" s="384" t="s">
        <v>847</v>
      </c>
      <c r="E96" s="384" t="s">
        <v>848</v>
      </c>
      <c r="F96" s="386">
        <v>7702870000000</v>
      </c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</row>
    <row r="97" spans="1:26">
      <c r="A97" s="383" t="s">
        <v>846</v>
      </c>
      <c r="B97" s="384">
        <v>1</v>
      </c>
      <c r="C97" s="385">
        <v>0</v>
      </c>
      <c r="D97" s="384" t="s">
        <v>847</v>
      </c>
      <c r="E97" s="384" t="s">
        <v>848</v>
      </c>
      <c r="F97" s="386">
        <v>7702870000000</v>
      </c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</row>
    <row r="98" spans="1:26">
      <c r="A98" s="383" t="s">
        <v>566</v>
      </c>
      <c r="B98" s="384">
        <v>1</v>
      </c>
      <c r="C98" s="385">
        <v>0</v>
      </c>
      <c r="D98" s="384" t="s">
        <v>567</v>
      </c>
      <c r="E98" s="384"/>
      <c r="F98" s="386">
        <v>7702060000000</v>
      </c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</row>
    <row r="99" spans="1:26" ht="30">
      <c r="A99" s="384" t="s">
        <v>1701</v>
      </c>
      <c r="B99" s="384">
        <v>1</v>
      </c>
      <c r="C99" s="385">
        <v>0</v>
      </c>
      <c r="D99" s="384" t="s">
        <v>427</v>
      </c>
      <c r="E99" s="383" t="s">
        <v>1702</v>
      </c>
      <c r="F99" s="386">
        <v>7707040000000</v>
      </c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</row>
    <row r="100" spans="1:26" ht="30">
      <c r="A100" s="32" t="s">
        <v>347</v>
      </c>
      <c r="B100" s="32">
        <v>2</v>
      </c>
      <c r="C100" s="72">
        <v>0</v>
      </c>
      <c r="D100" s="32" t="s">
        <v>348</v>
      </c>
      <c r="E100" s="73" t="s">
        <v>349</v>
      </c>
      <c r="F100" s="32">
        <v>650240029141</v>
      </c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26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>
      <c r="A102" s="76" t="s">
        <v>439</v>
      </c>
      <c r="B102" s="74">
        <v>4</v>
      </c>
      <c r="C102" s="352">
        <v>0</v>
      </c>
      <c r="D102" s="352" t="s">
        <v>80</v>
      </c>
      <c r="E102" s="74" t="s">
        <v>332</v>
      </c>
      <c r="F102" s="74">
        <v>7705451000069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>
      <c r="A103" s="383" t="s">
        <v>669</v>
      </c>
      <c r="B103" s="383">
        <v>5</v>
      </c>
      <c r="C103" s="389">
        <v>0</v>
      </c>
      <c r="D103" s="390" t="s">
        <v>232</v>
      </c>
      <c r="E103" s="383" t="s">
        <v>670</v>
      </c>
      <c r="F103" s="383">
        <v>7703153022402</v>
      </c>
      <c r="G103" s="383"/>
      <c r="H103" s="383"/>
      <c r="I103" s="383"/>
      <c r="J103" s="383"/>
      <c r="K103" s="383"/>
      <c r="L103" s="383"/>
      <c r="M103" s="383"/>
      <c r="N103" s="383"/>
      <c r="O103" s="383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</row>
    <row r="104" spans="1:26" ht="30">
      <c r="A104" s="383" t="s">
        <v>125</v>
      </c>
      <c r="B104" s="384">
        <v>1</v>
      </c>
      <c r="C104" s="385">
        <v>0</v>
      </c>
      <c r="D104" s="384" t="s">
        <v>126</v>
      </c>
      <c r="E104" s="383" t="s">
        <v>127</v>
      </c>
      <c r="F104" s="384">
        <v>7702870071526</v>
      </c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</row>
    <row r="105" spans="1:26">
      <c r="A105" s="73" t="s">
        <v>2027</v>
      </c>
      <c r="B105" s="73">
        <v>1</v>
      </c>
      <c r="C105" s="391">
        <v>0</v>
      </c>
      <c r="D105" s="90" t="s">
        <v>1240</v>
      </c>
      <c r="E105" s="73" t="s">
        <v>11</v>
      </c>
      <c r="F105" s="73">
        <v>7702870002766</v>
      </c>
      <c r="G105" s="74"/>
      <c r="H105" s="74"/>
      <c r="I105" s="74"/>
      <c r="J105" s="74"/>
      <c r="K105" s="74"/>
      <c r="L105" s="74"/>
      <c r="M105" s="74"/>
      <c r="N105" s="74"/>
      <c r="O105" s="74"/>
    </row>
    <row r="106" spans="1:26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>
      <c r="A107" s="73" t="s">
        <v>536</v>
      </c>
      <c r="B107" s="32">
        <v>3</v>
      </c>
      <c r="C107" s="72">
        <v>0</v>
      </c>
      <c r="D107" s="32" t="s">
        <v>2028</v>
      </c>
      <c r="E107" s="73" t="s">
        <v>537</v>
      </c>
      <c r="F107" s="371">
        <v>7703153016050</v>
      </c>
      <c r="G107" s="74"/>
    </row>
    <row r="108" spans="1:26">
      <c r="A108" s="384" t="s">
        <v>2029</v>
      </c>
      <c r="B108" s="384">
        <v>1</v>
      </c>
      <c r="C108" s="385">
        <v>0</v>
      </c>
      <c r="D108" s="384" t="s">
        <v>674</v>
      </c>
      <c r="E108" s="383" t="s">
        <v>2026</v>
      </c>
      <c r="F108" s="386">
        <v>7705960000000</v>
      </c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</row>
    <row r="109" spans="1:26">
      <c r="A109" s="384" t="s">
        <v>852</v>
      </c>
      <c r="B109" s="384">
        <v>2</v>
      </c>
      <c r="C109" s="385">
        <v>0</v>
      </c>
      <c r="D109" s="384" t="s">
        <v>853</v>
      </c>
      <c r="E109" s="383" t="s">
        <v>854</v>
      </c>
      <c r="F109" s="384">
        <v>7703153024796</v>
      </c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</row>
    <row r="110" spans="1:26" ht="30">
      <c r="A110" s="32" t="s">
        <v>175</v>
      </c>
      <c r="B110" s="32">
        <v>4</v>
      </c>
      <c r="C110" s="72">
        <v>0</v>
      </c>
      <c r="D110" s="72" t="s">
        <v>38</v>
      </c>
      <c r="E110" s="76" t="s">
        <v>121</v>
      </c>
      <c r="F110" s="321">
        <v>7501125176470</v>
      </c>
    </row>
    <row r="111" spans="1:26" ht="30">
      <c r="A111" s="32" t="s">
        <v>120</v>
      </c>
      <c r="B111" s="32">
        <v>4</v>
      </c>
      <c r="C111" s="72">
        <v>0</v>
      </c>
      <c r="D111" s="72" t="s">
        <v>38</v>
      </c>
      <c r="E111" s="73" t="s">
        <v>121</v>
      </c>
      <c r="F111" s="32">
        <v>7501125176548</v>
      </c>
    </row>
    <row r="112" spans="1:26" ht="30">
      <c r="A112" s="384" t="s">
        <v>763</v>
      </c>
      <c r="B112" s="384">
        <v>4</v>
      </c>
      <c r="C112" s="385">
        <v>0</v>
      </c>
      <c r="D112" s="384" t="s">
        <v>38</v>
      </c>
      <c r="E112" s="383" t="s">
        <v>121</v>
      </c>
      <c r="F112" s="384">
        <v>7501125176494</v>
      </c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</row>
    <row r="113" spans="1:26" ht="30">
      <c r="A113" s="384" t="s">
        <v>254</v>
      </c>
      <c r="B113" s="384">
        <v>2</v>
      </c>
      <c r="C113" s="385">
        <v>0</v>
      </c>
      <c r="D113" s="384" t="s">
        <v>38</v>
      </c>
      <c r="E113" s="383" t="s">
        <v>255</v>
      </c>
      <c r="F113" s="384">
        <v>7501125176531</v>
      </c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</row>
    <row r="114" spans="1:26" ht="30">
      <c r="A114" s="384" t="s">
        <v>765</v>
      </c>
      <c r="B114" s="384">
        <v>4</v>
      </c>
      <c r="C114" s="384">
        <v>0</v>
      </c>
      <c r="D114" s="384" t="s">
        <v>38</v>
      </c>
      <c r="E114" s="383" t="s">
        <v>255</v>
      </c>
      <c r="F114" s="386">
        <v>7501130000000</v>
      </c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</row>
    <row r="115" spans="1:26" ht="30">
      <c r="A115" s="384" t="s">
        <v>2030</v>
      </c>
      <c r="B115" s="384">
        <v>4</v>
      </c>
      <c r="C115" s="384">
        <v>0</v>
      </c>
      <c r="D115" s="384" t="s">
        <v>38</v>
      </c>
      <c r="E115" s="383" t="s">
        <v>121</v>
      </c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</row>
    <row r="116" spans="1:26" ht="30">
      <c r="A116" s="384" t="s">
        <v>761</v>
      </c>
      <c r="B116" s="384">
        <v>4</v>
      </c>
      <c r="C116" s="385">
        <v>0</v>
      </c>
      <c r="D116" s="384" t="s">
        <v>38</v>
      </c>
      <c r="E116" s="383" t="s">
        <v>121</v>
      </c>
      <c r="F116" s="386">
        <v>7501130000000</v>
      </c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</row>
    <row r="117" spans="1:26" ht="30">
      <c r="A117" s="384" t="s">
        <v>766</v>
      </c>
      <c r="B117" s="384">
        <v>4</v>
      </c>
      <c r="C117" s="385">
        <v>0</v>
      </c>
      <c r="D117" s="384" t="s">
        <v>38</v>
      </c>
      <c r="E117" s="383" t="s">
        <v>121</v>
      </c>
      <c r="F117" s="386">
        <v>7501130000000</v>
      </c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</row>
    <row r="118" spans="1:26" ht="30">
      <c r="A118" s="384" t="s">
        <v>762</v>
      </c>
      <c r="B118" s="384">
        <v>4</v>
      </c>
      <c r="C118" s="385">
        <v>0</v>
      </c>
      <c r="D118" s="384" t="s">
        <v>38</v>
      </c>
      <c r="E118" s="383" t="s">
        <v>121</v>
      </c>
      <c r="F118" s="384">
        <v>7501125184864</v>
      </c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</row>
    <row r="119" spans="1:26" ht="30">
      <c r="A119" s="383" t="s">
        <v>668</v>
      </c>
      <c r="B119" s="384">
        <v>4</v>
      </c>
      <c r="C119" s="385">
        <v>0</v>
      </c>
      <c r="D119" s="384" t="s">
        <v>318</v>
      </c>
      <c r="E119" s="383" t="s">
        <v>121</v>
      </c>
      <c r="F119" s="386">
        <v>7501130000000</v>
      </c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</row>
    <row r="120" spans="1:26">
      <c r="A120" s="370"/>
      <c r="B120" s="370"/>
      <c r="C120" s="370"/>
      <c r="D120" s="370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>
      <c r="A121" s="117" t="s">
        <v>284</v>
      </c>
      <c r="B121" s="117">
        <v>5</v>
      </c>
      <c r="C121" s="117">
        <v>0</v>
      </c>
      <c r="D121" s="117" t="s">
        <v>2031</v>
      </c>
      <c r="E121" s="117" t="s">
        <v>286</v>
      </c>
      <c r="F121" s="117">
        <v>7702605106523</v>
      </c>
    </row>
    <row r="122" spans="1:26">
      <c r="A122" s="73" t="s">
        <v>2032</v>
      </c>
      <c r="B122" s="32">
        <v>2</v>
      </c>
      <c r="C122" s="72">
        <v>0</v>
      </c>
      <c r="D122" s="81" t="s">
        <v>133</v>
      </c>
      <c r="E122" s="32" t="s">
        <v>2033</v>
      </c>
      <c r="F122" s="32">
        <v>7702057070229</v>
      </c>
    </row>
    <row r="123" spans="1:26">
      <c r="A123" s="112" t="s">
        <v>731</v>
      </c>
      <c r="B123" s="117">
        <v>1</v>
      </c>
      <c r="C123" s="345">
        <v>0</v>
      </c>
      <c r="D123" s="119" t="s">
        <v>59</v>
      </c>
      <c r="E123" s="112" t="s">
        <v>60</v>
      </c>
      <c r="F123" s="392">
        <v>7706127006361</v>
      </c>
      <c r="G123" s="392">
        <v>7706263200630</v>
      </c>
    </row>
    <row r="124" spans="1:26" ht="30">
      <c r="A124" s="73" t="s">
        <v>325</v>
      </c>
      <c r="B124" s="32">
        <v>4</v>
      </c>
      <c r="C124" s="72">
        <v>0</v>
      </c>
      <c r="D124" s="32" t="s">
        <v>26</v>
      </c>
      <c r="E124" s="73" t="s">
        <v>326</v>
      </c>
      <c r="F124" s="379">
        <v>7702057012007</v>
      </c>
    </row>
    <row r="125" spans="1:26">
      <c r="A125" s="370"/>
      <c r="B125" s="370"/>
      <c r="C125" s="370"/>
      <c r="D125" s="370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>
      <c r="A126" s="117" t="s">
        <v>2034</v>
      </c>
      <c r="B126" s="117">
        <v>2</v>
      </c>
      <c r="C126" s="345">
        <v>0</v>
      </c>
      <c r="D126" s="119" t="s">
        <v>100</v>
      </c>
      <c r="E126" s="112" t="s">
        <v>2035</v>
      </c>
      <c r="F126" s="117">
        <v>7706569021762</v>
      </c>
    </row>
    <row r="127" spans="1:26" ht="30">
      <c r="A127" s="73" t="s">
        <v>1677</v>
      </c>
      <c r="B127" s="32">
        <v>2</v>
      </c>
      <c r="C127" s="72">
        <v>0</v>
      </c>
      <c r="D127" s="83" t="s">
        <v>85</v>
      </c>
      <c r="E127" s="73" t="s">
        <v>1678</v>
      </c>
      <c r="F127" s="371">
        <v>7707184161420</v>
      </c>
    </row>
    <row r="128" spans="1:26">
      <c r="A128" s="152" t="s">
        <v>1188</v>
      </c>
      <c r="B128" s="96">
        <v>1</v>
      </c>
      <c r="C128" s="97">
        <v>0</v>
      </c>
      <c r="D128" s="96" t="s">
        <v>38</v>
      </c>
      <c r="E128" s="152" t="s">
        <v>1189</v>
      </c>
      <c r="F128" s="96">
        <v>7702207188620</v>
      </c>
    </row>
    <row r="129" spans="1:26">
      <c r="A129" s="370"/>
      <c r="B129" s="370"/>
      <c r="C129" s="370"/>
      <c r="D129" s="370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>
      <c r="A130" s="117" t="s">
        <v>45</v>
      </c>
      <c r="B130" s="117">
        <v>2</v>
      </c>
      <c r="C130" s="345">
        <v>0</v>
      </c>
      <c r="D130" s="117" t="s">
        <v>1708</v>
      </c>
      <c r="E130" s="112" t="s">
        <v>48</v>
      </c>
      <c r="F130" s="117">
        <v>7704412080607</v>
      </c>
    </row>
    <row r="131" spans="1:26" ht="30">
      <c r="A131" s="32" t="s">
        <v>1850</v>
      </c>
      <c r="B131" s="32">
        <v>6</v>
      </c>
      <c r="C131" s="89">
        <v>0</v>
      </c>
      <c r="D131" s="90" t="s">
        <v>10</v>
      </c>
      <c r="E131" s="73" t="s">
        <v>1851</v>
      </c>
      <c r="F131" s="32">
        <v>7703038859246</v>
      </c>
    </row>
    <row r="132" spans="1:26" ht="45">
      <c r="A132" s="112" t="s">
        <v>211</v>
      </c>
      <c r="B132" s="112">
        <v>6</v>
      </c>
      <c r="C132" s="350">
        <v>0</v>
      </c>
      <c r="D132" s="374" t="s">
        <v>109</v>
      </c>
      <c r="E132" s="112" t="s">
        <v>212</v>
      </c>
      <c r="F132" s="112">
        <v>7703038878728</v>
      </c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spans="1:26" ht="30">
      <c r="A133" s="32" t="s">
        <v>1252</v>
      </c>
      <c r="B133" s="32">
        <v>3</v>
      </c>
      <c r="C133" s="72">
        <v>0</v>
      </c>
      <c r="D133" s="32" t="s">
        <v>88</v>
      </c>
      <c r="E133" s="73" t="s">
        <v>1253</v>
      </c>
      <c r="F133" s="32">
        <v>7441026003348</v>
      </c>
      <c r="G133" s="74"/>
    </row>
    <row r="134" spans="1:26">
      <c r="A134" s="112" t="s">
        <v>1095</v>
      </c>
      <c r="B134" s="117">
        <v>1</v>
      </c>
      <c r="C134" s="117">
        <v>0</v>
      </c>
      <c r="D134" s="119" t="s">
        <v>625</v>
      </c>
      <c r="E134" s="112" t="s">
        <v>1096</v>
      </c>
      <c r="F134" s="376">
        <v>7707204490097</v>
      </c>
    </row>
    <row r="135" spans="1:26">
      <c r="A135" s="76" t="s">
        <v>2036</v>
      </c>
      <c r="B135" s="74">
        <v>2</v>
      </c>
      <c r="C135" s="75">
        <v>0.19</v>
      </c>
      <c r="D135" s="91" t="s">
        <v>310</v>
      </c>
      <c r="E135" s="76" t="s">
        <v>2037</v>
      </c>
      <c r="F135" s="372">
        <v>7707688777462</v>
      </c>
      <c r="G135" s="74"/>
      <c r="H135" s="74"/>
      <c r="I135" s="74"/>
      <c r="J135" s="74"/>
      <c r="K135" s="74"/>
      <c r="L135" s="74"/>
      <c r="M135" s="74"/>
      <c r="N135" s="74"/>
      <c r="O135" s="74"/>
    </row>
    <row r="136" spans="1:26">
      <c r="A136" s="117" t="s">
        <v>2038</v>
      </c>
      <c r="B136" s="117">
        <v>1</v>
      </c>
      <c r="C136" s="117">
        <v>0</v>
      </c>
      <c r="D136" s="117" t="s">
        <v>2039</v>
      </c>
      <c r="E136" s="117" t="s">
        <v>2040</v>
      </c>
      <c r="F136" s="117">
        <v>7702605109173</v>
      </c>
    </row>
    <row r="137" spans="1:26">
      <c r="A137" s="73" t="s">
        <v>2041</v>
      </c>
      <c r="B137" s="32">
        <v>3</v>
      </c>
      <c r="C137" s="89">
        <v>0.19</v>
      </c>
      <c r="D137" s="89" t="s">
        <v>2042</v>
      </c>
      <c r="E137" s="32" t="s">
        <v>2043</v>
      </c>
      <c r="F137" s="32">
        <v>7707353307284</v>
      </c>
    </row>
    <row r="138" spans="1:26" ht="30">
      <c r="A138" s="73" t="s">
        <v>1118</v>
      </c>
      <c r="B138" s="32">
        <v>2</v>
      </c>
      <c r="C138" s="72">
        <v>0</v>
      </c>
      <c r="D138" s="72" t="s">
        <v>676</v>
      </c>
      <c r="E138" s="73" t="s">
        <v>1119</v>
      </c>
      <c r="F138" s="32">
        <v>7500435107013</v>
      </c>
    </row>
    <row r="139" spans="1:26" ht="30">
      <c r="A139" s="117" t="s">
        <v>2044</v>
      </c>
      <c r="B139" s="117">
        <v>2</v>
      </c>
      <c r="C139" s="345">
        <v>0</v>
      </c>
      <c r="D139" s="117" t="s">
        <v>2045</v>
      </c>
      <c r="E139" s="112" t="s">
        <v>2046</v>
      </c>
      <c r="F139" s="117">
        <v>650240057441</v>
      </c>
    </row>
    <row r="140" spans="1:26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>
      <c r="A141" s="76" t="s">
        <v>1757</v>
      </c>
      <c r="B141" s="74">
        <v>1</v>
      </c>
      <c r="C141" s="75">
        <v>0.19</v>
      </c>
      <c r="D141" s="75" t="s">
        <v>118</v>
      </c>
      <c r="E141" s="74" t="s">
        <v>1758</v>
      </c>
      <c r="F141" s="378">
        <v>7705471100046</v>
      </c>
    </row>
    <row r="142" spans="1:26">
      <c r="A142" s="76" t="s">
        <v>368</v>
      </c>
      <c r="B142" s="74">
        <v>2</v>
      </c>
      <c r="C142" s="75">
        <v>0</v>
      </c>
      <c r="D142" s="336" t="s">
        <v>471</v>
      </c>
      <c r="E142" s="74" t="s">
        <v>369</v>
      </c>
      <c r="F142" s="378">
        <v>7703712032002</v>
      </c>
    </row>
    <row r="143" spans="1:26">
      <c r="A143" s="73" t="s">
        <v>2047</v>
      </c>
      <c r="B143" s="32">
        <v>1</v>
      </c>
      <c r="C143" s="32">
        <v>0</v>
      </c>
      <c r="D143" s="83" t="s">
        <v>2048</v>
      </c>
      <c r="E143" s="73" t="s">
        <v>63</v>
      </c>
      <c r="F143" s="321">
        <v>7703763997664</v>
      </c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6">
      <c r="A144" s="117" t="s">
        <v>568</v>
      </c>
      <c r="B144" s="117">
        <v>1</v>
      </c>
      <c r="C144" s="345">
        <v>0</v>
      </c>
      <c r="D144" s="345" t="s">
        <v>569</v>
      </c>
      <c r="E144" s="117" t="s">
        <v>570</v>
      </c>
      <c r="F144" s="117">
        <v>751273778140</v>
      </c>
    </row>
    <row r="145" spans="1:26">
      <c r="A145" s="117" t="s">
        <v>1417</v>
      </c>
      <c r="B145" s="117">
        <v>2</v>
      </c>
      <c r="C145" s="345">
        <v>0</v>
      </c>
      <c r="D145" s="117" t="s">
        <v>29</v>
      </c>
      <c r="E145" s="117" t="s">
        <v>827</v>
      </c>
      <c r="F145" s="117">
        <v>7702184010754</v>
      </c>
    </row>
    <row r="146" spans="1:26">
      <c r="A146" s="76" t="s">
        <v>566</v>
      </c>
      <c r="B146" s="74">
        <v>2</v>
      </c>
      <c r="C146" s="75">
        <v>0</v>
      </c>
      <c r="D146" s="74" t="s">
        <v>567</v>
      </c>
      <c r="E146" s="74"/>
      <c r="F146" s="74">
        <v>7702057070205</v>
      </c>
      <c r="G146" s="74"/>
      <c r="H146" s="74"/>
      <c r="I146" s="74"/>
      <c r="J146" s="74"/>
      <c r="K146" s="74"/>
      <c r="L146" s="74"/>
      <c r="M146" s="74"/>
      <c r="N146" s="74"/>
      <c r="O146" s="74"/>
    </row>
    <row r="147" spans="1:26">
      <c r="A147" s="76" t="s">
        <v>19</v>
      </c>
      <c r="B147" s="76">
        <v>2</v>
      </c>
      <c r="C147" s="393">
        <v>0</v>
      </c>
      <c r="D147" s="91" t="s">
        <v>20</v>
      </c>
      <c r="E147" s="76" t="s">
        <v>21</v>
      </c>
      <c r="F147" s="353">
        <v>7703038328797</v>
      </c>
    </row>
    <row r="148" spans="1:26">
      <c r="A148" s="112" t="s">
        <v>2049</v>
      </c>
      <c r="B148" s="117">
        <v>8</v>
      </c>
      <c r="C148" s="345">
        <v>0</v>
      </c>
      <c r="D148" s="116" t="s">
        <v>23</v>
      </c>
      <c r="E148" s="117" t="s">
        <v>2050</v>
      </c>
      <c r="F148" s="117">
        <v>7709990374902</v>
      </c>
    </row>
    <row r="149" spans="1:26" ht="30">
      <c r="A149" s="117" t="s">
        <v>2051</v>
      </c>
      <c r="B149" s="117">
        <v>1</v>
      </c>
      <c r="C149" s="345">
        <v>0</v>
      </c>
      <c r="D149" s="117" t="s">
        <v>26</v>
      </c>
      <c r="E149" s="112" t="s">
        <v>194</v>
      </c>
      <c r="F149" s="376">
        <v>7707355052656</v>
      </c>
    </row>
    <row r="150" spans="1:26" ht="30">
      <c r="A150" s="117" t="s">
        <v>2051</v>
      </c>
      <c r="B150" s="117">
        <v>1</v>
      </c>
      <c r="C150" s="345">
        <v>0</v>
      </c>
      <c r="D150" s="117" t="s">
        <v>310</v>
      </c>
      <c r="E150" s="112" t="s">
        <v>194</v>
      </c>
      <c r="F150" s="376">
        <v>7707355052656</v>
      </c>
    </row>
    <row r="151" spans="1:26">
      <c r="A151" s="76" t="s">
        <v>1017</v>
      </c>
      <c r="B151" s="74">
        <v>3</v>
      </c>
      <c r="C151" s="75">
        <v>0</v>
      </c>
      <c r="D151" s="336" t="s">
        <v>1018</v>
      </c>
      <c r="E151" s="74" t="s">
        <v>75</v>
      </c>
      <c r="F151" s="378">
        <v>7707067620655</v>
      </c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spans="1:26" ht="30">
      <c r="A152" s="76" t="s">
        <v>1091</v>
      </c>
      <c r="B152" s="74">
        <v>2</v>
      </c>
      <c r="C152" s="352">
        <v>0</v>
      </c>
      <c r="D152" s="336" t="s">
        <v>103</v>
      </c>
      <c r="E152" s="76" t="s">
        <v>1092</v>
      </c>
      <c r="F152" s="74">
        <v>7703763750115</v>
      </c>
    </row>
    <row r="153" spans="1:26" ht="30">
      <c r="A153" s="76" t="s">
        <v>1091</v>
      </c>
      <c r="B153" s="74">
        <v>1</v>
      </c>
      <c r="C153" s="352">
        <v>0</v>
      </c>
      <c r="D153" s="336" t="s">
        <v>103</v>
      </c>
      <c r="E153" s="76" t="s">
        <v>1092</v>
      </c>
      <c r="F153" s="74">
        <v>7703763750115</v>
      </c>
    </row>
    <row r="154" spans="1:26">
      <c r="A154" s="370"/>
      <c r="B154" s="370"/>
      <c r="C154" s="370"/>
      <c r="D154" s="370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>
      <c r="A155" s="76" t="s">
        <v>1591</v>
      </c>
      <c r="B155" s="74">
        <v>4</v>
      </c>
      <c r="C155" s="354">
        <v>0.19</v>
      </c>
      <c r="D155" s="394" t="s">
        <v>118</v>
      </c>
      <c r="E155" s="74" t="s">
        <v>1401</v>
      </c>
      <c r="F155" s="378">
        <v>7707271201237</v>
      </c>
    </row>
    <row r="156" spans="1:26" ht="30">
      <c r="A156" s="112" t="s">
        <v>738</v>
      </c>
      <c r="B156" s="117">
        <v>1</v>
      </c>
      <c r="C156" s="117">
        <v>0</v>
      </c>
      <c r="D156" s="117" t="s">
        <v>74</v>
      </c>
      <c r="E156" s="112" t="s">
        <v>18</v>
      </c>
    </row>
    <row r="157" spans="1:26" ht="30">
      <c r="A157" s="112" t="s">
        <v>738</v>
      </c>
      <c r="B157" s="117">
        <v>2</v>
      </c>
      <c r="C157" s="117">
        <v>0</v>
      </c>
      <c r="D157" s="117" t="s">
        <v>74</v>
      </c>
      <c r="E157" s="112" t="s">
        <v>18</v>
      </c>
    </row>
    <row r="158" spans="1:26" ht="30">
      <c r="A158" s="73" t="s">
        <v>84</v>
      </c>
      <c r="B158" s="32">
        <v>6</v>
      </c>
      <c r="C158" s="72">
        <v>0</v>
      </c>
      <c r="D158" s="83" t="s">
        <v>85</v>
      </c>
      <c r="E158" s="73" t="s">
        <v>86</v>
      </c>
      <c r="F158" s="321">
        <v>7709990383621</v>
      </c>
    </row>
    <row r="159" spans="1:26" ht="30">
      <c r="A159" s="117" t="s">
        <v>2052</v>
      </c>
      <c r="B159" s="117">
        <v>4</v>
      </c>
      <c r="C159" s="117">
        <v>0</v>
      </c>
      <c r="D159" s="117" t="s">
        <v>7</v>
      </c>
      <c r="E159" s="112" t="s">
        <v>1069</v>
      </c>
      <c r="F159" s="117">
        <v>7704412260504</v>
      </c>
    </row>
    <row r="160" spans="1:26">
      <c r="A160" s="370"/>
      <c r="B160" s="370"/>
      <c r="C160" s="370"/>
      <c r="D160" s="370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30">
      <c r="A161" s="117" t="s">
        <v>16</v>
      </c>
      <c r="B161" s="117">
        <v>8</v>
      </c>
      <c r="C161" s="117">
        <v>0</v>
      </c>
      <c r="D161" s="117" t="s">
        <v>74</v>
      </c>
      <c r="E161" s="112" t="s">
        <v>18</v>
      </c>
      <c r="F161" s="117">
        <v>7707355058313</v>
      </c>
    </row>
    <row r="162" spans="1:26" ht="30">
      <c r="A162" s="117" t="s">
        <v>16</v>
      </c>
      <c r="B162" s="117">
        <v>4</v>
      </c>
      <c r="C162" s="117">
        <v>0</v>
      </c>
      <c r="D162" s="117" t="s">
        <v>74</v>
      </c>
      <c r="E162" s="112" t="s">
        <v>18</v>
      </c>
      <c r="F162" s="117">
        <v>7707355058313</v>
      </c>
    </row>
    <row r="163" spans="1:26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30">
      <c r="A164" s="117" t="s">
        <v>1056</v>
      </c>
      <c r="B164" s="117">
        <v>6</v>
      </c>
      <c r="C164" s="117">
        <v>0</v>
      </c>
      <c r="D164" s="117" t="s">
        <v>527</v>
      </c>
      <c r="E164" s="112" t="s">
        <v>1057</v>
      </c>
      <c r="F164" s="117">
        <v>8903726354094</v>
      </c>
    </row>
    <row r="165" spans="1:26">
      <c r="A165" s="370"/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30">
      <c r="A166" s="117" t="s">
        <v>2053</v>
      </c>
      <c r="B166" s="117">
        <v>1</v>
      </c>
      <c r="C166" s="345">
        <v>0</v>
      </c>
      <c r="D166" s="117" t="s">
        <v>2054</v>
      </c>
      <c r="E166" s="112" t="s">
        <v>107</v>
      </c>
      <c r="F166" s="117">
        <v>7702057711368</v>
      </c>
    </row>
    <row r="167" spans="1:26">
      <c r="A167" s="370"/>
      <c r="B167" s="370"/>
      <c r="C167" s="370"/>
      <c r="D167" s="370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30">
      <c r="A168" s="117" t="s">
        <v>1643</v>
      </c>
      <c r="B168" s="117">
        <v>24</v>
      </c>
      <c r="C168" s="117">
        <v>0</v>
      </c>
      <c r="D168" s="117" t="s">
        <v>293</v>
      </c>
      <c r="E168" s="112" t="s">
        <v>1644</v>
      </c>
      <c r="F168" s="117">
        <v>7702098031340</v>
      </c>
    </row>
    <row r="169" spans="1:26" ht="30">
      <c r="A169" s="117" t="s">
        <v>2055</v>
      </c>
      <c r="B169" s="117">
        <v>2</v>
      </c>
      <c r="C169" s="345">
        <v>0.19</v>
      </c>
      <c r="D169" s="117" t="s">
        <v>118</v>
      </c>
      <c r="E169" s="112" t="s">
        <v>2056</v>
      </c>
      <c r="F169" s="117">
        <v>7707244410420</v>
      </c>
    </row>
    <row r="170" spans="1:26" ht="30">
      <c r="A170" s="117" t="s">
        <v>1650</v>
      </c>
      <c r="B170" s="117">
        <v>12</v>
      </c>
      <c r="C170" s="117">
        <v>0</v>
      </c>
      <c r="D170" s="117" t="s">
        <v>7</v>
      </c>
      <c r="E170" s="112" t="s">
        <v>1651</v>
      </c>
      <c r="F170" s="117">
        <v>7702098031296</v>
      </c>
    </row>
    <row r="171" spans="1:26" ht="30">
      <c r="A171" s="117" t="s">
        <v>1649</v>
      </c>
      <c r="B171" s="117">
        <v>6</v>
      </c>
      <c r="C171" s="117">
        <v>0</v>
      </c>
      <c r="D171" s="117" t="s">
        <v>85</v>
      </c>
      <c r="E171" s="112" t="s">
        <v>1646</v>
      </c>
      <c r="F171" s="117">
        <v>2000104014826</v>
      </c>
    </row>
    <row r="172" spans="1:26" ht="30">
      <c r="A172" s="117" t="s">
        <v>1645</v>
      </c>
      <c r="B172" s="117">
        <v>6</v>
      </c>
      <c r="C172" s="117">
        <v>0</v>
      </c>
      <c r="D172" s="117" t="s">
        <v>85</v>
      </c>
      <c r="E172" s="112" t="s">
        <v>1646</v>
      </c>
      <c r="F172" s="117">
        <v>70200534744</v>
      </c>
    </row>
    <row r="173" spans="1:26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30">
      <c r="A174" s="32" t="s">
        <v>1850</v>
      </c>
      <c r="B174" s="32">
        <v>6</v>
      </c>
      <c r="C174" s="89">
        <v>0</v>
      </c>
      <c r="D174" s="90" t="s">
        <v>10</v>
      </c>
      <c r="E174" s="73" t="s">
        <v>1851</v>
      </c>
      <c r="F174" s="32">
        <v>7703038859246</v>
      </c>
    </row>
    <row r="175" spans="1:26" ht="30">
      <c r="A175" s="117" t="s">
        <v>2057</v>
      </c>
      <c r="B175" s="117">
        <v>6</v>
      </c>
      <c r="C175" s="117">
        <v>0</v>
      </c>
      <c r="D175" s="117" t="s">
        <v>109</v>
      </c>
      <c r="E175" s="112" t="s">
        <v>513</v>
      </c>
      <c r="F175" s="117">
        <v>7703038808770</v>
      </c>
    </row>
    <row r="176" spans="1:26" ht="30">
      <c r="A176" s="112" t="s">
        <v>1991</v>
      </c>
      <c r="B176" s="117">
        <v>5</v>
      </c>
      <c r="C176" s="345">
        <v>0</v>
      </c>
      <c r="D176" s="117">
        <v>13000</v>
      </c>
      <c r="E176" s="112" t="s">
        <v>1992</v>
      </c>
      <c r="F176" s="376">
        <v>7709990202717</v>
      </c>
    </row>
    <row r="177" spans="1:28" ht="30">
      <c r="A177" s="112" t="s">
        <v>512</v>
      </c>
      <c r="B177" s="74">
        <v>4</v>
      </c>
      <c r="C177" s="75">
        <v>0</v>
      </c>
      <c r="D177" s="91" t="s">
        <v>74</v>
      </c>
      <c r="E177" s="76" t="s">
        <v>513</v>
      </c>
      <c r="F177" s="378">
        <v>7709990202793</v>
      </c>
    </row>
    <row r="178" spans="1:28">
      <c r="A178" s="74" t="s">
        <v>162</v>
      </c>
      <c r="B178" s="74">
        <v>10</v>
      </c>
      <c r="C178" s="75">
        <v>0</v>
      </c>
      <c r="D178" s="74" t="s">
        <v>109</v>
      </c>
      <c r="E178" s="74" t="s">
        <v>163</v>
      </c>
      <c r="F178" s="74">
        <v>7706569001184</v>
      </c>
    </row>
    <row r="179" spans="1:28">
      <c r="A179" s="76" t="s">
        <v>778</v>
      </c>
      <c r="B179" s="74">
        <v>1</v>
      </c>
      <c r="C179" s="75">
        <v>0</v>
      </c>
      <c r="D179" s="91" t="s">
        <v>238</v>
      </c>
      <c r="E179" s="74" t="s">
        <v>779</v>
      </c>
      <c r="F179" s="74">
        <v>7703038131663</v>
      </c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spans="1:28" ht="30">
      <c r="A180" s="74" t="s">
        <v>1230</v>
      </c>
      <c r="B180" s="74">
        <v>1</v>
      </c>
      <c r="C180" s="75">
        <v>0</v>
      </c>
      <c r="D180" s="74" t="s">
        <v>497</v>
      </c>
      <c r="E180" s="76" t="s">
        <v>1231</v>
      </c>
      <c r="F180" s="372">
        <v>7707232095608</v>
      </c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spans="1:28">
      <c r="A181" s="32" t="s">
        <v>169</v>
      </c>
      <c r="B181" s="32">
        <v>2</v>
      </c>
      <c r="C181" s="72">
        <v>0</v>
      </c>
      <c r="D181" s="32" t="s">
        <v>94</v>
      </c>
      <c r="E181" s="73" t="s">
        <v>171</v>
      </c>
      <c r="F181" s="32">
        <v>7709071926723</v>
      </c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28">
      <c r="A182" s="152" t="s">
        <v>2058</v>
      </c>
      <c r="B182" s="96">
        <v>10</v>
      </c>
      <c r="C182" s="96">
        <v>0</v>
      </c>
      <c r="D182" s="95" t="s">
        <v>103</v>
      </c>
      <c r="E182" s="152" t="s">
        <v>1519</v>
      </c>
      <c r="F182" s="369">
        <v>7702605102327</v>
      </c>
    </row>
    <row r="183" spans="1:28">
      <c r="A183" s="76" t="s">
        <v>817</v>
      </c>
      <c r="B183" s="74">
        <v>2</v>
      </c>
      <c r="C183" s="75">
        <v>0</v>
      </c>
      <c r="D183" s="74" t="s">
        <v>818</v>
      </c>
      <c r="E183" s="76" t="s">
        <v>428</v>
      </c>
      <c r="F183" s="74">
        <v>7703038050018</v>
      </c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spans="1:28">
      <c r="A184" s="32" t="s">
        <v>1047</v>
      </c>
      <c r="B184" s="32">
        <v>1</v>
      </c>
      <c r="C184" s="72">
        <v>0.19</v>
      </c>
      <c r="D184" s="32" t="s">
        <v>26</v>
      </c>
      <c r="E184" s="32" t="s">
        <v>1048</v>
      </c>
      <c r="F184" s="32">
        <v>7702057089290</v>
      </c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28">
      <c r="A185" s="32" t="s">
        <v>6</v>
      </c>
      <c r="B185" s="32">
        <v>6</v>
      </c>
      <c r="C185" s="72">
        <v>0</v>
      </c>
      <c r="D185" s="83" t="s">
        <v>7</v>
      </c>
      <c r="E185" s="73" t="s">
        <v>8</v>
      </c>
      <c r="F185" s="321">
        <v>7703038067269</v>
      </c>
    </row>
    <row r="186" spans="1:28">
      <c r="A186" s="32" t="s">
        <v>1874</v>
      </c>
      <c r="B186" s="32">
        <v>6</v>
      </c>
      <c r="C186" s="72">
        <v>0</v>
      </c>
      <c r="D186" s="32" t="s">
        <v>80</v>
      </c>
      <c r="E186" s="73" t="s">
        <v>8</v>
      </c>
      <c r="F186" s="321">
        <v>7703038065630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8">
      <c r="A187" s="370"/>
      <c r="B187" s="370"/>
      <c r="C187" s="370"/>
      <c r="D187" s="370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8">
      <c r="A188" s="76" t="s">
        <v>1580</v>
      </c>
      <c r="B188" s="74">
        <v>10</v>
      </c>
      <c r="C188" s="75">
        <v>0</v>
      </c>
      <c r="D188" s="75" t="s">
        <v>262</v>
      </c>
      <c r="E188" s="74" t="s">
        <v>1519</v>
      </c>
      <c r="F188" s="74">
        <v>7709997612786</v>
      </c>
    </row>
    <row r="189" spans="1:28" ht="30">
      <c r="A189" s="96" t="s">
        <v>2059</v>
      </c>
      <c r="B189" s="96">
        <v>2</v>
      </c>
      <c r="C189" s="97">
        <v>0</v>
      </c>
      <c r="D189" s="120" t="s">
        <v>91</v>
      </c>
      <c r="E189" s="152" t="s">
        <v>2060</v>
      </c>
      <c r="F189" s="96">
        <v>7707277580442</v>
      </c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1:28" ht="30">
      <c r="A190" s="117" t="s">
        <v>345</v>
      </c>
      <c r="B190" s="117">
        <v>35</v>
      </c>
      <c r="C190" s="117">
        <v>0</v>
      </c>
      <c r="D190" s="117" t="s">
        <v>74</v>
      </c>
      <c r="E190" s="112" t="s">
        <v>346</v>
      </c>
      <c r="F190" s="117">
        <v>7707996059205</v>
      </c>
    </row>
    <row r="191" spans="1:28">
      <c r="A191" s="370"/>
      <c r="B191" s="370"/>
      <c r="C191" s="370"/>
      <c r="D191" s="370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8">
      <c r="A192" s="74" t="s">
        <v>557</v>
      </c>
      <c r="B192" s="74">
        <v>2</v>
      </c>
      <c r="C192" s="75">
        <v>0</v>
      </c>
      <c r="D192" s="336" t="s">
        <v>1240</v>
      </c>
      <c r="E192" s="74" t="s">
        <v>558</v>
      </c>
      <c r="F192" s="378">
        <v>7702132009748</v>
      </c>
      <c r="G192" s="74"/>
      <c r="H192" s="74"/>
      <c r="I192" s="74"/>
      <c r="J192" s="74"/>
      <c r="K192" s="74"/>
      <c r="L192" s="74"/>
      <c r="M192" s="74"/>
      <c r="N192" s="74"/>
      <c r="O192" s="74"/>
    </row>
    <row r="193" spans="1:26">
      <c r="A193" s="76" t="s">
        <v>2061</v>
      </c>
      <c r="B193" s="74">
        <v>2</v>
      </c>
      <c r="C193" s="354">
        <v>0</v>
      </c>
      <c r="D193" s="354" t="s">
        <v>80</v>
      </c>
      <c r="E193" s="76" t="s">
        <v>2062</v>
      </c>
      <c r="F193" s="74">
        <v>7705366100038</v>
      </c>
    </row>
    <row r="194" spans="1:26">
      <c r="A194" s="117" t="s">
        <v>782</v>
      </c>
      <c r="B194" s="117">
        <v>6</v>
      </c>
      <c r="C194" s="117">
        <v>0</v>
      </c>
      <c r="D194" s="117" t="s">
        <v>697</v>
      </c>
      <c r="E194" s="117" t="s">
        <v>783</v>
      </c>
      <c r="F194" s="117">
        <v>7707282990052</v>
      </c>
    </row>
    <row r="195" spans="1:26" ht="30">
      <c r="A195" s="76" t="s">
        <v>397</v>
      </c>
      <c r="B195" s="74">
        <v>1</v>
      </c>
      <c r="C195" s="75">
        <v>0</v>
      </c>
      <c r="D195" s="91" t="s">
        <v>310</v>
      </c>
      <c r="E195" s="76" t="s">
        <v>398</v>
      </c>
      <c r="F195" s="74">
        <v>7707232099354</v>
      </c>
      <c r="G195" s="74"/>
    </row>
    <row r="196" spans="1:26" ht="30">
      <c r="A196" s="112" t="s">
        <v>2063</v>
      </c>
      <c r="B196" s="117">
        <v>1</v>
      </c>
      <c r="C196" s="345">
        <v>0.19</v>
      </c>
      <c r="D196" s="117" t="s">
        <v>2064</v>
      </c>
      <c r="E196" s="112" t="s">
        <v>2065</v>
      </c>
      <c r="F196" s="117">
        <v>7709299382035</v>
      </c>
    </row>
    <row r="197" spans="1:26" ht="30">
      <c r="A197" s="112" t="s">
        <v>2066</v>
      </c>
      <c r="B197" s="117">
        <v>1</v>
      </c>
      <c r="C197" s="345">
        <v>0.19</v>
      </c>
      <c r="D197" s="117" t="s">
        <v>118</v>
      </c>
      <c r="E197" s="112" t="s">
        <v>2065</v>
      </c>
      <c r="F197" s="117">
        <v>7709299382073</v>
      </c>
    </row>
    <row r="198" spans="1:26" ht="30">
      <c r="A198" s="112" t="s">
        <v>2067</v>
      </c>
      <c r="B198" s="117">
        <v>1</v>
      </c>
      <c r="C198" s="345">
        <v>0.19</v>
      </c>
      <c r="D198" s="117" t="s">
        <v>2064</v>
      </c>
      <c r="E198" s="112" t="s">
        <v>2065</v>
      </c>
      <c r="F198" s="117">
        <v>7709299382011</v>
      </c>
    </row>
    <row r="199" spans="1:26" ht="30">
      <c r="A199" s="112" t="s">
        <v>2068</v>
      </c>
      <c r="B199" s="117">
        <v>1</v>
      </c>
      <c r="C199" s="345">
        <v>0.19</v>
      </c>
      <c r="D199" s="117" t="s">
        <v>2064</v>
      </c>
      <c r="E199" s="112" t="s">
        <v>2065</v>
      </c>
      <c r="F199" s="117">
        <v>7709299382066</v>
      </c>
    </row>
    <row r="200" spans="1:26">
      <c r="A200" s="117" t="s">
        <v>709</v>
      </c>
      <c r="B200" s="117">
        <v>8</v>
      </c>
      <c r="C200" s="345">
        <v>0</v>
      </c>
      <c r="D200" s="119" t="s">
        <v>38</v>
      </c>
      <c r="E200" s="117" t="s">
        <v>611</v>
      </c>
      <c r="F200" s="117">
        <v>8901117247888</v>
      </c>
      <c r="G200" s="74"/>
    </row>
    <row r="201" spans="1:26" ht="30">
      <c r="A201" s="32" t="s">
        <v>659</v>
      </c>
      <c r="B201" s="32">
        <v>5</v>
      </c>
      <c r="C201" s="72">
        <v>0</v>
      </c>
      <c r="D201" s="83" t="s">
        <v>32</v>
      </c>
      <c r="E201" s="73" t="s">
        <v>660</v>
      </c>
      <c r="F201" s="321">
        <v>7704412186057</v>
      </c>
    </row>
    <row r="202" spans="1:26" ht="30">
      <c r="A202" s="73" t="s">
        <v>1147</v>
      </c>
      <c r="B202" s="32">
        <v>6</v>
      </c>
      <c r="C202" s="72">
        <v>0</v>
      </c>
      <c r="D202" s="83" t="s">
        <v>1148</v>
      </c>
      <c r="E202" s="32" t="s">
        <v>1149</v>
      </c>
      <c r="F202" s="32">
        <v>7707019413908</v>
      </c>
    </row>
    <row r="203" spans="1:26" ht="30">
      <c r="A203" s="32" t="s">
        <v>2069</v>
      </c>
      <c r="B203" s="32">
        <v>2</v>
      </c>
      <c r="C203" s="72">
        <v>0.19</v>
      </c>
      <c r="D203" s="83" t="s">
        <v>23</v>
      </c>
      <c r="E203" s="73" t="s">
        <v>2070</v>
      </c>
      <c r="F203" s="32">
        <v>7707271202760</v>
      </c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>
      <c r="A204" s="370"/>
      <c r="B204" s="370"/>
      <c r="C204" s="370"/>
      <c r="D204" s="370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30">
      <c r="A205" s="117" t="s">
        <v>2071</v>
      </c>
      <c r="B205" s="117">
        <v>2</v>
      </c>
      <c r="C205" s="117">
        <v>0</v>
      </c>
      <c r="D205" s="117" t="s">
        <v>1779</v>
      </c>
      <c r="E205" s="112" t="s">
        <v>83</v>
      </c>
      <c r="F205" s="117">
        <v>7702057711542</v>
      </c>
    </row>
    <row r="206" spans="1:26">
      <c r="A206" s="74" t="s">
        <v>2072</v>
      </c>
      <c r="B206" s="74">
        <v>8</v>
      </c>
      <c r="C206" s="75">
        <v>0</v>
      </c>
      <c r="D206" s="336" t="s">
        <v>80</v>
      </c>
      <c r="E206" s="74" t="s">
        <v>2073</v>
      </c>
      <c r="F206" s="74">
        <v>7704412170896</v>
      </c>
      <c r="G206" s="74"/>
      <c r="H206" s="74"/>
      <c r="I206" s="74"/>
      <c r="J206" s="74"/>
      <c r="K206" s="74"/>
      <c r="L206" s="74"/>
      <c r="M206" s="74"/>
      <c r="N206" s="74"/>
      <c r="O206" s="74"/>
    </row>
    <row r="207" spans="1:26" ht="30">
      <c r="A207" s="117" t="s">
        <v>2074</v>
      </c>
      <c r="B207" s="117">
        <v>1</v>
      </c>
      <c r="C207" s="117">
        <v>0</v>
      </c>
      <c r="D207" s="117" t="s">
        <v>2075</v>
      </c>
      <c r="E207" s="112" t="s">
        <v>83</v>
      </c>
      <c r="F207" s="117">
        <v>7703153027513</v>
      </c>
    </row>
    <row r="208" spans="1:26" ht="30">
      <c r="A208" s="112" t="s">
        <v>1755</v>
      </c>
      <c r="B208" s="117">
        <v>1</v>
      </c>
      <c r="C208" s="345">
        <v>0.19</v>
      </c>
      <c r="D208" s="116" t="s">
        <v>241</v>
      </c>
      <c r="E208" s="112" t="s">
        <v>1756</v>
      </c>
      <c r="F208" s="117">
        <v>7709990613162</v>
      </c>
    </row>
    <row r="209" spans="1:26">
      <c r="A209" s="370"/>
      <c r="B209" s="370"/>
      <c r="C209" s="370"/>
      <c r="D209" s="370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>
      <c r="A210" s="117" t="s">
        <v>2076</v>
      </c>
      <c r="B210" s="117">
        <v>1</v>
      </c>
      <c r="C210" s="345">
        <v>0</v>
      </c>
      <c r="D210" s="119" t="s">
        <v>1042</v>
      </c>
      <c r="E210" s="117" t="s">
        <v>2077</v>
      </c>
      <c r="F210" s="117">
        <v>7705959885922</v>
      </c>
    </row>
    <row r="211" spans="1:26">
      <c r="A211" s="117" t="s">
        <v>2076</v>
      </c>
      <c r="B211" s="117">
        <v>3</v>
      </c>
      <c r="C211" s="345">
        <v>0</v>
      </c>
      <c r="D211" s="119" t="s">
        <v>1042</v>
      </c>
      <c r="E211" s="117" t="s">
        <v>2077</v>
      </c>
      <c r="F211" s="117">
        <v>7705959885922</v>
      </c>
    </row>
    <row r="212" spans="1:26" ht="30">
      <c r="A212" s="32" t="s">
        <v>701</v>
      </c>
      <c r="B212" s="32">
        <v>6</v>
      </c>
      <c r="C212" s="72">
        <v>0</v>
      </c>
      <c r="D212" s="32" t="s">
        <v>747</v>
      </c>
      <c r="E212" s="73" t="s">
        <v>151</v>
      </c>
      <c r="F212" s="32">
        <v>7702896001347</v>
      </c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</row>
    <row r="213" spans="1:26">
      <c r="A213" s="112" t="s">
        <v>1470</v>
      </c>
      <c r="B213" s="117">
        <v>1</v>
      </c>
      <c r="C213" s="345">
        <v>0</v>
      </c>
      <c r="D213" s="116" t="s">
        <v>450</v>
      </c>
      <c r="E213" s="117" t="s">
        <v>1471</v>
      </c>
      <c r="F213" s="117">
        <v>7501043130769</v>
      </c>
    </row>
    <row r="214" spans="1:26" ht="30">
      <c r="A214" s="32" t="s">
        <v>764</v>
      </c>
      <c r="B214" s="32">
        <v>4</v>
      </c>
      <c r="C214" s="72">
        <v>0</v>
      </c>
      <c r="D214" s="72" t="s">
        <v>38</v>
      </c>
      <c r="E214" s="76" t="s">
        <v>121</v>
      </c>
      <c r="F214" s="32">
        <v>7501125184277</v>
      </c>
    </row>
    <row r="215" spans="1:26">
      <c r="A215" s="76" t="s">
        <v>1276</v>
      </c>
      <c r="B215" s="74">
        <v>1</v>
      </c>
      <c r="C215" s="75">
        <v>0</v>
      </c>
      <c r="D215" s="336" t="s">
        <v>10</v>
      </c>
      <c r="E215" s="76" t="s">
        <v>1277</v>
      </c>
      <c r="F215" s="372">
        <v>3582910009900</v>
      </c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>
      <c r="A216" s="112" t="s">
        <v>1638</v>
      </c>
      <c r="B216" s="117">
        <v>6</v>
      </c>
      <c r="C216" s="345">
        <v>0</v>
      </c>
      <c r="D216" s="119" t="s">
        <v>10</v>
      </c>
      <c r="E216" s="112" t="s">
        <v>1639</v>
      </c>
      <c r="F216" s="392">
        <v>7703038011903</v>
      </c>
    </row>
    <row r="217" spans="1:26" ht="30">
      <c r="A217" s="76" t="s">
        <v>480</v>
      </c>
      <c r="B217" s="74">
        <v>2</v>
      </c>
      <c r="C217" s="75">
        <v>0</v>
      </c>
      <c r="D217" s="336" t="s">
        <v>2078</v>
      </c>
      <c r="E217" s="76" t="s">
        <v>24</v>
      </c>
      <c r="F217" s="74">
        <v>7703445130181</v>
      </c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</row>
    <row r="218" spans="1:26">
      <c r="A218" s="112" t="s">
        <v>2079</v>
      </c>
      <c r="B218" s="117">
        <v>1</v>
      </c>
      <c r="C218" s="345">
        <v>0</v>
      </c>
      <c r="D218" s="119" t="s">
        <v>1309</v>
      </c>
      <c r="E218" s="112" t="s">
        <v>2080</v>
      </c>
      <c r="F218" s="117">
        <v>7703038066729</v>
      </c>
    </row>
    <row r="219" spans="1:26">
      <c r="A219" s="74" t="s">
        <v>2081</v>
      </c>
      <c r="B219" s="74">
        <v>1</v>
      </c>
      <c r="C219" s="75">
        <v>0</v>
      </c>
      <c r="D219" s="74" t="s">
        <v>191</v>
      </c>
      <c r="E219" s="76" t="s">
        <v>1263</v>
      </c>
      <c r="F219" s="74">
        <v>7702057184315</v>
      </c>
    </row>
    <row r="220" spans="1:26">
      <c r="A220" s="370"/>
      <c r="B220" s="370"/>
      <c r="C220" s="370"/>
      <c r="D220" s="370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>
      <c r="A221" s="74" t="s">
        <v>2082</v>
      </c>
      <c r="B221" s="74">
        <v>1</v>
      </c>
      <c r="C221" s="352">
        <v>0</v>
      </c>
      <c r="D221" s="336" t="s">
        <v>214</v>
      </c>
      <c r="E221" s="76" t="s">
        <v>2083</v>
      </c>
      <c r="F221" s="74">
        <v>7703763996926</v>
      </c>
    </row>
    <row r="222" spans="1:26" ht="30">
      <c r="A222" s="76" t="s">
        <v>2084</v>
      </c>
      <c r="B222" s="74">
        <v>3</v>
      </c>
      <c r="C222" s="352">
        <v>0</v>
      </c>
      <c r="D222" s="74" t="s">
        <v>88</v>
      </c>
      <c r="E222" s="74" t="s">
        <v>2085</v>
      </c>
      <c r="F222" s="74">
        <v>7709100506933</v>
      </c>
    </row>
    <row r="223" spans="1:26">
      <c r="A223" s="96" t="s">
        <v>550</v>
      </c>
      <c r="B223" s="96">
        <v>3</v>
      </c>
      <c r="C223" s="97">
        <v>0.19</v>
      </c>
      <c r="D223" s="96" t="s">
        <v>7</v>
      </c>
      <c r="E223" s="152" t="s">
        <v>551</v>
      </c>
      <c r="F223" s="96">
        <v>7701684000043</v>
      </c>
    </row>
    <row r="224" spans="1:26" ht="30">
      <c r="A224" s="73" t="s">
        <v>1118</v>
      </c>
      <c r="B224" s="32">
        <v>2</v>
      </c>
      <c r="C224" s="72">
        <v>0</v>
      </c>
      <c r="D224" s="72" t="s">
        <v>276</v>
      </c>
      <c r="E224" s="73" t="s">
        <v>1119</v>
      </c>
      <c r="F224" s="32">
        <v>7500435107013</v>
      </c>
    </row>
    <row r="225" spans="1:26">
      <c r="A225" s="370"/>
      <c r="B225" s="370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30">
      <c r="A226" s="74" t="s">
        <v>580</v>
      </c>
      <c r="B226" s="74">
        <v>1</v>
      </c>
      <c r="C226" s="75">
        <v>0.19</v>
      </c>
      <c r="D226" s="74" t="s">
        <v>2086</v>
      </c>
      <c r="E226" s="76" t="s">
        <v>581</v>
      </c>
      <c r="F226" s="74">
        <v>650240007828</v>
      </c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30">
      <c r="A227" s="117" t="s">
        <v>819</v>
      </c>
      <c r="B227" s="117">
        <v>6</v>
      </c>
      <c r="C227" s="117">
        <v>0</v>
      </c>
      <c r="D227" s="117" t="s">
        <v>697</v>
      </c>
      <c r="E227" s="112" t="s">
        <v>820</v>
      </c>
      <c r="F227" s="117">
        <v>7707336092169</v>
      </c>
    </row>
    <row r="228" spans="1:26">
      <c r="A228" s="117" t="s">
        <v>983</v>
      </c>
      <c r="B228" s="117">
        <v>2</v>
      </c>
      <c r="C228" s="117">
        <v>0</v>
      </c>
      <c r="D228" s="117" t="s">
        <v>181</v>
      </c>
      <c r="E228" s="117" t="s">
        <v>985</v>
      </c>
      <c r="F228" s="117">
        <v>7702184012130</v>
      </c>
    </row>
    <row r="229" spans="1:26">
      <c r="A229" s="76" t="s">
        <v>2087</v>
      </c>
      <c r="B229" s="74">
        <v>4</v>
      </c>
      <c r="C229" s="75">
        <v>0</v>
      </c>
      <c r="D229" s="336" t="s">
        <v>2088</v>
      </c>
      <c r="E229" s="74" t="s">
        <v>2089</v>
      </c>
      <c r="F229" s="74">
        <v>7702184020616</v>
      </c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</row>
    <row r="230" spans="1:26" ht="30">
      <c r="A230" s="117" t="s">
        <v>866</v>
      </c>
      <c r="B230" s="117">
        <v>4</v>
      </c>
      <c r="C230" s="345">
        <v>0</v>
      </c>
      <c r="D230" s="117" t="s">
        <v>91</v>
      </c>
      <c r="E230" s="112" t="s">
        <v>513</v>
      </c>
      <c r="F230" s="117">
        <v>7704412509726</v>
      </c>
    </row>
    <row r="231" spans="1:26" ht="30">
      <c r="A231" s="96" t="s">
        <v>1365</v>
      </c>
      <c r="B231" s="96">
        <v>4</v>
      </c>
      <c r="C231" s="97">
        <v>0</v>
      </c>
      <c r="D231" s="120" t="s">
        <v>1366</v>
      </c>
      <c r="E231" s="152" t="s">
        <v>1367</v>
      </c>
      <c r="F231" s="375">
        <v>7703712010000</v>
      </c>
    </row>
    <row r="232" spans="1:26">
      <c r="A232" s="73" t="s">
        <v>1120</v>
      </c>
      <c r="B232" s="32">
        <v>1</v>
      </c>
      <c r="C232" s="72">
        <v>0</v>
      </c>
      <c r="D232" s="32" t="s">
        <v>7</v>
      </c>
      <c r="E232" s="73" t="s">
        <v>1121</v>
      </c>
      <c r="F232" s="371">
        <v>7500435107020</v>
      </c>
      <c r="G232" s="74"/>
    </row>
    <row r="233" spans="1:26">
      <c r="A233" s="370"/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>
      <c r="A234" s="117" t="s">
        <v>152</v>
      </c>
      <c r="B234" s="117">
        <v>30</v>
      </c>
      <c r="C234" s="345">
        <v>0</v>
      </c>
      <c r="D234" s="117" t="s">
        <v>153</v>
      </c>
      <c r="E234" s="117" t="s">
        <v>154</v>
      </c>
      <c r="F234" s="392">
        <v>7706569000958</v>
      </c>
    </row>
    <row r="235" spans="1:26" ht="30">
      <c r="A235" s="76" t="s">
        <v>2090</v>
      </c>
      <c r="B235" s="74">
        <v>3</v>
      </c>
      <c r="C235" s="75">
        <v>0</v>
      </c>
      <c r="D235" s="336" t="s">
        <v>676</v>
      </c>
      <c r="E235" s="76" t="s">
        <v>2091</v>
      </c>
      <c r="F235" s="74">
        <v>7707210530046</v>
      </c>
      <c r="G235" s="74"/>
      <c r="H235" s="74"/>
      <c r="I235" s="74"/>
      <c r="J235" s="74"/>
      <c r="K235" s="74"/>
      <c r="L235" s="74"/>
      <c r="M235" s="74"/>
      <c r="N235" s="74"/>
      <c r="O235" s="74"/>
    </row>
    <row r="236" spans="1:26">
      <c r="A236" s="152" t="s">
        <v>828</v>
      </c>
      <c r="B236" s="96">
        <v>2</v>
      </c>
      <c r="C236" s="97">
        <v>0</v>
      </c>
      <c r="D236" s="95" t="s">
        <v>829</v>
      </c>
      <c r="E236" s="152" t="s">
        <v>830</v>
      </c>
      <c r="F236" s="117">
        <v>7709233974463</v>
      </c>
    </row>
    <row r="237" spans="1:26">
      <c r="A237" s="117" t="s">
        <v>2092</v>
      </c>
      <c r="B237" s="117">
        <v>1</v>
      </c>
      <c r="C237" s="118">
        <v>0</v>
      </c>
      <c r="D237" s="119" t="s">
        <v>808</v>
      </c>
      <c r="E237" s="112" t="s">
        <v>2093</v>
      </c>
      <c r="F237" s="117">
        <v>7702605100965</v>
      </c>
    </row>
    <row r="238" spans="1:26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>
      <c r="A239" s="112" t="s">
        <v>2094</v>
      </c>
      <c r="B239" s="117">
        <v>1</v>
      </c>
      <c r="C239" s="345">
        <v>0.19</v>
      </c>
      <c r="D239" s="116" t="s">
        <v>109</v>
      </c>
      <c r="E239" s="117" t="s">
        <v>1760</v>
      </c>
      <c r="F239" s="376">
        <v>7705471205987</v>
      </c>
    </row>
    <row r="240" spans="1:26">
      <c r="A240" s="112" t="s">
        <v>2095</v>
      </c>
      <c r="B240" s="117">
        <v>1</v>
      </c>
      <c r="C240" s="345">
        <v>0.19</v>
      </c>
      <c r="D240" s="116" t="s">
        <v>23</v>
      </c>
      <c r="E240" s="117" t="s">
        <v>1758</v>
      </c>
      <c r="F240" s="376">
        <v>7705471100633</v>
      </c>
    </row>
    <row r="241" spans="1:28">
      <c r="A241" s="74" t="s">
        <v>1476</v>
      </c>
      <c r="B241" s="74">
        <v>2</v>
      </c>
      <c r="C241" s="354">
        <v>0</v>
      </c>
      <c r="D241" s="355" t="s">
        <v>1477</v>
      </c>
      <c r="E241" s="74" t="s">
        <v>1478</v>
      </c>
      <c r="F241" s="74">
        <v>7702057709037</v>
      </c>
    </row>
    <row r="242" spans="1:28">
      <c r="A242" s="73" t="s">
        <v>1615</v>
      </c>
      <c r="B242" s="32">
        <v>1</v>
      </c>
      <c r="C242" s="72">
        <v>0.19</v>
      </c>
      <c r="D242" s="83" t="s">
        <v>1616</v>
      </c>
      <c r="E242" s="73" t="s">
        <v>2096</v>
      </c>
      <c r="F242" s="321">
        <v>7703286118508</v>
      </c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8" ht="30">
      <c r="A243" s="152" t="s">
        <v>1602</v>
      </c>
      <c r="B243" s="96">
        <v>1</v>
      </c>
      <c r="C243" s="97">
        <v>0</v>
      </c>
      <c r="D243" s="96" t="s">
        <v>1366</v>
      </c>
      <c r="E243" s="152" t="s">
        <v>1603</v>
      </c>
      <c r="F243" s="96">
        <v>7707271451410</v>
      </c>
    </row>
    <row r="244" spans="1:28">
      <c r="A244" s="76" t="s">
        <v>2097</v>
      </c>
      <c r="B244" s="74">
        <v>1</v>
      </c>
      <c r="C244" s="75">
        <v>0</v>
      </c>
      <c r="D244" s="75" t="s">
        <v>1366</v>
      </c>
      <c r="E244" s="74" t="s">
        <v>1071</v>
      </c>
      <c r="F244" s="74">
        <v>7702057124021</v>
      </c>
    </row>
    <row r="245" spans="1:28">
      <c r="A245" s="76" t="s">
        <v>1070</v>
      </c>
      <c r="B245" s="74">
        <v>1</v>
      </c>
      <c r="C245" s="75">
        <v>0</v>
      </c>
      <c r="D245" s="75" t="s">
        <v>88</v>
      </c>
      <c r="E245" s="74" t="s">
        <v>1071</v>
      </c>
      <c r="F245" s="74">
        <v>7702057124014</v>
      </c>
    </row>
    <row r="246" spans="1:28" ht="30">
      <c r="A246" s="117" t="s">
        <v>2098</v>
      </c>
      <c r="B246" s="117">
        <v>1</v>
      </c>
      <c r="C246" s="117">
        <v>0</v>
      </c>
      <c r="D246" s="117" t="s">
        <v>56</v>
      </c>
      <c r="E246" s="112" t="s">
        <v>2099</v>
      </c>
      <c r="F246" s="117">
        <v>7501001168797</v>
      </c>
    </row>
    <row r="247" spans="1:28">
      <c r="A247" s="370"/>
      <c r="B247" s="370"/>
      <c r="C247" s="370"/>
      <c r="D247" s="370"/>
      <c r="E247" s="370"/>
      <c r="F247" s="370"/>
      <c r="G247" s="370"/>
      <c r="H247" s="370"/>
      <c r="I247" s="370"/>
      <c r="J247" s="370"/>
      <c r="K247" s="370"/>
      <c r="L247" s="370"/>
      <c r="M247" s="370"/>
      <c r="N247" s="370"/>
      <c r="O247" s="370"/>
      <c r="P247" s="370"/>
      <c r="Q247" s="370"/>
      <c r="R247" s="370"/>
      <c r="S247" s="370"/>
      <c r="T247" s="370"/>
      <c r="U247" s="370"/>
      <c r="V247" s="370"/>
      <c r="W247" s="370"/>
      <c r="X247" s="370"/>
      <c r="Y247" s="370"/>
      <c r="Z247" s="370"/>
    </row>
    <row r="249" spans="1:28">
      <c r="A249" s="73"/>
      <c r="B249" s="32"/>
      <c r="C249" s="72"/>
      <c r="D249" s="83"/>
      <c r="E249" s="73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 spans="1:28" ht="30">
      <c r="A250" s="76" t="s">
        <v>1497</v>
      </c>
      <c r="B250" s="74">
        <v>8</v>
      </c>
      <c r="C250" s="354">
        <v>0</v>
      </c>
      <c r="D250" s="354" t="s">
        <v>91</v>
      </c>
      <c r="E250" s="76" t="s">
        <v>24</v>
      </c>
      <c r="F250" s="372">
        <v>7707357200086</v>
      </c>
    </row>
    <row r="251" spans="1:28">
      <c r="A251" s="112" t="s">
        <v>517</v>
      </c>
      <c r="B251" s="117">
        <v>5</v>
      </c>
      <c r="C251" s="345">
        <v>0</v>
      </c>
      <c r="D251" s="117" t="s">
        <v>103</v>
      </c>
      <c r="E251" s="112" t="s">
        <v>477</v>
      </c>
      <c r="F251" s="376">
        <v>7703712032705</v>
      </c>
    </row>
    <row r="252" spans="1:28">
      <c r="A252" s="117" t="s">
        <v>518</v>
      </c>
      <c r="B252" s="117">
        <v>1</v>
      </c>
      <c r="C252" s="345">
        <v>0</v>
      </c>
      <c r="D252" s="117" t="s">
        <v>519</v>
      </c>
      <c r="E252" s="117" t="s">
        <v>520</v>
      </c>
      <c r="F252" s="117">
        <v>650240073199</v>
      </c>
    </row>
    <row r="253" spans="1:28" ht="30">
      <c r="A253" s="117" t="s">
        <v>2100</v>
      </c>
      <c r="B253" s="117">
        <v>6</v>
      </c>
      <c r="C253" s="345">
        <v>0.19</v>
      </c>
      <c r="D253" s="117" t="s">
        <v>85</v>
      </c>
      <c r="E253" s="112" t="s">
        <v>2101</v>
      </c>
      <c r="F253" s="117">
        <v>7709198383485</v>
      </c>
    </row>
    <row r="254" spans="1:28">
      <c r="A254" s="117" t="s">
        <v>2102</v>
      </c>
      <c r="B254" s="117">
        <v>6</v>
      </c>
      <c r="C254" s="345">
        <v>0</v>
      </c>
      <c r="D254" s="119" t="s">
        <v>366</v>
      </c>
      <c r="E254" s="117" t="s">
        <v>2103</v>
      </c>
      <c r="F254" s="117">
        <v>7703712033412</v>
      </c>
    </row>
    <row r="255" spans="1:28">
      <c r="A255" s="76" t="s">
        <v>2104</v>
      </c>
      <c r="B255" s="74">
        <v>5</v>
      </c>
      <c r="C255" s="352">
        <v>0</v>
      </c>
      <c r="D255" s="91" t="s">
        <v>80</v>
      </c>
      <c r="E255" s="76" t="s">
        <v>2105</v>
      </c>
      <c r="F255" s="117">
        <v>7707364802181</v>
      </c>
    </row>
    <row r="256" spans="1:28">
      <c r="A256" s="76" t="s">
        <v>1341</v>
      </c>
      <c r="B256" s="74">
        <v>2</v>
      </c>
      <c r="C256" s="352">
        <v>0</v>
      </c>
      <c r="D256" s="336" t="s">
        <v>715</v>
      </c>
      <c r="E256" s="74" t="s">
        <v>1342</v>
      </c>
      <c r="F256" s="378">
        <v>650240000010</v>
      </c>
    </row>
    <row r="257" spans="1:26" ht="14.25" customHeight="1">
      <c r="A257" s="370"/>
      <c r="B257" s="370"/>
      <c r="C257" s="370"/>
      <c r="D257" s="370"/>
      <c r="E257" s="370"/>
      <c r="F257" s="370"/>
      <c r="G257" s="370"/>
      <c r="H257" s="370"/>
      <c r="I257" s="370"/>
      <c r="J257" s="370"/>
      <c r="K257" s="370"/>
      <c r="L257" s="370"/>
      <c r="M257" s="370"/>
      <c r="N257" s="370"/>
      <c r="O257" s="370"/>
      <c r="P257" s="370"/>
      <c r="Q257" s="370"/>
      <c r="R257" s="370"/>
      <c r="S257" s="370"/>
      <c r="T257" s="370"/>
      <c r="U257" s="370"/>
      <c r="V257" s="370"/>
      <c r="W257" s="370"/>
      <c r="X257" s="370"/>
      <c r="Y257" s="370"/>
      <c r="Z257" s="370"/>
    </row>
    <row r="258" spans="1:26" ht="30">
      <c r="A258" s="181" t="s">
        <v>688</v>
      </c>
      <c r="B258" s="347">
        <v>12</v>
      </c>
      <c r="C258" s="395">
        <v>0</v>
      </c>
      <c r="D258" s="347" t="s">
        <v>91</v>
      </c>
      <c r="E258" s="181" t="s">
        <v>689</v>
      </c>
      <c r="F258" s="396">
        <v>7707321982093</v>
      </c>
    </row>
    <row r="259" spans="1:26">
      <c r="A259" s="92" t="s">
        <v>1034</v>
      </c>
      <c r="B259" s="92">
        <v>5</v>
      </c>
      <c r="C259" s="93">
        <v>0.19</v>
      </c>
      <c r="D259" s="397" t="s">
        <v>1035</v>
      </c>
      <c r="E259" s="92" t="s">
        <v>1036</v>
      </c>
      <c r="F259" s="92">
        <v>7707336092497</v>
      </c>
    </row>
    <row r="260" spans="1:26" ht="30">
      <c r="A260" s="117" t="s">
        <v>2106</v>
      </c>
      <c r="B260" s="117">
        <v>2</v>
      </c>
      <c r="C260" s="395">
        <v>0.19</v>
      </c>
      <c r="D260" s="117" t="s">
        <v>808</v>
      </c>
      <c r="E260" s="112" t="s">
        <v>107</v>
      </c>
      <c r="F260" s="117">
        <v>7707186900898</v>
      </c>
    </row>
    <row r="261" spans="1:26" ht="30">
      <c r="A261" s="117" t="s">
        <v>2107</v>
      </c>
      <c r="B261" s="117">
        <v>1</v>
      </c>
      <c r="C261" s="117">
        <v>0</v>
      </c>
      <c r="D261" s="117" t="s">
        <v>808</v>
      </c>
      <c r="E261" s="112" t="s">
        <v>107</v>
      </c>
      <c r="F261" s="117">
        <v>8903726237526</v>
      </c>
    </row>
    <row r="262" spans="1:26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</row>
    <row r="263" spans="1:26">
      <c r="A263" s="117" t="s">
        <v>2108</v>
      </c>
      <c r="B263" s="117">
        <v>10</v>
      </c>
      <c r="C263" s="117">
        <v>0</v>
      </c>
      <c r="D263" s="117" t="s">
        <v>898</v>
      </c>
      <c r="E263" s="117" t="s">
        <v>2109</v>
      </c>
      <c r="F263" s="117">
        <v>7709946708331</v>
      </c>
    </row>
    <row r="264" spans="1:26">
      <c r="A264" s="370"/>
      <c r="B264" s="370"/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</row>
    <row r="265" spans="1:26">
      <c r="A265" s="117" t="s">
        <v>2110</v>
      </c>
      <c r="B265" s="117">
        <v>1</v>
      </c>
      <c r="C265" s="356">
        <v>0</v>
      </c>
      <c r="D265" s="357" t="s">
        <v>2111</v>
      </c>
      <c r="E265" s="112" t="s">
        <v>2035</v>
      </c>
      <c r="F265" s="117">
        <v>7703763479023</v>
      </c>
    </row>
    <row r="266" spans="1:26">
      <c r="A266" s="370"/>
      <c r="B266" s="370"/>
      <c r="C266" s="370"/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</row>
    <row r="267" spans="1:26">
      <c r="A267" s="117" t="s">
        <v>1930</v>
      </c>
      <c r="B267" s="117">
        <v>8</v>
      </c>
      <c r="C267" s="345">
        <v>0</v>
      </c>
      <c r="D267" s="117" t="s">
        <v>1040</v>
      </c>
      <c r="E267" s="117" t="s">
        <v>1473</v>
      </c>
      <c r="F267" s="117">
        <v>8903726176696</v>
      </c>
    </row>
    <row r="268" spans="1:26">
      <c r="A268" s="117" t="s">
        <v>1930</v>
      </c>
      <c r="B268" s="117">
        <v>4</v>
      </c>
      <c r="C268" s="345">
        <v>0</v>
      </c>
      <c r="D268" s="117" t="s">
        <v>1040</v>
      </c>
      <c r="E268" s="117" t="s">
        <v>1473</v>
      </c>
      <c r="F268" s="117">
        <v>8903726176696</v>
      </c>
    </row>
    <row r="269" spans="1:26">
      <c r="A269" s="152" t="s">
        <v>2112</v>
      </c>
      <c r="B269" s="96">
        <v>1</v>
      </c>
      <c r="C269" s="97">
        <v>0</v>
      </c>
      <c r="D269" s="95" t="s">
        <v>222</v>
      </c>
      <c r="E269" s="96" t="s">
        <v>2113</v>
      </c>
      <c r="F269" s="375">
        <v>7702123014010</v>
      </c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</row>
    <row r="270" spans="1:26">
      <c r="A270" s="117" t="s">
        <v>372</v>
      </c>
      <c r="B270" s="117">
        <v>4</v>
      </c>
      <c r="C270" s="356">
        <v>0</v>
      </c>
      <c r="D270" s="357" t="s">
        <v>10</v>
      </c>
      <c r="E270" s="117" t="s">
        <v>373</v>
      </c>
      <c r="F270" s="117">
        <v>7704412000162</v>
      </c>
    </row>
    <row r="271" spans="1:26" ht="30">
      <c r="A271" s="117" t="s">
        <v>2114</v>
      </c>
      <c r="B271" s="117">
        <v>1</v>
      </c>
      <c r="C271" s="345">
        <v>0</v>
      </c>
      <c r="D271" s="117" t="s">
        <v>241</v>
      </c>
      <c r="E271" s="112" t="s">
        <v>2115</v>
      </c>
      <c r="F271" s="117">
        <v>7708636936634</v>
      </c>
    </row>
    <row r="272" spans="1:26">
      <c r="A272" s="112" t="s">
        <v>28</v>
      </c>
      <c r="B272" s="117">
        <v>2</v>
      </c>
      <c r="C272" s="345">
        <v>0</v>
      </c>
      <c r="D272" s="345" t="s">
        <v>29</v>
      </c>
      <c r="E272" s="117" t="s">
        <v>30</v>
      </c>
      <c r="F272" s="117">
        <v>7703546153508</v>
      </c>
    </row>
    <row r="273" spans="1:26" ht="30">
      <c r="A273" s="112" t="s">
        <v>2116</v>
      </c>
      <c r="B273" s="117">
        <v>4</v>
      </c>
      <c r="C273" s="345">
        <v>0</v>
      </c>
      <c r="D273" s="116" t="s">
        <v>625</v>
      </c>
      <c r="E273" s="112" t="s">
        <v>2117</v>
      </c>
      <c r="F273" s="117">
        <v>7709990733730</v>
      </c>
    </row>
    <row r="274" spans="1:26" ht="30">
      <c r="A274" s="117" t="s">
        <v>1424</v>
      </c>
      <c r="B274" s="117">
        <v>2</v>
      </c>
      <c r="C274" s="345">
        <v>0</v>
      </c>
      <c r="D274" s="117" t="s">
        <v>519</v>
      </c>
      <c r="E274" s="112" t="s">
        <v>1425</v>
      </c>
      <c r="F274" s="117">
        <v>7702057715885</v>
      </c>
    </row>
    <row r="275" spans="1:26" ht="30">
      <c r="A275" s="117" t="s">
        <v>1741</v>
      </c>
      <c r="B275" s="117">
        <v>1</v>
      </c>
      <c r="C275" s="117">
        <v>0</v>
      </c>
      <c r="D275" s="117" t="s">
        <v>491</v>
      </c>
      <c r="E275" s="112" t="s">
        <v>1742</v>
      </c>
      <c r="F275" s="117">
        <v>7707232095615</v>
      </c>
    </row>
    <row r="276" spans="1:26" ht="30">
      <c r="A276" s="112" t="s">
        <v>593</v>
      </c>
      <c r="B276" s="117">
        <v>3</v>
      </c>
      <c r="C276" s="345">
        <v>0</v>
      </c>
      <c r="D276" s="116" t="s">
        <v>23</v>
      </c>
      <c r="E276" s="112" t="s">
        <v>594</v>
      </c>
      <c r="F276" s="117">
        <v>7709930569436</v>
      </c>
    </row>
    <row r="277" spans="1:26" ht="30">
      <c r="A277" s="76" t="s">
        <v>1545</v>
      </c>
      <c r="B277" s="74">
        <v>2</v>
      </c>
      <c r="C277" s="75" t="s">
        <v>1546</v>
      </c>
      <c r="D277" s="91" t="s">
        <v>118</v>
      </c>
      <c r="E277" s="76" t="s">
        <v>1547</v>
      </c>
      <c r="F277" s="117">
        <v>7709559308140</v>
      </c>
      <c r="G277" s="74"/>
    </row>
    <row r="278" spans="1:26" ht="30">
      <c r="A278" s="200" t="s">
        <v>887</v>
      </c>
      <c r="B278" s="200">
        <v>1</v>
      </c>
      <c r="C278" s="360">
        <v>0</v>
      </c>
      <c r="D278" s="360" t="s">
        <v>348</v>
      </c>
      <c r="E278" s="195" t="s">
        <v>889</v>
      </c>
      <c r="F278" s="373">
        <v>7707239276291</v>
      </c>
    </row>
    <row r="279" spans="1:26" ht="30">
      <c r="A279" s="200" t="s">
        <v>1163</v>
      </c>
      <c r="B279" s="200">
        <v>1</v>
      </c>
      <c r="C279" s="200">
        <v>0</v>
      </c>
      <c r="D279" s="200" t="s">
        <v>1164</v>
      </c>
      <c r="E279" s="195" t="s">
        <v>889</v>
      </c>
      <c r="F279" s="373">
        <v>7707239276215</v>
      </c>
    </row>
    <row r="280" spans="1:26" ht="30">
      <c r="A280" s="195" t="s">
        <v>197</v>
      </c>
      <c r="B280" s="200">
        <v>6</v>
      </c>
      <c r="C280" s="360">
        <v>0</v>
      </c>
      <c r="D280" s="200" t="s">
        <v>88</v>
      </c>
      <c r="E280" s="195" t="s">
        <v>198</v>
      </c>
      <c r="F280" s="373">
        <v>7709695236871</v>
      </c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</row>
    <row r="281" spans="1:26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370"/>
      <c r="P281" s="370"/>
      <c r="Q281" s="370"/>
      <c r="R281" s="370"/>
      <c r="S281" s="370"/>
      <c r="T281" s="370"/>
      <c r="U281" s="370"/>
      <c r="V281" s="370"/>
      <c r="W281" s="370"/>
      <c r="X281" s="370"/>
      <c r="Y281" s="370"/>
      <c r="Z281" s="370"/>
    </row>
    <row r="282" spans="1:26">
      <c r="A282" s="32" t="s">
        <v>2118</v>
      </c>
      <c r="B282" s="32">
        <v>6</v>
      </c>
      <c r="C282" s="72">
        <v>0</v>
      </c>
      <c r="D282" s="83" t="s">
        <v>293</v>
      </c>
      <c r="E282" s="73" t="s">
        <v>2119</v>
      </c>
      <c r="F282" s="32">
        <v>7703038060987</v>
      </c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6" ht="30">
      <c r="A283" s="73" t="s">
        <v>1113</v>
      </c>
      <c r="B283" s="32">
        <v>8</v>
      </c>
      <c r="C283" s="72">
        <v>0</v>
      </c>
      <c r="D283" s="32" t="s">
        <v>1114</v>
      </c>
      <c r="E283" s="73" t="s">
        <v>1115</v>
      </c>
      <c r="F283" s="32">
        <v>7706569001160</v>
      </c>
    </row>
    <row r="284" spans="1:26" ht="30">
      <c r="A284" s="73" t="s">
        <v>1113</v>
      </c>
      <c r="B284" s="32">
        <v>4</v>
      </c>
      <c r="C284" s="72">
        <v>0</v>
      </c>
      <c r="D284" s="32" t="s">
        <v>1114</v>
      </c>
      <c r="E284" s="73" t="s">
        <v>1115</v>
      </c>
      <c r="F284" s="32">
        <v>7706569001160</v>
      </c>
    </row>
    <row r="285" spans="1:26" ht="30">
      <c r="A285" s="32" t="s">
        <v>1252</v>
      </c>
      <c r="B285" s="32">
        <v>3</v>
      </c>
      <c r="C285" s="72">
        <v>0</v>
      </c>
      <c r="D285" s="32" t="s">
        <v>88</v>
      </c>
      <c r="E285" s="73" t="s">
        <v>1253</v>
      </c>
      <c r="F285" s="32">
        <v>7441026003348</v>
      </c>
      <c r="G285" s="74"/>
    </row>
    <row r="286" spans="1:26" ht="30">
      <c r="A286" s="117" t="s">
        <v>2120</v>
      </c>
      <c r="B286" s="117">
        <v>2</v>
      </c>
      <c r="C286" s="345">
        <v>0</v>
      </c>
      <c r="D286" s="117" t="s">
        <v>1240</v>
      </c>
      <c r="E286" s="112" t="s">
        <v>2121</v>
      </c>
      <c r="F286" s="117">
        <v>7708636936498</v>
      </c>
    </row>
    <row r="287" spans="1:26" ht="30">
      <c r="A287" s="117" t="s">
        <v>2120</v>
      </c>
      <c r="B287" s="117">
        <v>1</v>
      </c>
      <c r="C287" s="345">
        <v>0</v>
      </c>
      <c r="D287" s="117" t="s">
        <v>1240</v>
      </c>
      <c r="E287" s="112" t="s">
        <v>2121</v>
      </c>
      <c r="F287" s="117">
        <v>7708636936498</v>
      </c>
    </row>
    <row r="288" spans="1:26" ht="30">
      <c r="A288" s="112" t="s">
        <v>980</v>
      </c>
      <c r="B288" s="117">
        <v>3</v>
      </c>
      <c r="C288" s="345">
        <v>0</v>
      </c>
      <c r="D288" s="117" t="s">
        <v>355</v>
      </c>
      <c r="E288" s="112" t="s">
        <v>982</v>
      </c>
      <c r="F288" s="376">
        <v>7702605101801</v>
      </c>
    </row>
    <row r="289" spans="1:28">
      <c r="A289" s="112" t="s">
        <v>1581</v>
      </c>
      <c r="B289" s="117">
        <v>1</v>
      </c>
      <c r="C289" s="345">
        <v>0</v>
      </c>
      <c r="D289" s="117" t="s">
        <v>2122</v>
      </c>
      <c r="E289" s="117" t="s">
        <v>1583</v>
      </c>
      <c r="F289" s="117">
        <v>751273776771</v>
      </c>
    </row>
    <row r="290" spans="1:28" ht="30">
      <c r="A290" s="112" t="s">
        <v>2123</v>
      </c>
      <c r="B290" s="117">
        <v>3</v>
      </c>
      <c r="C290" s="345">
        <v>0</v>
      </c>
      <c r="D290" s="116" t="s">
        <v>85</v>
      </c>
      <c r="E290" s="112" t="s">
        <v>594</v>
      </c>
      <c r="F290" s="117">
        <v>7709930569450</v>
      </c>
    </row>
    <row r="291" spans="1:28" ht="30">
      <c r="A291" s="76" t="s">
        <v>144</v>
      </c>
      <c r="B291" s="74">
        <v>5</v>
      </c>
      <c r="C291" s="75">
        <v>0</v>
      </c>
      <c r="D291" s="74" t="s">
        <v>145</v>
      </c>
      <c r="E291" s="76" t="s">
        <v>146</v>
      </c>
      <c r="F291" s="74">
        <v>7702605103294</v>
      </c>
    </row>
    <row r="292" spans="1:28" ht="30">
      <c r="A292" s="117" t="s">
        <v>2124</v>
      </c>
      <c r="B292" s="117">
        <v>2</v>
      </c>
      <c r="C292" s="345">
        <v>0</v>
      </c>
      <c r="D292" s="117" t="s">
        <v>2125</v>
      </c>
      <c r="E292" s="112" t="s">
        <v>2126</v>
      </c>
      <c r="F292" s="117">
        <v>7702184580202</v>
      </c>
    </row>
    <row r="293" spans="1:28" ht="30">
      <c r="A293" s="117" t="s">
        <v>2124</v>
      </c>
      <c r="B293" s="117">
        <v>1</v>
      </c>
      <c r="C293" s="345">
        <v>0</v>
      </c>
      <c r="D293" s="117" t="s">
        <v>2125</v>
      </c>
      <c r="E293" s="112" t="s">
        <v>2126</v>
      </c>
      <c r="F293" s="117">
        <v>7702184580202</v>
      </c>
    </row>
    <row r="294" spans="1:28">
      <c r="A294" s="370"/>
      <c r="B294" s="370"/>
      <c r="C294" s="370"/>
      <c r="D294" s="370"/>
      <c r="E294" s="370"/>
      <c r="F294" s="370"/>
      <c r="G294" s="370"/>
      <c r="H294" s="370"/>
      <c r="I294" s="370"/>
      <c r="J294" s="370"/>
      <c r="K294" s="370"/>
      <c r="L294" s="370"/>
      <c r="M294" s="370"/>
      <c r="N294" s="370"/>
      <c r="O294" s="370"/>
      <c r="P294" s="370"/>
      <c r="Q294" s="370"/>
      <c r="R294" s="370"/>
      <c r="S294" s="370"/>
      <c r="T294" s="370"/>
      <c r="U294" s="370"/>
      <c r="V294" s="370"/>
      <c r="W294" s="370"/>
      <c r="X294" s="370"/>
      <c r="Y294" s="370"/>
      <c r="Z294" s="370"/>
    </row>
    <row r="295" spans="1:28" ht="30">
      <c r="A295" s="380" t="s">
        <v>2127</v>
      </c>
      <c r="B295" s="92">
        <v>31</v>
      </c>
      <c r="C295" s="381">
        <v>0</v>
      </c>
      <c r="D295" s="398" t="s">
        <v>366</v>
      </c>
      <c r="E295" s="92" t="s">
        <v>1853</v>
      </c>
      <c r="F295" s="92">
        <v>7707141349304</v>
      </c>
    </row>
    <row r="296" spans="1:28">
      <c r="A296" s="370"/>
      <c r="B296" s="370"/>
      <c r="C296" s="370"/>
      <c r="D296" s="370"/>
      <c r="E296" s="370"/>
      <c r="F296" s="370"/>
      <c r="G296" s="370"/>
      <c r="H296" s="370"/>
      <c r="I296" s="370"/>
      <c r="J296" s="370"/>
      <c r="K296" s="370"/>
      <c r="L296" s="370"/>
      <c r="M296" s="370"/>
      <c r="N296" s="370"/>
      <c r="O296" s="370"/>
      <c r="P296" s="370"/>
      <c r="Q296" s="370"/>
      <c r="R296" s="370"/>
      <c r="S296" s="370"/>
      <c r="T296" s="370"/>
      <c r="U296" s="370"/>
      <c r="V296" s="370"/>
      <c r="W296" s="370"/>
      <c r="X296" s="370"/>
      <c r="Y296" s="370"/>
      <c r="Z296" s="370"/>
    </row>
    <row r="297" spans="1:28" ht="30">
      <c r="A297" s="73" t="s">
        <v>510</v>
      </c>
      <c r="B297" s="32">
        <v>6</v>
      </c>
      <c r="C297" s="72">
        <v>0</v>
      </c>
      <c r="D297" s="83" t="s">
        <v>293</v>
      </c>
      <c r="E297" s="73" t="s">
        <v>511</v>
      </c>
      <c r="F297" s="74">
        <v>7703038060994</v>
      </c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 spans="1:28">
      <c r="A298" s="76" t="s">
        <v>2128</v>
      </c>
      <c r="B298" s="74">
        <v>3</v>
      </c>
      <c r="C298" s="75">
        <v>0</v>
      </c>
      <c r="D298" s="336" t="s">
        <v>118</v>
      </c>
      <c r="E298" s="74" t="s">
        <v>75</v>
      </c>
      <c r="F298" s="74">
        <v>7707019345995</v>
      </c>
    </row>
    <row r="299" spans="1:28" ht="30">
      <c r="A299" s="117" t="s">
        <v>752</v>
      </c>
      <c r="B299" s="117">
        <v>3</v>
      </c>
      <c r="C299" s="117">
        <v>0</v>
      </c>
      <c r="D299" s="117" t="s">
        <v>427</v>
      </c>
      <c r="E299" s="112" t="s">
        <v>653</v>
      </c>
      <c r="F299" s="117">
        <v>7707019385175</v>
      </c>
    </row>
    <row r="300" spans="1:28">
      <c r="A300" s="370"/>
      <c r="B300" s="370"/>
      <c r="C300" s="370"/>
      <c r="D300" s="370"/>
      <c r="E300" s="370"/>
      <c r="F300" s="370"/>
      <c r="G300" s="370"/>
      <c r="H300" s="370"/>
      <c r="I300" s="370"/>
      <c r="J300" s="370"/>
      <c r="K300" s="370"/>
      <c r="L300" s="370"/>
      <c r="M300" s="370"/>
      <c r="N300" s="370"/>
      <c r="O300" s="370"/>
      <c r="P300" s="370"/>
      <c r="Q300" s="370"/>
      <c r="R300" s="370"/>
      <c r="S300" s="370"/>
      <c r="T300" s="370"/>
      <c r="U300" s="370"/>
      <c r="V300" s="370"/>
      <c r="W300" s="370"/>
      <c r="X300" s="370"/>
      <c r="Y300" s="370"/>
      <c r="Z300" s="370"/>
    </row>
    <row r="301" spans="1:28">
      <c r="A301" s="76" t="s">
        <v>2129</v>
      </c>
      <c r="B301" s="74">
        <v>1</v>
      </c>
      <c r="C301" s="75">
        <v>0.19</v>
      </c>
      <c r="D301" s="74" t="s">
        <v>2130</v>
      </c>
      <c r="E301" s="74" t="s">
        <v>2131</v>
      </c>
      <c r="F301" s="74">
        <v>7702027479731</v>
      </c>
    </row>
    <row r="302" spans="1:28">
      <c r="A302" s="73" t="s">
        <v>1907</v>
      </c>
      <c r="B302" s="32">
        <v>3</v>
      </c>
      <c r="C302" s="72">
        <v>0</v>
      </c>
      <c r="D302" s="83" t="s">
        <v>527</v>
      </c>
      <c r="E302" s="73" t="s">
        <v>1168</v>
      </c>
      <c r="F302" s="321">
        <v>7707019371260</v>
      </c>
    </row>
    <row r="303" spans="1:28" ht="30">
      <c r="A303" s="73" t="s">
        <v>2132</v>
      </c>
      <c r="B303" s="32">
        <v>1</v>
      </c>
      <c r="C303" s="72">
        <v>0.19</v>
      </c>
      <c r="D303" s="83" t="s">
        <v>2133</v>
      </c>
      <c r="E303" s="73" t="s">
        <v>2134</v>
      </c>
      <c r="F303" s="321">
        <v>7702132001001</v>
      </c>
    </row>
    <row r="304" spans="1:28" ht="30">
      <c r="A304" s="112" t="s">
        <v>67</v>
      </c>
      <c r="B304" s="112">
        <v>1</v>
      </c>
      <c r="C304" s="350">
        <v>0</v>
      </c>
      <c r="D304" s="399" t="s">
        <v>458</v>
      </c>
      <c r="E304" s="112" t="s">
        <v>69</v>
      </c>
      <c r="F304" s="400">
        <v>7803510773319</v>
      </c>
    </row>
    <row r="305" spans="1:26">
      <c r="A305" s="76" t="s">
        <v>2135</v>
      </c>
      <c r="B305" s="74">
        <v>5</v>
      </c>
      <c r="C305" s="75">
        <v>0</v>
      </c>
      <c r="D305" s="74" t="s">
        <v>32</v>
      </c>
      <c r="E305" s="74" t="s">
        <v>75</v>
      </c>
      <c r="F305" s="74">
        <v>7707035511077</v>
      </c>
    </row>
    <row r="306" spans="1:26">
      <c r="A306" s="117" t="s">
        <v>317</v>
      </c>
      <c r="B306" s="117">
        <v>3</v>
      </c>
      <c r="C306" s="345">
        <v>0.19</v>
      </c>
      <c r="D306" s="119" t="s">
        <v>10</v>
      </c>
      <c r="E306" s="112" t="s">
        <v>319</v>
      </c>
      <c r="F306" s="117">
        <v>7707165900161</v>
      </c>
    </row>
    <row r="307" spans="1:26">
      <c r="A307" s="73" t="s">
        <v>712</v>
      </c>
      <c r="B307" s="117">
        <v>2</v>
      </c>
      <c r="C307" s="89">
        <v>0.19</v>
      </c>
      <c r="D307" s="90" t="s">
        <v>32</v>
      </c>
      <c r="E307" s="73" t="s">
        <v>713</v>
      </c>
      <c r="F307" s="321">
        <v>7707165900178</v>
      </c>
      <c r="G307" s="74"/>
    </row>
    <row r="308" spans="1:26">
      <c r="A308" s="370"/>
      <c r="B308" s="370"/>
      <c r="C308" s="370"/>
      <c r="D308" s="370"/>
      <c r="E308" s="370"/>
      <c r="F308" s="370"/>
      <c r="G308" s="370"/>
      <c r="H308" s="370"/>
      <c r="I308" s="370"/>
      <c r="J308" s="370"/>
      <c r="K308" s="370"/>
      <c r="L308" s="370"/>
      <c r="M308" s="370"/>
      <c r="N308" s="370"/>
      <c r="O308" s="370"/>
      <c r="P308" s="370"/>
      <c r="Q308" s="370"/>
      <c r="R308" s="370"/>
      <c r="S308" s="370"/>
      <c r="T308" s="370"/>
      <c r="U308" s="370"/>
      <c r="V308" s="370"/>
      <c r="W308" s="370"/>
      <c r="X308" s="370"/>
      <c r="Y308" s="370"/>
      <c r="Z308" s="370"/>
    </row>
    <row r="309" spans="1:26" ht="30">
      <c r="A309" s="358" t="s">
        <v>2136</v>
      </c>
      <c r="B309" s="358">
        <v>10</v>
      </c>
      <c r="C309" s="401">
        <v>0</v>
      </c>
      <c r="D309" s="402" t="s">
        <v>109</v>
      </c>
      <c r="E309" s="403" t="s">
        <v>2137</v>
      </c>
      <c r="F309" s="404">
        <v>7703712033344</v>
      </c>
      <c r="G309" s="405"/>
      <c r="H309" s="405"/>
      <c r="I309" s="405"/>
      <c r="J309" s="405"/>
      <c r="K309" s="405"/>
      <c r="L309" s="405"/>
      <c r="M309" s="405"/>
      <c r="N309" s="405"/>
      <c r="O309" s="405"/>
      <c r="P309" s="405"/>
      <c r="Q309" s="405"/>
      <c r="R309" s="405"/>
      <c r="S309" s="405"/>
      <c r="T309" s="405"/>
      <c r="U309" s="405"/>
      <c r="V309" s="405"/>
      <c r="W309" s="405"/>
      <c r="X309" s="405"/>
      <c r="Y309" s="405"/>
      <c r="Z309" s="405"/>
    </row>
    <row r="310" spans="1:26">
      <c r="A310" s="74" t="s">
        <v>350</v>
      </c>
      <c r="B310" s="74">
        <v>2</v>
      </c>
      <c r="C310" s="75">
        <v>0</v>
      </c>
      <c r="D310" s="74" t="s">
        <v>318</v>
      </c>
      <c r="E310" s="74" t="s">
        <v>351</v>
      </c>
      <c r="F310" s="74">
        <v>7707035560037</v>
      </c>
      <c r="G310" s="74"/>
    </row>
    <row r="311" spans="1:26">
      <c r="A311" s="117" t="s">
        <v>1127</v>
      </c>
      <c r="B311" s="117">
        <v>3</v>
      </c>
      <c r="C311" s="117">
        <v>0</v>
      </c>
      <c r="D311" s="117" t="s">
        <v>527</v>
      </c>
      <c r="E311" s="117" t="s">
        <v>228</v>
      </c>
      <c r="F311" s="117">
        <v>8903726322109</v>
      </c>
    </row>
    <row r="312" spans="1:26">
      <c r="A312" s="370"/>
      <c r="B312" s="370"/>
      <c r="C312" s="370"/>
      <c r="D312" s="370"/>
      <c r="E312" s="370"/>
      <c r="F312" s="370"/>
      <c r="G312" s="370"/>
      <c r="H312" s="370"/>
      <c r="I312" s="370"/>
      <c r="J312" s="370"/>
      <c r="K312" s="370"/>
      <c r="L312" s="370"/>
      <c r="M312" s="370"/>
      <c r="N312" s="370"/>
      <c r="O312" s="370"/>
      <c r="P312" s="370"/>
      <c r="Q312" s="370"/>
      <c r="R312" s="370"/>
      <c r="S312" s="370"/>
      <c r="T312" s="370"/>
      <c r="U312" s="370"/>
      <c r="V312" s="370"/>
      <c r="W312" s="370"/>
      <c r="X312" s="370"/>
      <c r="Y312" s="370"/>
      <c r="Z312" s="370"/>
    </row>
    <row r="313" spans="1:26">
      <c r="A313" s="76" t="s">
        <v>693</v>
      </c>
      <c r="B313" s="32">
        <v>10</v>
      </c>
      <c r="C313" s="72">
        <v>0</v>
      </c>
      <c r="D313" s="32" t="s">
        <v>694</v>
      </c>
      <c r="E313" s="74" t="s">
        <v>695</v>
      </c>
      <c r="F313" s="378">
        <v>7707274721053</v>
      </c>
    </row>
    <row r="314" spans="1:26">
      <c r="A314" s="370"/>
      <c r="B314" s="370"/>
      <c r="C314" s="370"/>
      <c r="D314" s="370"/>
      <c r="E314" s="370"/>
      <c r="F314" s="370"/>
      <c r="G314" s="370"/>
      <c r="H314" s="370"/>
      <c r="I314" s="370"/>
      <c r="J314" s="370"/>
      <c r="K314" s="370"/>
      <c r="L314" s="370"/>
      <c r="M314" s="370"/>
      <c r="N314" s="370"/>
      <c r="O314" s="370"/>
      <c r="P314" s="370"/>
      <c r="Q314" s="370"/>
      <c r="R314" s="370"/>
      <c r="S314" s="370"/>
      <c r="T314" s="370"/>
      <c r="U314" s="370"/>
      <c r="V314" s="370"/>
      <c r="W314" s="370"/>
      <c r="X314" s="370"/>
      <c r="Y314" s="370"/>
      <c r="Z314" s="370"/>
    </row>
    <row r="315" spans="1:26" ht="30">
      <c r="A315" s="73" t="s">
        <v>2138</v>
      </c>
      <c r="B315" s="32">
        <v>3</v>
      </c>
      <c r="C315" s="72">
        <v>0</v>
      </c>
      <c r="D315" s="83" t="s">
        <v>2139</v>
      </c>
      <c r="E315" s="73" t="s">
        <v>2140</v>
      </c>
      <c r="F315" s="321">
        <v>7707274721183</v>
      </c>
    </row>
    <row r="316" spans="1:26" ht="30">
      <c r="A316" s="73" t="s">
        <v>2138</v>
      </c>
      <c r="B316" s="32">
        <v>3</v>
      </c>
      <c r="C316" s="72">
        <v>0</v>
      </c>
      <c r="D316" s="83" t="s">
        <v>2139</v>
      </c>
      <c r="E316" s="73" t="s">
        <v>2140</v>
      </c>
      <c r="F316" s="321">
        <v>7707274721183</v>
      </c>
    </row>
    <row r="317" spans="1:26" ht="30">
      <c r="A317" s="73" t="s">
        <v>735</v>
      </c>
      <c r="B317" s="32">
        <v>10</v>
      </c>
      <c r="C317" s="72">
        <v>0</v>
      </c>
      <c r="D317" s="83" t="s">
        <v>80</v>
      </c>
      <c r="E317" s="73" t="s">
        <v>81</v>
      </c>
      <c r="F317" s="321">
        <v>7501125132056</v>
      </c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</row>
    <row r="318" spans="1:26" ht="30">
      <c r="A318" s="74" t="s">
        <v>2141</v>
      </c>
      <c r="B318" s="74">
        <v>2</v>
      </c>
      <c r="C318" s="75">
        <v>0.19</v>
      </c>
      <c r="D318" s="336" t="s">
        <v>2142</v>
      </c>
      <c r="E318" s="76" t="s">
        <v>2143</v>
      </c>
      <c r="F318" s="378">
        <v>7702027440243</v>
      </c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</row>
    <row r="319" spans="1:26" ht="30">
      <c r="A319" s="73" t="s">
        <v>449</v>
      </c>
      <c r="B319" s="32">
        <v>3</v>
      </c>
      <c r="C319" s="82">
        <v>0</v>
      </c>
      <c r="D319" s="83" t="s">
        <v>676</v>
      </c>
      <c r="E319" s="73" t="s">
        <v>451</v>
      </c>
      <c r="F319" s="32">
        <v>7702814107564</v>
      </c>
      <c r="H319" s="32"/>
      <c r="I319" s="32"/>
      <c r="J319" s="32"/>
    </row>
    <row r="320" spans="1:26" ht="30">
      <c r="A320" s="73" t="s">
        <v>1335</v>
      </c>
      <c r="B320" s="32">
        <v>1</v>
      </c>
      <c r="C320" s="72">
        <v>0</v>
      </c>
      <c r="D320" s="83" t="s">
        <v>1336</v>
      </c>
      <c r="E320" s="73" t="s">
        <v>1337</v>
      </c>
      <c r="F320" s="321">
        <v>8437019299583</v>
      </c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>
      <c r="A321" s="370"/>
      <c r="B321" s="370"/>
      <c r="C321" s="370"/>
      <c r="D321" s="370"/>
      <c r="E321" s="370"/>
      <c r="F321" s="370"/>
      <c r="G321" s="370"/>
      <c r="H321" s="370"/>
      <c r="I321" s="370"/>
      <c r="J321" s="370"/>
      <c r="K321" s="370"/>
      <c r="L321" s="370"/>
      <c r="M321" s="370"/>
      <c r="N321" s="370"/>
      <c r="O321" s="370"/>
      <c r="P321" s="370"/>
      <c r="Q321" s="370"/>
      <c r="R321" s="370"/>
      <c r="S321" s="370"/>
      <c r="T321" s="370"/>
      <c r="U321" s="370"/>
      <c r="V321" s="370"/>
      <c r="W321" s="370"/>
      <c r="X321" s="370"/>
      <c r="Y321" s="370"/>
      <c r="Z321" s="370"/>
    </row>
    <row r="322" spans="1:26">
      <c r="A322" s="112" t="s">
        <v>1339</v>
      </c>
      <c r="B322" s="32">
        <v>6</v>
      </c>
      <c r="C322" s="72">
        <v>0</v>
      </c>
      <c r="D322" s="81" t="s">
        <v>1116</v>
      </c>
      <c r="E322" s="73" t="s">
        <v>1340</v>
      </c>
      <c r="F322" s="321">
        <v>7703689000448</v>
      </c>
    </row>
    <row r="323" spans="1:26">
      <c r="A323" s="195" t="s">
        <v>2144</v>
      </c>
      <c r="B323" s="200">
        <v>2</v>
      </c>
      <c r="C323" s="360">
        <v>0</v>
      </c>
      <c r="D323" s="361" t="s">
        <v>103</v>
      </c>
      <c r="E323" s="195" t="s">
        <v>2145</v>
      </c>
      <c r="F323" s="373">
        <v>7703153039752</v>
      </c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30">
      <c r="A324" s="380" t="s">
        <v>1852</v>
      </c>
      <c r="B324" s="92">
        <v>10</v>
      </c>
      <c r="C324" s="381">
        <v>0</v>
      </c>
      <c r="D324" s="381" t="s">
        <v>331</v>
      </c>
      <c r="E324" s="92" t="s">
        <v>1853</v>
      </c>
      <c r="F324" s="92">
        <v>7707141349298</v>
      </c>
    </row>
    <row r="325" spans="1:26">
      <c r="A325" s="370"/>
      <c r="B325" s="370"/>
      <c r="C325" s="370"/>
      <c r="D325" s="370"/>
      <c r="E325" s="370"/>
      <c r="F325" s="370"/>
      <c r="G325" s="370"/>
      <c r="H325" s="370"/>
      <c r="I325" s="370"/>
      <c r="J325" s="370"/>
      <c r="K325" s="370"/>
      <c r="L325" s="370"/>
      <c r="M325" s="370"/>
      <c r="N325" s="370"/>
      <c r="O325" s="370"/>
      <c r="P325" s="370"/>
      <c r="Q325" s="370"/>
      <c r="R325" s="370"/>
      <c r="S325" s="370"/>
      <c r="T325" s="370"/>
      <c r="U325" s="370"/>
      <c r="V325" s="370"/>
      <c r="W325" s="370"/>
      <c r="X325" s="370"/>
      <c r="Y325" s="370"/>
      <c r="Z325" s="370"/>
    </row>
    <row r="326" spans="1:26">
      <c r="A326" s="74" t="s">
        <v>2146</v>
      </c>
      <c r="B326" s="74">
        <v>3</v>
      </c>
      <c r="C326" s="75">
        <v>0.19</v>
      </c>
      <c r="D326" s="336" t="s">
        <v>80</v>
      </c>
      <c r="E326" s="74" t="s">
        <v>2147</v>
      </c>
      <c r="F326" s="74">
        <v>7702006206815</v>
      </c>
      <c r="G326" s="74"/>
      <c r="H326" s="74"/>
      <c r="I326" s="74"/>
      <c r="J326" s="74"/>
      <c r="K326" s="74"/>
      <c r="L326" s="74"/>
      <c r="M326" s="74"/>
      <c r="N326" s="74"/>
      <c r="O326" s="74"/>
    </row>
    <row r="327" spans="1:26">
      <c r="A327" s="74" t="s">
        <v>2148</v>
      </c>
      <c r="B327" s="74">
        <v>3</v>
      </c>
      <c r="C327" s="75">
        <v>0.19</v>
      </c>
      <c r="D327" s="74" t="s">
        <v>80</v>
      </c>
      <c r="E327" s="74" t="s">
        <v>2147</v>
      </c>
      <c r="F327" s="74">
        <v>7702006206808</v>
      </c>
    </row>
    <row r="328" spans="1:26" ht="30">
      <c r="A328" s="117" t="s">
        <v>147</v>
      </c>
      <c r="B328" s="117">
        <v>6</v>
      </c>
      <c r="C328" s="117">
        <v>0</v>
      </c>
      <c r="D328" s="117" t="s">
        <v>85</v>
      </c>
      <c r="E328" s="112" t="s">
        <v>148</v>
      </c>
      <c r="F328" s="117">
        <v>7709947559772</v>
      </c>
    </row>
    <row r="329" spans="1:26" ht="30">
      <c r="A329" s="73" t="s">
        <v>514</v>
      </c>
      <c r="B329" s="32">
        <v>1</v>
      </c>
      <c r="C329" s="72">
        <v>0</v>
      </c>
      <c r="D329" s="32" t="s">
        <v>2149</v>
      </c>
      <c r="E329" s="73" t="s">
        <v>516</v>
      </c>
      <c r="F329" s="32">
        <v>7703202221282</v>
      </c>
      <c r="G329" s="74"/>
    </row>
    <row r="330" spans="1:26">
      <c r="A330" s="112" t="s">
        <v>2150</v>
      </c>
      <c r="B330" s="117">
        <v>2</v>
      </c>
      <c r="C330" s="345">
        <v>0</v>
      </c>
      <c r="D330" s="119" t="s">
        <v>2151</v>
      </c>
      <c r="E330" s="112" t="s">
        <v>2152</v>
      </c>
      <c r="F330" s="117">
        <v>7704412100527</v>
      </c>
    </row>
    <row r="331" spans="1:26">
      <c r="A331" s="117" t="s">
        <v>2153</v>
      </c>
      <c r="B331" s="117">
        <v>3</v>
      </c>
      <c r="C331" s="345">
        <v>0.19</v>
      </c>
      <c r="D331" s="117" t="s">
        <v>2154</v>
      </c>
      <c r="E331" s="117" t="s">
        <v>2155</v>
      </c>
      <c r="F331" s="117">
        <v>7702026147624</v>
      </c>
    </row>
    <row r="332" spans="1:26" ht="30">
      <c r="A332" s="76" t="s">
        <v>1254</v>
      </c>
      <c r="B332" s="74">
        <v>3</v>
      </c>
      <c r="C332" s="75">
        <v>0</v>
      </c>
      <c r="D332" s="91" t="s">
        <v>74</v>
      </c>
      <c r="E332" s="76" t="s">
        <v>1255</v>
      </c>
      <c r="F332" s="74">
        <v>7707172685778</v>
      </c>
    </row>
    <row r="333" spans="1:26" ht="30">
      <c r="A333" s="73" t="s">
        <v>505</v>
      </c>
      <c r="B333" s="32">
        <v>1</v>
      </c>
      <c r="C333" s="72">
        <v>0</v>
      </c>
      <c r="D333" s="83" t="s">
        <v>2156</v>
      </c>
      <c r="E333" s="73" t="s">
        <v>507</v>
      </c>
      <c r="F333" s="32">
        <v>7707733979537</v>
      </c>
    </row>
    <row r="334" spans="1:26">
      <c r="A334" s="370"/>
      <c r="B334" s="370"/>
      <c r="C334" s="370"/>
      <c r="D334" s="370"/>
      <c r="E334" s="370"/>
      <c r="F334" s="370"/>
      <c r="G334" s="370"/>
      <c r="H334" s="370"/>
      <c r="I334" s="370"/>
      <c r="J334" s="370"/>
      <c r="K334" s="370"/>
      <c r="L334" s="370"/>
      <c r="M334" s="370"/>
      <c r="N334" s="370"/>
      <c r="O334" s="370"/>
      <c r="P334" s="370"/>
      <c r="Q334" s="370"/>
      <c r="R334" s="370"/>
      <c r="S334" s="370"/>
      <c r="T334" s="370"/>
      <c r="U334" s="370"/>
      <c r="V334" s="370"/>
      <c r="W334" s="370"/>
      <c r="X334" s="370"/>
      <c r="Y334" s="370"/>
      <c r="Z334" s="370"/>
    </row>
    <row r="335" spans="1:26">
      <c r="A335" s="195" t="s">
        <v>1058</v>
      </c>
      <c r="B335" s="200">
        <v>2</v>
      </c>
      <c r="C335" s="360">
        <v>0</v>
      </c>
      <c r="D335" s="200" t="s">
        <v>740</v>
      </c>
      <c r="E335" s="195" t="s">
        <v>1060</v>
      </c>
      <c r="F335" s="382">
        <v>7709225183033</v>
      </c>
      <c r="G335" s="74"/>
    </row>
    <row r="336" spans="1:26" ht="30">
      <c r="A336" s="76" t="s">
        <v>905</v>
      </c>
      <c r="B336" s="74">
        <v>2</v>
      </c>
      <c r="C336" s="75">
        <v>0</v>
      </c>
      <c r="D336" s="74" t="s">
        <v>85</v>
      </c>
      <c r="E336" s="76" t="s">
        <v>906</v>
      </c>
      <c r="F336" s="74">
        <v>7706569021014</v>
      </c>
    </row>
    <row r="337" spans="1:26" ht="30">
      <c r="A337" s="74" t="s">
        <v>2157</v>
      </c>
      <c r="B337" s="74">
        <v>8</v>
      </c>
      <c r="C337" s="75">
        <v>0</v>
      </c>
      <c r="D337" s="336" t="s">
        <v>491</v>
      </c>
      <c r="E337" s="76" t="s">
        <v>75</v>
      </c>
      <c r="F337" s="359">
        <v>7707019350227</v>
      </c>
      <c r="G337" s="74"/>
      <c r="H337" s="74"/>
      <c r="I337" s="74"/>
      <c r="J337" s="74"/>
      <c r="K337" s="74"/>
      <c r="L337" s="74"/>
      <c r="M337" s="74"/>
      <c r="N337" s="74"/>
      <c r="O337" s="74"/>
    </row>
    <row r="338" spans="1:26">
      <c r="A338" s="370"/>
      <c r="B338" s="370"/>
      <c r="C338" s="370"/>
      <c r="D338" s="370"/>
      <c r="E338" s="370"/>
      <c r="F338" s="370"/>
      <c r="G338" s="370"/>
      <c r="H338" s="370"/>
      <c r="I338" s="370"/>
      <c r="J338" s="370"/>
      <c r="K338" s="370"/>
      <c r="L338" s="370"/>
      <c r="M338" s="370"/>
      <c r="N338" s="370"/>
      <c r="O338" s="370"/>
      <c r="P338" s="370"/>
      <c r="Q338" s="370"/>
      <c r="R338" s="370"/>
      <c r="S338" s="370"/>
      <c r="T338" s="370"/>
      <c r="U338" s="370"/>
      <c r="V338" s="370"/>
      <c r="W338" s="370"/>
      <c r="X338" s="370"/>
      <c r="Y338" s="370"/>
      <c r="Z338" s="370"/>
    </row>
    <row r="339" spans="1:26">
      <c r="A339" s="74" t="s">
        <v>478</v>
      </c>
      <c r="B339" s="74">
        <v>10</v>
      </c>
      <c r="C339" s="75">
        <v>0</v>
      </c>
      <c r="D339" s="74" t="s">
        <v>109</v>
      </c>
      <c r="E339" s="74" t="s">
        <v>479</v>
      </c>
      <c r="F339" s="74">
        <v>7708937097874</v>
      </c>
    </row>
    <row r="340" spans="1:26">
      <c r="A340" s="73" t="s">
        <v>1872</v>
      </c>
      <c r="B340" s="32">
        <v>3</v>
      </c>
      <c r="C340" s="72">
        <v>0</v>
      </c>
      <c r="D340" s="83" t="s">
        <v>348</v>
      </c>
      <c r="E340" s="73" t="s">
        <v>1873</v>
      </c>
      <c r="F340" s="321">
        <v>7702057067212</v>
      </c>
    </row>
    <row r="341" spans="1:26" ht="30">
      <c r="A341" s="117" t="s">
        <v>627</v>
      </c>
      <c r="B341" s="117">
        <v>1</v>
      </c>
      <c r="C341" s="345">
        <v>0.19</v>
      </c>
      <c r="D341" s="117" t="s">
        <v>26</v>
      </c>
      <c r="E341" s="112" t="s">
        <v>628</v>
      </c>
      <c r="F341" s="117">
        <v>8411135009677</v>
      </c>
    </row>
    <row r="342" spans="1:26" ht="30">
      <c r="A342" s="195" t="s">
        <v>2158</v>
      </c>
      <c r="B342" s="200">
        <v>2</v>
      </c>
      <c r="C342" s="360">
        <v>0</v>
      </c>
      <c r="D342" s="200" t="s">
        <v>1366</v>
      </c>
      <c r="E342" s="195" t="s">
        <v>174</v>
      </c>
      <c r="F342" s="373">
        <v>7709990383638</v>
      </c>
    </row>
    <row r="343" spans="1:26" ht="30">
      <c r="A343" s="112" t="s">
        <v>2159</v>
      </c>
      <c r="B343" s="117">
        <v>2</v>
      </c>
      <c r="C343" s="118">
        <v>0</v>
      </c>
      <c r="D343" s="116" t="s">
        <v>85</v>
      </c>
      <c r="E343" s="112" t="s">
        <v>2160</v>
      </c>
      <c r="F343" s="117">
        <v>7704412118966</v>
      </c>
    </row>
    <row r="344" spans="1:26">
      <c r="A344" s="370"/>
      <c r="B344" s="370"/>
      <c r="C344" s="370"/>
      <c r="D344" s="370"/>
      <c r="E344" s="370"/>
      <c r="F344" s="370"/>
      <c r="G344" s="370"/>
      <c r="H344" s="370"/>
      <c r="I344" s="370"/>
      <c r="J344" s="370"/>
      <c r="K344" s="370"/>
      <c r="L344" s="370"/>
      <c r="M344" s="370"/>
      <c r="N344" s="370"/>
      <c r="O344" s="370"/>
      <c r="P344" s="370"/>
      <c r="Q344" s="370"/>
      <c r="R344" s="370"/>
      <c r="S344" s="370"/>
      <c r="T344" s="370"/>
      <c r="U344" s="370"/>
      <c r="V344" s="370"/>
      <c r="W344" s="370"/>
      <c r="X344" s="370"/>
      <c r="Y344" s="370"/>
      <c r="Z344" s="370"/>
    </row>
    <row r="345" spans="1:26">
      <c r="A345" s="73" t="s">
        <v>2161</v>
      </c>
      <c r="B345" s="32">
        <v>1</v>
      </c>
      <c r="C345" s="72">
        <v>0</v>
      </c>
      <c r="D345" s="83" t="s">
        <v>527</v>
      </c>
      <c r="E345" s="73" t="s">
        <v>431</v>
      </c>
      <c r="F345" s="32">
        <v>7703038067511</v>
      </c>
    </row>
    <row r="346" spans="1:26">
      <c r="A346" s="96" t="s">
        <v>777</v>
      </c>
      <c r="B346" s="96">
        <v>1</v>
      </c>
      <c r="C346" s="97">
        <v>0.19</v>
      </c>
      <c r="D346" s="120" t="s">
        <v>702</v>
      </c>
      <c r="E346" s="152" t="s">
        <v>583</v>
      </c>
      <c r="F346" s="375">
        <v>650240036965</v>
      </c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30">
      <c r="A347" s="32" t="s">
        <v>762</v>
      </c>
      <c r="B347" s="32">
        <v>6</v>
      </c>
      <c r="C347" s="72">
        <v>0</v>
      </c>
      <c r="D347" s="72" t="s">
        <v>38</v>
      </c>
      <c r="E347" s="76" t="s">
        <v>121</v>
      </c>
      <c r="F347" s="321">
        <v>7501125184864</v>
      </c>
    </row>
    <row r="348" spans="1:26" ht="30">
      <c r="A348" s="117" t="s">
        <v>2162</v>
      </c>
      <c r="B348" s="117">
        <v>1</v>
      </c>
      <c r="C348" s="345">
        <v>0.19</v>
      </c>
      <c r="D348" s="119" t="s">
        <v>2163</v>
      </c>
      <c r="E348" s="112" t="s">
        <v>1083</v>
      </c>
      <c r="F348" s="117">
        <v>7702277960881</v>
      </c>
    </row>
    <row r="349" spans="1:26">
      <c r="A349" s="32" t="s">
        <v>965</v>
      </c>
      <c r="B349" s="32">
        <v>10</v>
      </c>
      <c r="C349" s="89">
        <v>0</v>
      </c>
      <c r="D349" s="90" t="s">
        <v>118</v>
      </c>
      <c r="E349" s="73" t="s">
        <v>966</v>
      </c>
      <c r="F349" s="32">
        <v>7707177971616</v>
      </c>
    </row>
    <row r="350" spans="1:26" ht="30">
      <c r="A350" s="117" t="s">
        <v>2164</v>
      </c>
      <c r="B350" s="117">
        <v>2</v>
      </c>
      <c r="C350" s="345">
        <v>0</v>
      </c>
      <c r="D350" s="117" t="s">
        <v>23</v>
      </c>
      <c r="E350" s="112" t="s">
        <v>2160</v>
      </c>
      <c r="F350" s="376">
        <v>7707236127657</v>
      </c>
    </row>
    <row r="351" spans="1:26">
      <c r="A351" s="370"/>
      <c r="B351" s="370"/>
      <c r="C351" s="370"/>
      <c r="D351" s="370"/>
      <c r="E351" s="370"/>
      <c r="F351" s="370"/>
      <c r="G351" s="370"/>
      <c r="H351" s="370"/>
      <c r="I351" s="370"/>
      <c r="J351" s="370"/>
      <c r="K351" s="370"/>
      <c r="L351" s="370"/>
      <c r="M351" s="370"/>
      <c r="N351" s="370"/>
      <c r="O351" s="370"/>
      <c r="P351" s="370"/>
      <c r="Q351" s="370"/>
      <c r="R351" s="370"/>
      <c r="S351" s="370"/>
      <c r="T351" s="370"/>
      <c r="U351" s="370"/>
      <c r="V351" s="370"/>
      <c r="W351" s="370"/>
      <c r="X351" s="370"/>
      <c r="Y351" s="370"/>
      <c r="Z351" s="370"/>
    </row>
    <row r="352" spans="1:26" ht="30">
      <c r="A352" s="73" t="s">
        <v>1193</v>
      </c>
      <c r="B352" s="32">
        <v>1</v>
      </c>
      <c r="C352" s="72">
        <v>0</v>
      </c>
      <c r="D352" s="83" t="s">
        <v>2165</v>
      </c>
      <c r="E352" s="73" t="s">
        <v>1195</v>
      </c>
      <c r="F352" s="32">
        <v>7702057018054</v>
      </c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26">
      <c r="A353" s="73" t="s">
        <v>2166</v>
      </c>
      <c r="B353" s="32">
        <v>1</v>
      </c>
      <c r="C353" s="72">
        <v>0</v>
      </c>
      <c r="D353" s="83" t="s">
        <v>603</v>
      </c>
      <c r="E353" s="73" t="s">
        <v>2167</v>
      </c>
      <c r="F353" s="321">
        <v>7703153020330</v>
      </c>
    </row>
    <row r="354" spans="1:26" ht="30">
      <c r="A354" s="117" t="s">
        <v>2168</v>
      </c>
      <c r="B354" s="117">
        <v>8</v>
      </c>
      <c r="C354" s="117">
        <v>0</v>
      </c>
      <c r="D354" s="117" t="s">
        <v>74</v>
      </c>
      <c r="E354" s="112" t="s">
        <v>2169</v>
      </c>
      <c r="F354" s="117">
        <v>7709870535164</v>
      </c>
    </row>
    <row r="355" spans="1:26" ht="30">
      <c r="A355" s="76" t="s">
        <v>555</v>
      </c>
      <c r="B355" s="74">
        <v>2</v>
      </c>
      <c r="C355" s="75">
        <v>0</v>
      </c>
      <c r="D355" s="74" t="s">
        <v>74</v>
      </c>
      <c r="E355" s="76" t="s">
        <v>556</v>
      </c>
      <c r="F355" s="372">
        <v>7707288826935</v>
      </c>
    </row>
    <row r="356" spans="1:26">
      <c r="A356" s="73" t="s">
        <v>2170</v>
      </c>
      <c r="B356" s="32">
        <v>3</v>
      </c>
      <c r="C356" s="72">
        <v>0</v>
      </c>
      <c r="D356" s="72" t="s">
        <v>59</v>
      </c>
      <c r="E356" s="32" t="s">
        <v>2171</v>
      </c>
      <c r="F356" s="321">
        <v>7707232095769</v>
      </c>
    </row>
    <row r="357" spans="1:26">
      <c r="A357" s="370"/>
      <c r="B357" s="370"/>
      <c r="C357" s="370"/>
      <c r="D357" s="370"/>
      <c r="E357" s="370"/>
      <c r="F357" s="370"/>
      <c r="G357" s="370"/>
      <c r="H357" s="370"/>
      <c r="I357" s="370"/>
      <c r="J357" s="370"/>
      <c r="K357" s="370"/>
      <c r="L357" s="370"/>
      <c r="M357" s="370"/>
      <c r="N357" s="370"/>
      <c r="O357" s="370"/>
      <c r="P357" s="370"/>
      <c r="Q357" s="370"/>
      <c r="R357" s="370"/>
      <c r="S357" s="370"/>
      <c r="T357" s="370"/>
      <c r="U357" s="370"/>
      <c r="V357" s="370"/>
      <c r="W357" s="370"/>
      <c r="X357" s="370"/>
      <c r="Y357" s="370"/>
      <c r="Z357" s="370"/>
    </row>
    <row r="358" spans="1:26" ht="30">
      <c r="A358" s="73" t="s">
        <v>2172</v>
      </c>
      <c r="B358" s="32">
        <v>2</v>
      </c>
      <c r="C358" s="72">
        <v>0</v>
      </c>
      <c r="D358" s="72" t="s">
        <v>56</v>
      </c>
      <c r="E358" s="32" t="s">
        <v>2173</v>
      </c>
      <c r="F358" s="321">
        <v>7709402351125</v>
      </c>
    </row>
    <row r="359" spans="1:26">
      <c r="A359" s="73" t="s">
        <v>2174</v>
      </c>
      <c r="B359" s="32">
        <v>1</v>
      </c>
      <c r="C359" s="72">
        <v>0</v>
      </c>
      <c r="D359" s="72" t="s">
        <v>427</v>
      </c>
      <c r="E359" s="32" t="s">
        <v>2175</v>
      </c>
      <c r="F359" s="321">
        <v>7703712035980</v>
      </c>
    </row>
    <row r="360" spans="1:26">
      <c r="A360" s="73" t="s">
        <v>598</v>
      </c>
      <c r="B360" s="32" t="s">
        <v>599</v>
      </c>
      <c r="C360" s="72">
        <v>0</v>
      </c>
      <c r="D360" s="72" t="s">
        <v>600</v>
      </c>
      <c r="E360" s="32" t="s">
        <v>601</v>
      </c>
      <c r="F360" s="321">
        <v>7702003985812</v>
      </c>
    </row>
    <row r="361" spans="1:26">
      <c r="A361" s="370"/>
      <c r="B361" s="370"/>
      <c r="C361" s="370"/>
      <c r="D361" s="370"/>
      <c r="E361" s="370"/>
      <c r="F361" s="370"/>
      <c r="G361" s="370"/>
      <c r="H361" s="370"/>
      <c r="I361" s="370"/>
      <c r="J361" s="370"/>
      <c r="K361" s="370"/>
      <c r="L361" s="370"/>
      <c r="M361" s="370"/>
      <c r="N361" s="370"/>
      <c r="O361" s="370"/>
      <c r="P361" s="370"/>
      <c r="Q361" s="370"/>
      <c r="R361" s="370"/>
      <c r="S361" s="370"/>
      <c r="T361" s="370"/>
      <c r="U361" s="370"/>
      <c r="V361" s="370"/>
      <c r="W361" s="370"/>
      <c r="X361" s="370"/>
      <c r="Y361" s="370"/>
      <c r="Z361" s="370"/>
    </row>
    <row r="362" spans="1:26" ht="30">
      <c r="A362" s="73" t="s">
        <v>2176</v>
      </c>
      <c r="B362" s="32">
        <v>1</v>
      </c>
      <c r="C362" s="82">
        <v>0</v>
      </c>
      <c r="D362" s="83" t="s">
        <v>759</v>
      </c>
      <c r="E362" s="73" t="s">
        <v>2177</v>
      </c>
      <c r="F362" s="371">
        <v>7861073971580</v>
      </c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6" ht="30">
      <c r="A363" s="117" t="s">
        <v>629</v>
      </c>
      <c r="B363" s="117">
        <v>6</v>
      </c>
      <c r="C363" s="117">
        <v>0</v>
      </c>
      <c r="D363" s="117" t="s">
        <v>38</v>
      </c>
      <c r="E363" s="112" t="s">
        <v>630</v>
      </c>
      <c r="F363" s="117">
        <v>7702057075101</v>
      </c>
    </row>
    <row r="364" spans="1:26" ht="30">
      <c r="A364" s="73" t="s">
        <v>531</v>
      </c>
      <c r="B364" s="32">
        <v>4</v>
      </c>
      <c r="C364" s="72">
        <v>0</v>
      </c>
      <c r="D364" s="83" t="s">
        <v>91</v>
      </c>
      <c r="E364" s="73" t="s">
        <v>532</v>
      </c>
      <c r="F364" s="32">
        <v>7702896000364</v>
      </c>
      <c r="G364" s="74"/>
      <c r="H364" s="74"/>
      <c r="I364" s="74"/>
      <c r="J364" s="74"/>
      <c r="K364" s="74"/>
      <c r="L364" s="74"/>
      <c r="M364" s="74"/>
      <c r="N364" s="74"/>
      <c r="O364" s="74"/>
    </row>
    <row r="365" spans="1:26" ht="30">
      <c r="A365" s="152" t="s">
        <v>2178</v>
      </c>
      <c r="B365" s="96">
        <v>3</v>
      </c>
      <c r="C365" s="97">
        <v>0</v>
      </c>
      <c r="D365" s="120" t="s">
        <v>85</v>
      </c>
      <c r="E365" s="112" t="s">
        <v>2179</v>
      </c>
      <c r="F365" s="375">
        <v>7501033959967</v>
      </c>
    </row>
    <row r="366" spans="1:26" ht="30">
      <c r="A366" s="73" t="s">
        <v>164</v>
      </c>
      <c r="B366" s="74">
        <v>3</v>
      </c>
      <c r="C366" s="75">
        <v>0</v>
      </c>
      <c r="D366" s="74" t="s">
        <v>85</v>
      </c>
      <c r="E366" s="73" t="s">
        <v>165</v>
      </c>
      <c r="F366" s="379">
        <v>7501033961557</v>
      </c>
    </row>
    <row r="367" spans="1:26" ht="30">
      <c r="A367" s="32" t="s">
        <v>370</v>
      </c>
      <c r="B367" s="74">
        <v>3</v>
      </c>
      <c r="C367" s="75">
        <v>0</v>
      </c>
      <c r="D367" s="336" t="s">
        <v>85</v>
      </c>
      <c r="E367" s="73" t="s">
        <v>165</v>
      </c>
      <c r="F367" s="32">
        <v>7501033957376</v>
      </c>
    </row>
    <row r="368" spans="1:26" ht="30">
      <c r="A368" s="73" t="s">
        <v>371</v>
      </c>
      <c r="B368" s="32">
        <v>1</v>
      </c>
      <c r="C368" s="72">
        <v>0</v>
      </c>
      <c r="D368" s="83" t="s">
        <v>85</v>
      </c>
      <c r="E368" s="73" t="s">
        <v>251</v>
      </c>
      <c r="F368" s="321">
        <v>7702057010874</v>
      </c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26">
      <c r="A369" s="73" t="s">
        <v>2180</v>
      </c>
      <c r="B369" s="32">
        <v>1</v>
      </c>
      <c r="C369" s="72">
        <v>0</v>
      </c>
      <c r="D369" s="32" t="s">
        <v>85</v>
      </c>
      <c r="E369" s="32" t="s">
        <v>251</v>
      </c>
      <c r="F369" s="32">
        <v>7702057015428</v>
      </c>
    </row>
    <row r="370" spans="1:26" ht="30">
      <c r="A370" s="32" t="s">
        <v>457</v>
      </c>
      <c r="B370" s="32">
        <v>3</v>
      </c>
      <c r="C370" s="32">
        <v>0</v>
      </c>
      <c r="D370" s="32" t="s">
        <v>458</v>
      </c>
      <c r="E370" s="73" t="s">
        <v>459</v>
      </c>
      <c r="F370" s="371">
        <v>7705713400019</v>
      </c>
    </row>
    <row r="371" spans="1:26">
      <c r="A371" s="370"/>
      <c r="B371" s="370"/>
      <c r="C371" s="370"/>
      <c r="D371" s="370"/>
      <c r="E371" s="370"/>
      <c r="F371" s="370"/>
      <c r="G371" s="370"/>
      <c r="H371" s="370"/>
      <c r="I371" s="370"/>
      <c r="J371" s="370"/>
      <c r="K371" s="370"/>
      <c r="L371" s="370"/>
      <c r="M371" s="370"/>
      <c r="N371" s="370"/>
      <c r="O371" s="370"/>
      <c r="P371" s="370"/>
      <c r="Q371" s="370"/>
      <c r="R371" s="370"/>
      <c r="S371" s="370"/>
      <c r="T371" s="370"/>
      <c r="U371" s="370"/>
      <c r="V371" s="370"/>
      <c r="W371" s="370"/>
      <c r="X371" s="370"/>
      <c r="Y371" s="370"/>
      <c r="Z371" s="370"/>
    </row>
    <row r="372" spans="1:26">
      <c r="A372" s="76" t="s">
        <v>178</v>
      </c>
      <c r="B372" s="74">
        <v>7</v>
      </c>
      <c r="C372" s="75">
        <v>0</v>
      </c>
      <c r="D372" s="74" t="s">
        <v>10</v>
      </c>
      <c r="E372" s="74" t="s">
        <v>179</v>
      </c>
      <c r="F372" s="378">
        <v>7730766003375</v>
      </c>
    </row>
    <row r="373" spans="1:26">
      <c r="A373" s="117" t="s">
        <v>939</v>
      </c>
      <c r="B373" s="117">
        <v>1</v>
      </c>
      <c r="C373" s="345">
        <v>0</v>
      </c>
      <c r="D373" s="119" t="s">
        <v>940</v>
      </c>
      <c r="E373" s="117" t="s">
        <v>182</v>
      </c>
      <c r="F373" s="117">
        <v>7707367050985</v>
      </c>
    </row>
    <row r="374" spans="1:26" ht="30">
      <c r="A374" s="32" t="s">
        <v>2181</v>
      </c>
      <c r="B374" s="32">
        <v>7</v>
      </c>
      <c r="C374" s="72">
        <v>0</v>
      </c>
      <c r="D374" s="72" t="s">
        <v>23</v>
      </c>
      <c r="E374" s="73" t="s">
        <v>2182</v>
      </c>
      <c r="F374" s="117">
        <v>7702896001170</v>
      </c>
    </row>
    <row r="375" spans="1:26">
      <c r="A375" s="117" t="s">
        <v>657</v>
      </c>
      <c r="B375" s="117">
        <v>3</v>
      </c>
      <c r="C375" s="117">
        <v>0</v>
      </c>
      <c r="D375" s="117" t="s">
        <v>85</v>
      </c>
      <c r="E375" s="117" t="s">
        <v>658</v>
      </c>
      <c r="F375" s="117">
        <v>7707188720036</v>
      </c>
    </row>
    <row r="376" spans="1:26">
      <c r="A376" s="96" t="s">
        <v>473</v>
      </c>
      <c r="B376" s="96">
        <v>1</v>
      </c>
      <c r="C376" s="97">
        <v>0</v>
      </c>
      <c r="D376" s="96" t="s">
        <v>156</v>
      </c>
      <c r="E376" s="152" t="s">
        <v>474</v>
      </c>
      <c r="F376" s="96">
        <v>7702195090479</v>
      </c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>
      <c r="A377" s="370"/>
      <c r="B377" s="370"/>
      <c r="C377" s="370"/>
      <c r="D377" s="370"/>
      <c r="E377" s="370"/>
      <c r="F377" s="370"/>
      <c r="G377" s="370"/>
      <c r="H377" s="370"/>
      <c r="I377" s="370"/>
      <c r="J377" s="370"/>
      <c r="K377" s="370"/>
      <c r="L377" s="370"/>
      <c r="M377" s="370"/>
      <c r="N377" s="370"/>
      <c r="O377" s="370"/>
      <c r="P377" s="370"/>
      <c r="Q377" s="370"/>
      <c r="R377" s="370"/>
      <c r="S377" s="370"/>
      <c r="T377" s="370"/>
      <c r="U377" s="370"/>
      <c r="V377" s="370"/>
      <c r="W377" s="370"/>
      <c r="X377" s="370"/>
      <c r="Y377" s="370"/>
      <c r="Z377" s="370"/>
    </row>
    <row r="378" spans="1:26" ht="30">
      <c r="A378" s="74" t="s">
        <v>436</v>
      </c>
      <c r="B378" s="74">
        <v>1</v>
      </c>
      <c r="C378" s="75">
        <v>0</v>
      </c>
      <c r="D378" s="336" t="s">
        <v>437</v>
      </c>
      <c r="E378" s="76" t="s">
        <v>438</v>
      </c>
      <c r="F378" s="372">
        <v>4104480705151</v>
      </c>
    </row>
    <row r="379" spans="1:26" ht="30">
      <c r="A379" s="117" t="s">
        <v>2183</v>
      </c>
      <c r="B379" s="117">
        <v>1</v>
      </c>
      <c r="C379" s="345">
        <v>0.19</v>
      </c>
      <c r="D379" s="117" t="s">
        <v>384</v>
      </c>
      <c r="E379" s="112" t="s">
        <v>2184</v>
      </c>
      <c r="F379" s="117">
        <v>7707330053128</v>
      </c>
    </row>
    <row r="380" spans="1:26" ht="30">
      <c r="A380" s="76" t="s">
        <v>13</v>
      </c>
      <c r="B380" s="74">
        <v>2</v>
      </c>
      <c r="C380" s="75">
        <v>0</v>
      </c>
      <c r="D380" s="336" t="s">
        <v>14</v>
      </c>
      <c r="E380" s="76" t="s">
        <v>15</v>
      </c>
      <c r="F380" s="74">
        <v>7708952877130</v>
      </c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>
      <c r="A381" s="370"/>
      <c r="B381" s="370"/>
      <c r="C381" s="370"/>
      <c r="D381" s="370"/>
      <c r="E381" s="370"/>
      <c r="F381" s="370"/>
      <c r="G381" s="370"/>
      <c r="H381" s="370"/>
      <c r="I381" s="370"/>
      <c r="J381" s="370"/>
      <c r="K381" s="370"/>
      <c r="L381" s="370"/>
      <c r="M381" s="370"/>
      <c r="N381" s="370"/>
      <c r="O381" s="370"/>
      <c r="P381" s="370"/>
      <c r="Q381" s="370"/>
      <c r="R381" s="370"/>
      <c r="S381" s="370"/>
      <c r="T381" s="370"/>
      <c r="U381" s="370"/>
      <c r="V381" s="370"/>
      <c r="W381" s="370"/>
      <c r="X381" s="370"/>
      <c r="Y381" s="370"/>
      <c r="Z381" s="370"/>
    </row>
    <row r="382" spans="1:26" ht="30">
      <c r="A382" s="112" t="s">
        <v>2185</v>
      </c>
      <c r="B382" s="117">
        <v>1</v>
      </c>
      <c r="C382" s="345">
        <v>0</v>
      </c>
      <c r="D382" s="116" t="s">
        <v>250</v>
      </c>
      <c r="E382" s="112" t="s">
        <v>2186</v>
      </c>
      <c r="F382" s="117">
        <v>7702605111688</v>
      </c>
    </row>
    <row r="383" spans="1:26" ht="45">
      <c r="A383" s="117" t="s">
        <v>1474</v>
      </c>
      <c r="B383" s="117">
        <v>1</v>
      </c>
      <c r="C383" s="117">
        <v>0</v>
      </c>
      <c r="D383" s="117" t="s">
        <v>7</v>
      </c>
      <c r="E383" s="112" t="s">
        <v>1475</v>
      </c>
      <c r="F383" s="117">
        <v>7707229979799</v>
      </c>
    </row>
    <row r="384" spans="1:26">
      <c r="A384" s="112" t="s">
        <v>1013</v>
      </c>
      <c r="B384" s="117">
        <v>10</v>
      </c>
      <c r="C384" s="345">
        <v>0</v>
      </c>
      <c r="D384" s="119" t="s">
        <v>91</v>
      </c>
      <c r="E384" s="117" t="s">
        <v>75</v>
      </c>
      <c r="F384" s="117">
        <v>7707357200093</v>
      </c>
    </row>
    <row r="385" spans="1:26">
      <c r="A385" s="117" t="s">
        <v>2187</v>
      </c>
      <c r="B385" s="117">
        <v>2</v>
      </c>
      <c r="C385" s="345">
        <v>0.19</v>
      </c>
      <c r="D385" s="117" t="s">
        <v>2188</v>
      </c>
      <c r="E385" s="117" t="s">
        <v>2189</v>
      </c>
      <c r="F385" s="117">
        <v>8411135009622</v>
      </c>
    </row>
    <row r="386" spans="1:26">
      <c r="A386" s="73" t="s">
        <v>271</v>
      </c>
      <c r="B386" s="32">
        <v>4</v>
      </c>
      <c r="C386" s="72">
        <v>0</v>
      </c>
      <c r="D386" s="83" t="s">
        <v>272</v>
      </c>
      <c r="E386" s="73" t="s">
        <v>273</v>
      </c>
      <c r="F386" s="371">
        <v>7703432422237</v>
      </c>
      <c r="G386" s="32"/>
    </row>
    <row r="387" spans="1:26">
      <c r="A387" s="73" t="s">
        <v>271</v>
      </c>
      <c r="B387" s="32">
        <v>2</v>
      </c>
      <c r="C387" s="72">
        <v>0</v>
      </c>
      <c r="D387" s="83" t="s">
        <v>272</v>
      </c>
      <c r="E387" s="73" t="s">
        <v>273</v>
      </c>
      <c r="F387" s="371">
        <v>7703432422237</v>
      </c>
      <c r="G387" s="32"/>
    </row>
    <row r="388" spans="1:26">
      <c r="A388" s="76" t="s">
        <v>533</v>
      </c>
      <c r="B388" s="74">
        <v>3</v>
      </c>
      <c r="C388" s="75">
        <v>0</v>
      </c>
      <c r="D388" s="336" t="s">
        <v>534</v>
      </c>
      <c r="E388" s="74" t="s">
        <v>535</v>
      </c>
      <c r="F388" s="74">
        <v>7703038594116</v>
      </c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>
      <c r="A389" s="370"/>
      <c r="B389" s="370"/>
      <c r="C389" s="370"/>
      <c r="D389" s="370"/>
      <c r="E389" s="370"/>
      <c r="F389" s="370"/>
      <c r="G389" s="370"/>
      <c r="H389" s="370"/>
      <c r="I389" s="370"/>
      <c r="J389" s="370"/>
      <c r="K389" s="370"/>
      <c r="L389" s="370"/>
      <c r="M389" s="370"/>
      <c r="N389" s="370"/>
      <c r="O389" s="370"/>
      <c r="P389" s="370"/>
      <c r="Q389" s="370"/>
      <c r="R389" s="370"/>
      <c r="S389" s="370"/>
      <c r="T389" s="370"/>
      <c r="U389" s="370"/>
      <c r="V389" s="370"/>
      <c r="W389" s="370"/>
      <c r="X389" s="370"/>
      <c r="Y389" s="370"/>
      <c r="Z389" s="370"/>
    </row>
    <row r="390" spans="1:26">
      <c r="A390" s="74" t="s">
        <v>2190</v>
      </c>
      <c r="B390" s="74">
        <v>10</v>
      </c>
      <c r="C390" s="75">
        <v>0</v>
      </c>
      <c r="D390" s="74" t="s">
        <v>1772</v>
      </c>
      <c r="E390" s="74" t="s">
        <v>1773</v>
      </c>
      <c r="F390" s="74">
        <v>7707177972286</v>
      </c>
    </row>
    <row r="391" spans="1:26">
      <c r="A391" s="370"/>
      <c r="B391" s="370"/>
      <c r="C391" s="370"/>
      <c r="D391" s="370"/>
      <c r="E391" s="370"/>
      <c r="F391" s="370"/>
      <c r="G391" s="370"/>
      <c r="H391" s="370"/>
      <c r="I391" s="370"/>
      <c r="J391" s="370"/>
      <c r="K391" s="370"/>
      <c r="L391" s="370"/>
      <c r="M391" s="370"/>
      <c r="N391" s="370"/>
      <c r="O391" s="370"/>
      <c r="P391" s="370"/>
      <c r="Q391" s="370"/>
      <c r="R391" s="370"/>
      <c r="S391" s="370"/>
      <c r="T391" s="370"/>
      <c r="U391" s="370"/>
      <c r="V391" s="370"/>
      <c r="W391" s="370"/>
      <c r="X391" s="370"/>
      <c r="Y391" s="370"/>
      <c r="Z391" s="370"/>
    </row>
    <row r="392" spans="1:26" ht="30">
      <c r="A392" s="32" t="s">
        <v>1140</v>
      </c>
      <c r="B392" s="32">
        <v>1</v>
      </c>
      <c r="C392" s="72">
        <v>0</v>
      </c>
      <c r="D392" s="81" t="s">
        <v>427</v>
      </c>
      <c r="E392" s="73" t="s">
        <v>104</v>
      </c>
      <c r="F392" s="321">
        <v>7703038050445</v>
      </c>
    </row>
    <row r="393" spans="1:26">
      <c r="A393" s="200" t="s">
        <v>607</v>
      </c>
      <c r="B393" s="200">
        <v>1</v>
      </c>
      <c r="C393" s="360">
        <v>0</v>
      </c>
      <c r="D393" s="361" t="s">
        <v>608</v>
      </c>
      <c r="E393" s="195" t="s">
        <v>609</v>
      </c>
      <c r="F393" s="382">
        <v>7702123001423</v>
      </c>
    </row>
    <row r="394" spans="1:26">
      <c r="A394" s="195" t="s">
        <v>1004</v>
      </c>
      <c r="B394" s="200">
        <v>1</v>
      </c>
      <c r="C394" s="72">
        <v>0</v>
      </c>
      <c r="D394" s="32" t="s">
        <v>227</v>
      </c>
      <c r="E394" s="195" t="s">
        <v>1005</v>
      </c>
      <c r="F394" s="373">
        <v>7703153004361</v>
      </c>
    </row>
    <row r="395" spans="1:26">
      <c r="A395" s="195" t="s">
        <v>1607</v>
      </c>
      <c r="B395" s="200">
        <v>5</v>
      </c>
      <c r="C395" s="360">
        <v>0</v>
      </c>
      <c r="D395" s="361" t="s">
        <v>355</v>
      </c>
      <c r="E395" s="195" t="s">
        <v>1519</v>
      </c>
      <c r="F395" s="373">
        <v>7707274722715</v>
      </c>
    </row>
    <row r="396" spans="1:26">
      <c r="A396" s="117" t="s">
        <v>2191</v>
      </c>
      <c r="B396" s="117">
        <v>1</v>
      </c>
      <c r="C396" s="345">
        <v>0.19</v>
      </c>
      <c r="D396" s="117" t="s">
        <v>276</v>
      </c>
      <c r="E396" s="112" t="s">
        <v>2192</v>
      </c>
      <c r="F396" s="117">
        <v>8411135009615</v>
      </c>
    </row>
    <row r="397" spans="1:26">
      <c r="A397" s="370"/>
      <c r="B397" s="370"/>
      <c r="C397" s="370"/>
      <c r="D397" s="370"/>
      <c r="E397" s="370"/>
      <c r="F397" s="370"/>
      <c r="G397" s="370"/>
      <c r="H397" s="370"/>
      <c r="I397" s="370"/>
      <c r="J397" s="370"/>
      <c r="K397" s="370"/>
      <c r="L397" s="370"/>
      <c r="M397" s="370"/>
      <c r="N397" s="370"/>
      <c r="O397" s="370"/>
      <c r="P397" s="370"/>
      <c r="Q397" s="370"/>
      <c r="R397" s="370"/>
      <c r="S397" s="370"/>
      <c r="T397" s="370"/>
      <c r="U397" s="370"/>
      <c r="V397" s="370"/>
      <c r="W397" s="370"/>
      <c r="X397" s="370"/>
      <c r="Y397" s="370"/>
      <c r="Z397" s="370"/>
    </row>
    <row r="398" spans="1:26" ht="30">
      <c r="A398" s="117" t="s">
        <v>345</v>
      </c>
      <c r="B398" s="117">
        <v>8</v>
      </c>
      <c r="C398" s="117">
        <v>0</v>
      </c>
      <c r="D398" s="117" t="s">
        <v>74</v>
      </c>
      <c r="E398" s="112" t="s">
        <v>346</v>
      </c>
      <c r="F398" s="117">
        <v>7707996059205</v>
      </c>
    </row>
    <row r="399" spans="1:26">
      <c r="A399" s="32" t="s">
        <v>1919</v>
      </c>
      <c r="B399" s="32">
        <v>2</v>
      </c>
      <c r="C399" s="72">
        <v>0</v>
      </c>
      <c r="D399" s="32" t="s">
        <v>156</v>
      </c>
      <c r="E399" s="73" t="s">
        <v>422</v>
      </c>
      <c r="F399" s="74">
        <v>7702184011041</v>
      </c>
    </row>
    <row r="400" spans="1:26">
      <c r="A400" s="117" t="s">
        <v>1088</v>
      </c>
      <c r="B400" s="117">
        <v>3</v>
      </c>
      <c r="C400" s="345">
        <v>0.19</v>
      </c>
      <c r="D400" s="117" t="s">
        <v>80</v>
      </c>
      <c r="E400" s="117" t="s">
        <v>1089</v>
      </c>
      <c r="F400" s="117">
        <v>7707271201107</v>
      </c>
    </row>
    <row r="401" spans="1:26">
      <c r="A401" s="112" t="s">
        <v>2193</v>
      </c>
      <c r="B401" s="117">
        <v>6</v>
      </c>
      <c r="C401" s="118">
        <v>0.19</v>
      </c>
      <c r="D401" s="119" t="s">
        <v>697</v>
      </c>
      <c r="E401" s="112" t="s">
        <v>2194</v>
      </c>
      <c r="F401" s="117">
        <v>7707271201114</v>
      </c>
    </row>
    <row r="402" spans="1:26">
      <c r="A402" s="76" t="s">
        <v>678</v>
      </c>
      <c r="B402" s="74">
        <v>6</v>
      </c>
      <c r="C402" s="75">
        <v>0</v>
      </c>
      <c r="D402" s="74" t="s">
        <v>10</v>
      </c>
      <c r="E402" s="74" t="s">
        <v>679</v>
      </c>
      <c r="F402" s="74">
        <v>7705137100113</v>
      </c>
    </row>
    <row r="403" spans="1:26" ht="30">
      <c r="A403" s="117" t="s">
        <v>2195</v>
      </c>
      <c r="B403" s="117">
        <v>30</v>
      </c>
      <c r="C403" s="117">
        <v>0</v>
      </c>
      <c r="D403" s="117" t="s">
        <v>298</v>
      </c>
      <c r="E403" s="112" t="s">
        <v>2196</v>
      </c>
      <c r="F403" s="117">
        <v>7707233050804</v>
      </c>
    </row>
    <row r="404" spans="1:26" ht="30">
      <c r="A404" s="73" t="s">
        <v>371</v>
      </c>
      <c r="B404" s="32">
        <v>1</v>
      </c>
      <c r="C404" s="72">
        <v>0</v>
      </c>
      <c r="D404" s="83" t="s">
        <v>85</v>
      </c>
      <c r="E404" s="73" t="s">
        <v>251</v>
      </c>
      <c r="F404" s="321">
        <v>7702057010874</v>
      </c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26">
      <c r="A405" s="96" t="s">
        <v>1706</v>
      </c>
      <c r="B405" s="96">
        <v>1</v>
      </c>
      <c r="C405" s="97">
        <v>0</v>
      </c>
      <c r="D405" s="120" t="s">
        <v>85</v>
      </c>
      <c r="E405" s="96" t="s">
        <v>251</v>
      </c>
      <c r="F405" s="96">
        <v>7702057010928</v>
      </c>
      <c r="G405" s="96"/>
      <c r="H405" s="96"/>
      <c r="I405" s="96"/>
      <c r="J405" s="96"/>
      <c r="K405" s="96"/>
      <c r="L405" s="96"/>
      <c r="M405" s="96"/>
      <c r="N405" s="96"/>
      <c r="O405" s="96"/>
    </row>
    <row r="406" spans="1:26">
      <c r="A406" s="73" t="s">
        <v>2180</v>
      </c>
      <c r="B406" s="32">
        <v>1</v>
      </c>
      <c r="C406" s="72">
        <v>0</v>
      </c>
      <c r="D406" s="32" t="s">
        <v>85</v>
      </c>
      <c r="E406" s="32" t="s">
        <v>251</v>
      </c>
      <c r="F406" s="32">
        <v>7702057015428</v>
      </c>
    </row>
    <row r="407" spans="1:26" ht="30">
      <c r="A407" s="73" t="s">
        <v>132</v>
      </c>
      <c r="B407" s="32">
        <v>4</v>
      </c>
      <c r="C407" s="72">
        <v>0</v>
      </c>
      <c r="D407" s="74" t="s">
        <v>133</v>
      </c>
      <c r="E407" s="73" t="s">
        <v>134</v>
      </c>
      <c r="F407" s="321">
        <v>7705959881016</v>
      </c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</row>
    <row r="408" spans="1:26" ht="30">
      <c r="A408" s="112" t="s">
        <v>2197</v>
      </c>
      <c r="B408" s="112">
        <v>1</v>
      </c>
      <c r="C408" s="362">
        <v>0</v>
      </c>
      <c r="D408" s="117" t="s">
        <v>1325</v>
      </c>
      <c r="E408" s="112" t="s">
        <v>2198</v>
      </c>
      <c r="F408" s="117">
        <v>7702057061272</v>
      </c>
    </row>
    <row r="409" spans="1:26">
      <c r="A409" s="370"/>
      <c r="B409" s="370"/>
      <c r="C409" s="370"/>
      <c r="D409" s="370"/>
      <c r="E409" s="370"/>
      <c r="F409" s="370"/>
      <c r="G409" s="370"/>
      <c r="H409" s="370"/>
      <c r="I409" s="370"/>
      <c r="J409" s="370"/>
      <c r="K409" s="370"/>
      <c r="L409" s="370"/>
      <c r="M409" s="370"/>
      <c r="N409" s="370"/>
      <c r="O409" s="370"/>
      <c r="P409" s="370"/>
      <c r="Q409" s="370"/>
      <c r="R409" s="370"/>
      <c r="S409" s="370"/>
      <c r="T409" s="370"/>
      <c r="U409" s="370"/>
      <c r="V409" s="370"/>
      <c r="W409" s="370"/>
      <c r="X409" s="370"/>
      <c r="Y409" s="370"/>
      <c r="Z409" s="370"/>
    </row>
    <row r="410" spans="1:26">
      <c r="A410" s="152" t="s">
        <v>605</v>
      </c>
      <c r="B410" s="96">
        <v>4</v>
      </c>
      <c r="C410" s="97">
        <v>0</v>
      </c>
      <c r="D410" s="96" t="s">
        <v>91</v>
      </c>
      <c r="E410" s="152" t="s">
        <v>606</v>
      </c>
      <c r="F410" s="375">
        <v>7703451000010</v>
      </c>
    </row>
    <row r="411" spans="1:26">
      <c r="A411" s="152" t="s">
        <v>605</v>
      </c>
      <c r="B411" s="96">
        <v>2</v>
      </c>
      <c r="C411" s="97">
        <v>0</v>
      </c>
      <c r="D411" s="96" t="s">
        <v>91</v>
      </c>
      <c r="E411" s="152" t="s">
        <v>606</v>
      </c>
      <c r="F411" s="375">
        <v>7703451000010</v>
      </c>
    </row>
    <row r="412" spans="1:26" ht="30">
      <c r="A412" s="117" t="s">
        <v>2199</v>
      </c>
      <c r="B412" s="117">
        <v>1</v>
      </c>
      <c r="C412" s="117">
        <v>0</v>
      </c>
      <c r="D412" s="117" t="s">
        <v>2200</v>
      </c>
      <c r="E412" s="112" t="s">
        <v>2201</v>
      </c>
      <c r="F412" s="117">
        <v>7707355058290</v>
      </c>
    </row>
    <row r="413" spans="1:26" ht="30">
      <c r="A413" s="76" t="s">
        <v>1953</v>
      </c>
      <c r="B413" s="74">
        <v>8</v>
      </c>
      <c r="C413" s="74">
        <v>0</v>
      </c>
      <c r="D413" s="336" t="s">
        <v>91</v>
      </c>
      <c r="E413" s="76" t="s">
        <v>936</v>
      </c>
      <c r="F413" s="378">
        <v>7707236128517</v>
      </c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>
      <c r="A414" s="76" t="s">
        <v>858</v>
      </c>
      <c r="B414" s="74">
        <v>1</v>
      </c>
      <c r="C414" s="75">
        <v>0</v>
      </c>
      <c r="D414" s="336" t="s">
        <v>859</v>
      </c>
      <c r="E414" s="74" t="s">
        <v>860</v>
      </c>
      <c r="F414" s="378">
        <v>7702026181956</v>
      </c>
      <c r="G414" s="74"/>
    </row>
    <row r="415" spans="1:26">
      <c r="A415" s="370"/>
      <c r="B415" s="370"/>
      <c r="C415" s="370"/>
      <c r="D415" s="370"/>
      <c r="E415" s="370"/>
      <c r="F415" s="370"/>
      <c r="G415" s="370"/>
      <c r="H415" s="370"/>
      <c r="I415" s="370"/>
      <c r="J415" s="370"/>
      <c r="K415" s="370"/>
      <c r="L415" s="370"/>
      <c r="M415" s="370"/>
      <c r="N415" s="370"/>
      <c r="O415" s="370"/>
      <c r="P415" s="370"/>
      <c r="Q415" s="370"/>
      <c r="R415" s="370"/>
      <c r="S415" s="370"/>
      <c r="T415" s="370"/>
      <c r="U415" s="370"/>
      <c r="V415" s="370"/>
      <c r="W415" s="370"/>
      <c r="X415" s="370"/>
      <c r="Y415" s="370"/>
      <c r="Z415" s="370"/>
    </row>
    <row r="416" spans="1:26">
      <c r="A416" s="76" t="s">
        <v>907</v>
      </c>
      <c r="B416" s="76">
        <v>6</v>
      </c>
      <c r="C416" s="393">
        <v>0</v>
      </c>
      <c r="D416" s="91" t="s">
        <v>321</v>
      </c>
      <c r="E416" s="76" t="s">
        <v>909</v>
      </c>
      <c r="F416" s="76">
        <v>7706569020659</v>
      </c>
      <c r="G416" s="74"/>
    </row>
    <row r="417" spans="1:26">
      <c r="A417" s="195" t="s">
        <v>1983</v>
      </c>
      <c r="B417" s="200">
        <v>10</v>
      </c>
      <c r="C417" s="360">
        <v>0</v>
      </c>
      <c r="D417" s="361" t="s">
        <v>321</v>
      </c>
      <c r="E417" s="195" t="s">
        <v>904</v>
      </c>
      <c r="F417" s="373">
        <v>7702605100019</v>
      </c>
    </row>
    <row r="418" spans="1:26">
      <c r="A418" s="76" t="s">
        <v>2202</v>
      </c>
      <c r="B418" s="32">
        <v>6</v>
      </c>
      <c r="C418" s="72">
        <v>0</v>
      </c>
      <c r="D418" s="32" t="s">
        <v>91</v>
      </c>
      <c r="E418" s="73" t="s">
        <v>1639</v>
      </c>
      <c r="F418" s="371">
        <v>7709805542847</v>
      </c>
      <c r="G418" s="74"/>
      <c r="H418" s="74"/>
      <c r="I418" s="74"/>
      <c r="J418" s="74"/>
      <c r="K418" s="74"/>
      <c r="L418" s="74"/>
      <c r="M418" s="74"/>
      <c r="N418" s="74"/>
      <c r="O418" s="74"/>
    </row>
    <row r="419" spans="1:26">
      <c r="A419" s="76" t="s">
        <v>2203</v>
      </c>
      <c r="B419" s="32">
        <v>6</v>
      </c>
      <c r="C419" s="72">
        <v>0</v>
      </c>
      <c r="D419" s="81" t="s">
        <v>91</v>
      </c>
      <c r="E419" s="76" t="s">
        <v>1639</v>
      </c>
      <c r="F419" s="378">
        <v>7709740450399</v>
      </c>
    </row>
    <row r="420" spans="1:26">
      <c r="A420" s="370"/>
      <c r="B420" s="370"/>
      <c r="C420" s="370"/>
      <c r="D420" s="370"/>
      <c r="E420" s="370"/>
      <c r="F420" s="370"/>
      <c r="G420" s="370"/>
      <c r="H420" s="370"/>
      <c r="I420" s="370"/>
      <c r="J420" s="370"/>
      <c r="K420" s="370"/>
      <c r="L420" s="370"/>
      <c r="M420" s="370"/>
      <c r="N420" s="370"/>
      <c r="O420" s="370"/>
      <c r="P420" s="370"/>
      <c r="Q420" s="370"/>
      <c r="R420" s="370"/>
      <c r="S420" s="370"/>
      <c r="T420" s="370"/>
      <c r="U420" s="370"/>
      <c r="V420" s="370"/>
      <c r="W420" s="370"/>
      <c r="X420" s="370"/>
      <c r="Y420" s="370"/>
      <c r="Z420" s="370"/>
    </row>
    <row r="421" spans="1:26" ht="30">
      <c r="A421" s="117" t="s">
        <v>2204</v>
      </c>
      <c r="B421" s="117">
        <v>1</v>
      </c>
      <c r="C421" s="117">
        <v>0</v>
      </c>
      <c r="D421" s="117" t="s">
        <v>293</v>
      </c>
      <c r="E421" s="112" t="s">
        <v>2205</v>
      </c>
      <c r="F421" s="32" t="s">
        <v>12</v>
      </c>
    </row>
    <row r="422" spans="1:26">
      <c r="A422" s="73" t="s">
        <v>536</v>
      </c>
      <c r="B422" s="32">
        <v>3</v>
      </c>
      <c r="C422" s="72">
        <v>0</v>
      </c>
      <c r="D422" s="32" t="s">
        <v>115</v>
      </c>
      <c r="E422" s="73" t="s">
        <v>537</v>
      </c>
      <c r="F422" s="371">
        <v>7703153016050</v>
      </c>
      <c r="G422" s="74"/>
    </row>
    <row r="423" spans="1:26">
      <c r="A423" s="117" t="s">
        <v>1127</v>
      </c>
      <c r="B423" s="117">
        <v>3</v>
      </c>
      <c r="C423" s="117">
        <v>0</v>
      </c>
      <c r="D423" s="117" t="s">
        <v>527</v>
      </c>
      <c r="E423" s="117" t="s">
        <v>228</v>
      </c>
      <c r="F423" s="117">
        <v>8903726322109</v>
      </c>
    </row>
    <row r="424" spans="1:26" ht="30">
      <c r="A424" s="112" t="s">
        <v>463</v>
      </c>
      <c r="B424" s="112">
        <v>1</v>
      </c>
      <c r="C424" s="350">
        <v>0</v>
      </c>
      <c r="D424" s="351" t="s">
        <v>464</v>
      </c>
      <c r="E424" s="112" t="s">
        <v>465</v>
      </c>
      <c r="F424" s="406">
        <v>7703153025120</v>
      </c>
    </row>
    <row r="425" spans="1:26">
      <c r="A425" s="370"/>
      <c r="B425" s="370"/>
      <c r="C425" s="370"/>
      <c r="D425" s="370"/>
      <c r="E425" s="370"/>
      <c r="F425" s="370"/>
      <c r="G425" s="370"/>
      <c r="H425" s="370"/>
      <c r="I425" s="370"/>
      <c r="J425" s="370"/>
      <c r="K425" s="370"/>
      <c r="L425" s="370"/>
      <c r="M425" s="370"/>
      <c r="N425" s="370"/>
      <c r="O425" s="370"/>
      <c r="P425" s="370"/>
      <c r="Q425" s="370"/>
      <c r="R425" s="370"/>
      <c r="S425" s="370"/>
      <c r="T425" s="370"/>
      <c r="U425" s="370"/>
      <c r="V425" s="370"/>
      <c r="W425" s="370"/>
      <c r="X425" s="370"/>
      <c r="Y425" s="370"/>
      <c r="Z425" s="370"/>
    </row>
    <row r="426" spans="1:26" ht="30">
      <c r="A426" s="117" t="s">
        <v>2206</v>
      </c>
      <c r="B426" s="117">
        <v>4</v>
      </c>
      <c r="C426" s="117">
        <v>0</v>
      </c>
      <c r="D426" s="117" t="s">
        <v>85</v>
      </c>
      <c r="E426" s="112" t="s">
        <v>2207</v>
      </c>
      <c r="F426" s="117">
        <v>7702896002122</v>
      </c>
    </row>
    <row r="427" spans="1:26" ht="30">
      <c r="A427" s="76" t="s">
        <v>2208</v>
      </c>
      <c r="B427" s="74">
        <v>1</v>
      </c>
      <c r="C427" s="75">
        <v>0</v>
      </c>
      <c r="D427" s="74" t="s">
        <v>2209</v>
      </c>
      <c r="E427" s="76" t="s">
        <v>2210</v>
      </c>
      <c r="F427" s="378">
        <v>7702626211794</v>
      </c>
      <c r="G427" s="74"/>
    </row>
    <row r="428" spans="1:26">
      <c r="A428" s="112" t="s">
        <v>746</v>
      </c>
      <c r="B428" s="92">
        <v>3</v>
      </c>
      <c r="C428" s="93">
        <v>0</v>
      </c>
      <c r="D428" s="92" t="s">
        <v>118</v>
      </c>
      <c r="E428" s="92" t="s">
        <v>748</v>
      </c>
      <c r="F428" s="92">
        <v>7702896002313</v>
      </c>
    </row>
    <row r="429" spans="1:26">
      <c r="A429" s="73" t="s">
        <v>538</v>
      </c>
      <c r="B429" s="32">
        <v>1</v>
      </c>
      <c r="C429" s="72">
        <v>0</v>
      </c>
      <c r="D429" s="32" t="s">
        <v>7</v>
      </c>
      <c r="E429" s="73" t="s">
        <v>539</v>
      </c>
      <c r="F429" s="379">
        <v>7702896001774</v>
      </c>
    </row>
    <row r="430" spans="1:26">
      <c r="A430" s="152" t="s">
        <v>2211</v>
      </c>
      <c r="B430" s="96">
        <v>1</v>
      </c>
      <c r="C430" s="407">
        <v>0</v>
      </c>
      <c r="D430" s="408" t="s">
        <v>2212</v>
      </c>
      <c r="E430" s="152" t="s">
        <v>803</v>
      </c>
      <c r="F430" s="96">
        <v>7706849112906</v>
      </c>
    </row>
    <row r="431" spans="1:26">
      <c r="A431" s="370"/>
      <c r="B431" s="370"/>
      <c r="C431" s="370"/>
      <c r="D431" s="370"/>
      <c r="E431" s="370"/>
      <c r="F431" s="370"/>
      <c r="G431" s="370"/>
      <c r="H431" s="370"/>
      <c r="I431" s="370"/>
      <c r="J431" s="370"/>
      <c r="K431" s="370"/>
      <c r="L431" s="370"/>
      <c r="M431" s="370"/>
      <c r="N431" s="370"/>
      <c r="O431" s="370"/>
      <c r="P431" s="370"/>
      <c r="Q431" s="370"/>
      <c r="R431" s="370"/>
      <c r="S431" s="370"/>
      <c r="T431" s="370"/>
      <c r="U431" s="370"/>
      <c r="V431" s="370"/>
      <c r="W431" s="370"/>
      <c r="X431" s="370"/>
      <c r="Y431" s="370"/>
      <c r="Z431" s="370"/>
    </row>
    <row r="432" spans="1:26">
      <c r="A432" s="112" t="s">
        <v>686</v>
      </c>
      <c r="B432" s="117">
        <v>10</v>
      </c>
      <c r="C432" s="345">
        <v>0</v>
      </c>
      <c r="D432" s="117" t="s">
        <v>10</v>
      </c>
      <c r="E432" s="117" t="s">
        <v>687</v>
      </c>
      <c r="F432" s="117">
        <v>7702184020258</v>
      </c>
    </row>
    <row r="433" spans="1:26">
      <c r="A433" s="74" t="s">
        <v>160</v>
      </c>
      <c r="B433" s="74">
        <v>6</v>
      </c>
      <c r="C433" s="75">
        <v>0</v>
      </c>
      <c r="D433" s="75" t="s">
        <v>23</v>
      </c>
      <c r="E433" s="74" t="s">
        <v>161</v>
      </c>
      <c r="F433" s="74">
        <v>7704412118546</v>
      </c>
    </row>
    <row r="434" spans="1:26" ht="30">
      <c r="A434" s="117" t="s">
        <v>2213</v>
      </c>
      <c r="B434" s="117">
        <v>3</v>
      </c>
      <c r="C434" s="117">
        <v>0</v>
      </c>
      <c r="D434" s="117" t="s">
        <v>1390</v>
      </c>
      <c r="E434" s="112" t="s">
        <v>1391</v>
      </c>
      <c r="F434" s="117">
        <v>7703153021672</v>
      </c>
    </row>
    <row r="435" spans="1:26" ht="30">
      <c r="A435" s="117" t="s">
        <v>443</v>
      </c>
      <c r="B435" s="117">
        <v>1</v>
      </c>
      <c r="C435" s="117">
        <v>0</v>
      </c>
      <c r="D435" s="117" t="s">
        <v>355</v>
      </c>
      <c r="E435" s="112" t="s">
        <v>444</v>
      </c>
      <c r="F435" s="117">
        <v>7702184014431</v>
      </c>
    </row>
    <row r="436" spans="1:26">
      <c r="A436" s="370"/>
      <c r="B436" s="370"/>
      <c r="C436" s="370"/>
      <c r="D436" s="370"/>
      <c r="E436" s="370"/>
      <c r="F436" s="370"/>
      <c r="G436" s="370"/>
      <c r="H436" s="370"/>
      <c r="I436" s="370"/>
      <c r="J436" s="370"/>
      <c r="K436" s="370"/>
      <c r="L436" s="370"/>
      <c r="M436" s="370"/>
      <c r="N436" s="370"/>
      <c r="O436" s="370"/>
      <c r="P436" s="370"/>
      <c r="Q436" s="370"/>
      <c r="R436" s="370"/>
      <c r="S436" s="370"/>
      <c r="T436" s="370"/>
      <c r="U436" s="370"/>
      <c r="V436" s="370"/>
      <c r="W436" s="370"/>
      <c r="X436" s="370"/>
      <c r="Y436" s="370"/>
      <c r="Z436" s="370"/>
    </row>
    <row r="437" spans="1:26">
      <c r="A437" s="74" t="s">
        <v>2214</v>
      </c>
      <c r="B437" s="36">
        <v>1</v>
      </c>
      <c r="C437" s="284">
        <v>0</v>
      </c>
      <c r="D437" s="349" t="s">
        <v>697</v>
      </c>
      <c r="E437" s="76" t="s">
        <v>2215</v>
      </c>
      <c r="F437" s="74">
        <v>7702123006947</v>
      </c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19"/>
    </row>
    <row r="438" spans="1:26">
      <c r="A438" s="7" t="s">
        <v>778</v>
      </c>
      <c r="B438" s="8">
        <v>1</v>
      </c>
      <c r="C438" s="9">
        <v>0</v>
      </c>
      <c r="D438" s="10" t="s">
        <v>238</v>
      </c>
      <c r="E438" s="8" t="s">
        <v>779</v>
      </c>
      <c r="F438" s="8">
        <v>7703038131663</v>
      </c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6" ht="30">
      <c r="A439" s="195" t="s">
        <v>950</v>
      </c>
      <c r="B439" s="197">
        <v>1</v>
      </c>
      <c r="C439" s="198">
        <v>0</v>
      </c>
      <c r="D439" s="199" t="s">
        <v>2216</v>
      </c>
      <c r="E439" s="195" t="s">
        <v>951</v>
      </c>
      <c r="F439" s="201">
        <v>7702057731892</v>
      </c>
      <c r="G439" s="200"/>
    </row>
    <row r="440" spans="1:26" ht="28.5">
      <c r="A440" s="13" t="s">
        <v>1677</v>
      </c>
      <c r="B440" s="14">
        <v>8</v>
      </c>
      <c r="C440" s="105">
        <v>0</v>
      </c>
      <c r="D440" s="137" t="s">
        <v>109</v>
      </c>
      <c r="E440" s="13" t="s">
        <v>1678</v>
      </c>
      <c r="F440" s="15">
        <v>7707184161420</v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13" t="s">
        <v>2032</v>
      </c>
      <c r="B441" s="12">
        <v>3</v>
      </c>
      <c r="C441" s="59">
        <v>0</v>
      </c>
      <c r="D441" s="60" t="s">
        <v>133</v>
      </c>
      <c r="E441" s="12" t="s">
        <v>2033</v>
      </c>
      <c r="F441" s="12">
        <v>7702057070229</v>
      </c>
    </row>
    <row r="442" spans="1:26" ht="30">
      <c r="A442" s="16" t="s">
        <v>1988</v>
      </c>
      <c r="B442" s="17">
        <v>1</v>
      </c>
      <c r="C442" s="124">
        <v>0.19</v>
      </c>
      <c r="D442" s="204" t="s">
        <v>2217</v>
      </c>
      <c r="E442" s="16" t="s">
        <v>1979</v>
      </c>
      <c r="F442" s="18">
        <v>7891010020927</v>
      </c>
      <c r="G442" s="18"/>
      <c r="H442" s="18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30">
      <c r="A443" s="117" t="s">
        <v>2218</v>
      </c>
      <c r="B443" s="117">
        <v>4</v>
      </c>
      <c r="C443" s="117">
        <v>0</v>
      </c>
      <c r="D443" s="117" t="s">
        <v>1180</v>
      </c>
      <c r="E443" s="112" t="s">
        <v>2219</v>
      </c>
      <c r="F443" s="117">
        <v>7707019337105</v>
      </c>
    </row>
    <row r="444" spans="1:26">
      <c r="A444" t="s">
        <v>2006</v>
      </c>
      <c r="B444">
        <v>4</v>
      </c>
      <c r="C444" s="133">
        <v>0</v>
      </c>
      <c r="D444" s="23" t="s">
        <v>408</v>
      </c>
      <c r="E444" t="s">
        <v>2008</v>
      </c>
      <c r="F444">
        <v>8904159624150</v>
      </c>
    </row>
    <row r="445" spans="1:26" ht="30">
      <c r="A445" s="117" t="s">
        <v>1780</v>
      </c>
      <c r="B445" s="117">
        <v>2</v>
      </c>
      <c r="C445" s="117">
        <v>0</v>
      </c>
      <c r="D445" s="117" t="s">
        <v>808</v>
      </c>
      <c r="E445" s="112" t="s">
        <v>1038</v>
      </c>
      <c r="F445" s="117">
        <v>7707067620877</v>
      </c>
    </row>
    <row r="446" spans="1:26">
      <c r="A446" s="370"/>
      <c r="B446" s="370"/>
      <c r="C446" s="370"/>
      <c r="D446" s="370"/>
      <c r="E446" s="370"/>
      <c r="F446" s="370"/>
      <c r="G446" s="370"/>
      <c r="H446" s="370"/>
      <c r="I446" s="370"/>
      <c r="J446" s="370"/>
      <c r="K446" s="370"/>
      <c r="L446" s="370"/>
      <c r="M446" s="370"/>
      <c r="N446" s="370"/>
      <c r="O446" s="370"/>
      <c r="P446" s="370"/>
      <c r="Q446" s="370"/>
      <c r="R446" s="370"/>
      <c r="S446" s="370"/>
      <c r="T446" s="370"/>
      <c r="U446" s="370"/>
      <c r="V446" s="370"/>
      <c r="W446" s="370"/>
      <c r="X446" s="370"/>
      <c r="Y446" s="370"/>
      <c r="Z446" s="370"/>
    </row>
    <row r="447" spans="1:26" ht="29.25">
      <c r="A447" s="24" t="s">
        <v>2220</v>
      </c>
      <c r="B447" s="28">
        <v>2</v>
      </c>
      <c r="C447" s="192">
        <v>0</v>
      </c>
      <c r="D447" s="193" t="s">
        <v>1605</v>
      </c>
      <c r="E447" s="24" t="s">
        <v>2221</v>
      </c>
      <c r="F447" s="28">
        <v>7702057803292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71" t="s">
        <v>1064</v>
      </c>
      <c r="B448" s="71">
        <v>2</v>
      </c>
      <c r="C448" s="105">
        <v>0</v>
      </c>
      <c r="D448" s="137" t="s">
        <v>2222</v>
      </c>
      <c r="E448" s="13" t="s">
        <v>1065</v>
      </c>
      <c r="F448" s="71">
        <v>7703153032111</v>
      </c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8">
      <c r="A449" s="24" t="s">
        <v>58</v>
      </c>
      <c r="B449" s="30">
        <v>1</v>
      </c>
      <c r="C449" s="31">
        <v>0</v>
      </c>
      <c r="D449" s="98" t="s">
        <v>59</v>
      </c>
      <c r="E449" s="24" t="s">
        <v>60</v>
      </c>
      <c r="F449" s="142">
        <v>7706127006378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 spans="1:28" ht="28.5">
      <c r="A450" s="71" t="s">
        <v>2223</v>
      </c>
      <c r="B450" s="14">
        <v>3</v>
      </c>
      <c r="C450" s="105">
        <v>0</v>
      </c>
      <c r="D450" s="309" t="s">
        <v>2224</v>
      </c>
      <c r="E450" s="69" t="s">
        <v>2225</v>
      </c>
      <c r="F450" s="61">
        <v>7702026177874</v>
      </c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</row>
    <row r="451" spans="1:28">
      <c r="A451" s="117" t="s">
        <v>2226</v>
      </c>
      <c r="B451" s="117">
        <v>1</v>
      </c>
      <c r="C451" s="117">
        <v>19</v>
      </c>
      <c r="D451" s="117" t="s">
        <v>2227</v>
      </c>
      <c r="E451" s="112" t="s">
        <v>2228</v>
      </c>
      <c r="F451" s="117">
        <v>7705471800823</v>
      </c>
    </row>
    <row r="452" spans="1:28">
      <c r="A452" s="71" t="s">
        <v>2229</v>
      </c>
      <c r="B452" s="12">
        <v>1</v>
      </c>
      <c r="C452" s="59">
        <v>0.19</v>
      </c>
      <c r="D452" s="12" t="s">
        <v>1075</v>
      </c>
      <c r="E452" s="71" t="s">
        <v>2230</v>
      </c>
      <c r="F452" s="71">
        <v>7702057082130</v>
      </c>
      <c r="G452" s="71"/>
    </row>
    <row r="453" spans="1:28">
      <c r="A453" s="370"/>
      <c r="B453" s="370"/>
      <c r="C453" s="370"/>
      <c r="D453" s="370"/>
      <c r="E453" s="370"/>
      <c r="F453" s="370"/>
      <c r="G453" s="370"/>
      <c r="H453" s="370"/>
      <c r="I453" s="370"/>
      <c r="J453" s="370"/>
      <c r="K453" s="370"/>
      <c r="L453" s="370"/>
      <c r="M453" s="370"/>
      <c r="N453" s="370"/>
      <c r="O453" s="370"/>
      <c r="P453" s="370"/>
      <c r="Q453" s="370"/>
      <c r="R453" s="370"/>
      <c r="S453" s="370"/>
      <c r="T453" s="370"/>
      <c r="U453" s="370"/>
      <c r="V453" s="370"/>
      <c r="W453" s="370"/>
      <c r="X453" s="370"/>
      <c r="Y453" s="370"/>
      <c r="Z453" s="370"/>
    </row>
    <row r="454" spans="1:28">
      <c r="A454" s="28" t="s">
        <v>990</v>
      </c>
      <c r="B454" s="28">
        <v>2</v>
      </c>
      <c r="C454" s="192">
        <v>0</v>
      </c>
      <c r="D454" s="30" t="s">
        <v>991</v>
      </c>
      <c r="E454" s="28" t="s">
        <v>558</v>
      </c>
      <c r="F454" s="63">
        <v>7702132009731</v>
      </c>
      <c r="G454"/>
      <c r="H454"/>
      <c r="I454"/>
      <c r="J454"/>
      <c r="K454"/>
      <c r="L454"/>
      <c r="M454"/>
      <c r="N454"/>
      <c r="O454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8">
      <c r="A455" s="13" t="s">
        <v>261</v>
      </c>
      <c r="B455" s="12">
        <v>1</v>
      </c>
      <c r="C455" s="80">
        <v>0</v>
      </c>
      <c r="D455" s="12" t="s">
        <v>262</v>
      </c>
      <c r="E455" s="13" t="s">
        <v>263</v>
      </c>
      <c r="F455" s="15">
        <v>7702195072093</v>
      </c>
    </row>
    <row r="456" spans="1:28" ht="30">
      <c r="A456" s="117" t="s">
        <v>2231</v>
      </c>
      <c r="B456" s="117">
        <v>2</v>
      </c>
      <c r="C456" s="117">
        <v>0</v>
      </c>
      <c r="D456" s="117" t="s">
        <v>527</v>
      </c>
      <c r="E456" s="112" t="s">
        <v>1038</v>
      </c>
      <c r="F456" s="117">
        <v>7703712036116</v>
      </c>
    </row>
    <row r="457" spans="1:28" ht="30">
      <c r="A457" s="117" t="s">
        <v>2232</v>
      </c>
      <c r="B457" s="117">
        <v>1</v>
      </c>
      <c r="C457" s="117">
        <v>0</v>
      </c>
      <c r="D457" s="117" t="s">
        <v>509</v>
      </c>
      <c r="E457" s="112" t="s">
        <v>107</v>
      </c>
      <c r="F457" s="117">
        <v>7702605111367</v>
      </c>
    </row>
    <row r="458" spans="1:28" ht="30">
      <c r="A458" s="117" t="s">
        <v>2232</v>
      </c>
      <c r="B458" s="117">
        <v>2</v>
      </c>
      <c r="C458" s="117">
        <v>0</v>
      </c>
      <c r="D458" s="117" t="s">
        <v>509</v>
      </c>
      <c r="E458" s="112" t="s">
        <v>107</v>
      </c>
      <c r="F458" s="117">
        <v>7702605111367</v>
      </c>
    </row>
    <row r="459" spans="1:28">
      <c r="A459" s="370"/>
      <c r="B459" s="370"/>
      <c r="C459" s="370"/>
      <c r="D459" s="370"/>
      <c r="E459" s="370"/>
      <c r="F459" s="370"/>
      <c r="G459" s="370"/>
      <c r="H459" s="370"/>
      <c r="I459" s="370"/>
      <c r="J459" s="370"/>
      <c r="K459" s="370"/>
      <c r="L459" s="370"/>
      <c r="M459" s="370"/>
      <c r="N459" s="370"/>
      <c r="O459" s="370"/>
      <c r="P459" s="370"/>
      <c r="Q459" s="370"/>
      <c r="R459" s="370"/>
      <c r="S459" s="370"/>
      <c r="T459" s="370"/>
      <c r="U459" s="370"/>
      <c r="V459" s="370"/>
      <c r="W459" s="370"/>
      <c r="X459" s="370"/>
      <c r="Y459" s="370"/>
      <c r="Z459" s="370"/>
    </row>
    <row r="460" spans="1:28" ht="28.5">
      <c r="A460" s="13" t="s">
        <v>246</v>
      </c>
      <c r="B460" s="14">
        <v>2</v>
      </c>
      <c r="C460" s="105">
        <v>0.19</v>
      </c>
      <c r="D460" s="137" t="s">
        <v>1395</v>
      </c>
      <c r="E460" s="13" t="s">
        <v>248</v>
      </c>
      <c r="F460" s="211">
        <v>7703286115101</v>
      </c>
    </row>
    <row r="461" spans="1:28" ht="28.5">
      <c r="A461" s="146" t="s">
        <v>2233</v>
      </c>
      <c r="B461" s="147">
        <v>2</v>
      </c>
      <c r="C461" s="148">
        <v>0</v>
      </c>
      <c r="D461" s="148" t="s">
        <v>74</v>
      </c>
      <c r="E461" s="159" t="s">
        <v>2234</v>
      </c>
      <c r="F461" s="141">
        <v>7703109205026</v>
      </c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</row>
    <row r="462" spans="1:28">
      <c r="A462" s="24" t="s">
        <v>706</v>
      </c>
      <c r="B462" s="8">
        <v>5</v>
      </c>
      <c r="C462" s="9">
        <v>0</v>
      </c>
      <c r="D462" s="203" t="s">
        <v>707</v>
      </c>
      <c r="E462" s="7" t="s">
        <v>708</v>
      </c>
      <c r="F462" s="63">
        <v>7707019340907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8" ht="29.25">
      <c r="A463" s="22" t="s">
        <v>995</v>
      </c>
      <c r="B463" s="22">
        <v>5</v>
      </c>
      <c r="C463" s="175">
        <v>0</v>
      </c>
      <c r="D463" s="176" t="s">
        <v>996</v>
      </c>
      <c r="E463" s="22" t="s">
        <v>997</v>
      </c>
      <c r="F463" s="22">
        <v>7702207084557</v>
      </c>
      <c r="G463" s="22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</row>
    <row r="464" spans="1:28" ht="30">
      <c r="A464" s="117" t="s">
        <v>1314</v>
      </c>
      <c r="B464" s="117">
        <v>2</v>
      </c>
      <c r="C464" s="117">
        <v>0</v>
      </c>
      <c r="D464" s="117" t="s">
        <v>747</v>
      </c>
      <c r="E464" s="112" t="s">
        <v>1315</v>
      </c>
      <c r="F464" s="117">
        <v>7703286111752</v>
      </c>
    </row>
    <row r="465" spans="1:28">
      <c r="A465" s="43" t="s">
        <v>243</v>
      </c>
      <c r="B465" s="112">
        <v>1</v>
      </c>
      <c r="C465" s="350">
        <v>0.19</v>
      </c>
      <c r="D465" s="374" t="s">
        <v>244</v>
      </c>
      <c r="E465" s="43" t="s">
        <v>245</v>
      </c>
      <c r="F465" s="43">
        <v>7703286112407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8" ht="30">
      <c r="A466" s="117" t="s">
        <v>2235</v>
      </c>
      <c r="B466" s="117">
        <v>1</v>
      </c>
      <c r="C466" s="117">
        <v>0</v>
      </c>
      <c r="D466" s="117" t="s">
        <v>103</v>
      </c>
      <c r="E466" s="112" t="s">
        <v>2236</v>
      </c>
      <c r="F466" s="117">
        <v>7707035581490</v>
      </c>
    </row>
    <row r="467" spans="1:28">
      <c r="A467" s="71" t="s">
        <v>2237</v>
      </c>
      <c r="B467" s="14">
        <v>1</v>
      </c>
      <c r="C467" s="105">
        <v>0</v>
      </c>
      <c r="D467" s="137" t="s">
        <v>1116</v>
      </c>
      <c r="E467" s="71" t="s">
        <v>2238</v>
      </c>
      <c r="F467" s="71">
        <v>7704190272102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8">
      <c r="A468" s="71" t="s">
        <v>810</v>
      </c>
      <c r="B468" s="14">
        <v>1</v>
      </c>
      <c r="C468" s="105">
        <v>0</v>
      </c>
      <c r="D468" s="105" t="s">
        <v>91</v>
      </c>
      <c r="E468" s="71" t="s">
        <v>811</v>
      </c>
      <c r="F468" s="71">
        <v>7704190272119</v>
      </c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8" ht="28.5">
      <c r="A469" s="12" t="s">
        <v>1729</v>
      </c>
      <c r="B469" s="12">
        <v>1</v>
      </c>
      <c r="C469" s="59">
        <v>0.19</v>
      </c>
      <c r="D469" s="12" t="s">
        <v>26</v>
      </c>
      <c r="E469" s="13" t="s">
        <v>1730</v>
      </c>
      <c r="F469" s="15">
        <v>7702314700449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8">
      <c r="A470" s="7" t="s">
        <v>439</v>
      </c>
      <c r="B470" s="8">
        <v>8</v>
      </c>
      <c r="C470" s="9">
        <v>0</v>
      </c>
      <c r="D470" s="173" t="s">
        <v>80</v>
      </c>
      <c r="E470" s="8" t="s">
        <v>332</v>
      </c>
      <c r="F470" s="8">
        <v>7705451000069</v>
      </c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8">
      <c r="A471" s="43" t="s">
        <v>2239</v>
      </c>
      <c r="B471" s="19">
        <v>3</v>
      </c>
      <c r="C471" s="126">
        <v>0</v>
      </c>
      <c r="D471" s="113" t="s">
        <v>318</v>
      </c>
      <c r="E471" s="43" t="s">
        <v>332</v>
      </c>
      <c r="F471" s="19">
        <v>7702184020197</v>
      </c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8" ht="29.25">
      <c r="A472" s="22" t="s">
        <v>2240</v>
      </c>
      <c r="B472">
        <v>3</v>
      </c>
      <c r="C472" s="133">
        <v>0</v>
      </c>
      <c r="D472" s="183" t="s">
        <v>2241</v>
      </c>
      <c r="E472" s="22" t="s">
        <v>2242</v>
      </c>
      <c r="F472">
        <v>7702184020524</v>
      </c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8">
      <c r="A473" t="s">
        <v>413</v>
      </c>
      <c r="B473" s="39">
        <v>4</v>
      </c>
      <c r="C473" s="40">
        <v>0</v>
      </c>
      <c r="D473" s="94" t="s">
        <v>414</v>
      </c>
      <c r="E473" t="s">
        <v>415</v>
      </c>
      <c r="F473">
        <v>7702605105625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/>
      <c r="AA473"/>
    </row>
    <row r="474" spans="1:28">
      <c r="A474" s="370"/>
      <c r="B474" s="370"/>
      <c r="C474" s="370"/>
      <c r="D474" s="370"/>
      <c r="E474" s="370"/>
      <c r="F474" s="370"/>
      <c r="G474" s="370"/>
      <c r="H474" s="370"/>
      <c r="I474" s="370"/>
      <c r="J474" s="370"/>
      <c r="K474" s="370"/>
      <c r="L474" s="370"/>
      <c r="M474" s="370"/>
      <c r="N474" s="370"/>
      <c r="O474" s="370"/>
      <c r="P474" s="370"/>
      <c r="Q474" s="370"/>
      <c r="R474" s="370"/>
      <c r="S474" s="370"/>
      <c r="T474" s="370"/>
      <c r="U474" s="370"/>
      <c r="V474" s="370"/>
      <c r="W474" s="370"/>
      <c r="X474" s="370"/>
      <c r="Y474" s="370"/>
      <c r="Z474" s="370"/>
    </row>
    <row r="475" spans="1:28">
      <c r="A475" t="s">
        <v>709</v>
      </c>
      <c r="B475" s="39">
        <v>8</v>
      </c>
      <c r="C475" s="40">
        <v>0</v>
      </c>
      <c r="D475" s="94" t="s">
        <v>38</v>
      </c>
      <c r="E475" t="s">
        <v>611</v>
      </c>
      <c r="F475">
        <v>8901117247888</v>
      </c>
      <c r="G475" s="28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 spans="1:28" ht="28.5">
      <c r="A476" s="64" t="s">
        <v>1597</v>
      </c>
      <c r="B476" s="102">
        <v>2</v>
      </c>
      <c r="C476" s="101">
        <v>0</v>
      </c>
      <c r="D476" s="125" t="s">
        <v>1598</v>
      </c>
      <c r="E476" s="64" t="s">
        <v>1599</v>
      </c>
      <c r="F476" s="68">
        <v>7706849110865</v>
      </c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8">
      <c r="A477" s="49" t="s">
        <v>2243</v>
      </c>
      <c r="B477" s="409">
        <v>1</v>
      </c>
      <c r="C477" s="410">
        <v>0.19</v>
      </c>
      <c r="D477" s="409" t="s">
        <v>2244</v>
      </c>
      <c r="E477" s="49" t="s">
        <v>2245</v>
      </c>
      <c r="F477" s="49">
        <v>751273785209</v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8" ht="29.25">
      <c r="A478" s="22" t="s">
        <v>758</v>
      </c>
      <c r="B478" s="23">
        <v>1</v>
      </c>
      <c r="C478" s="23">
        <v>0</v>
      </c>
      <c r="D478" s="172" t="s">
        <v>343</v>
      </c>
      <c r="E478" s="41" t="s">
        <v>760</v>
      </c>
      <c r="F478" s="273">
        <v>7707173600091</v>
      </c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8" ht="29.25">
      <c r="A479" s="22" t="s">
        <v>2246</v>
      </c>
      <c r="B479" s="23">
        <v>1</v>
      </c>
      <c r="C479" s="51">
        <v>0</v>
      </c>
      <c r="D479" s="23" t="s">
        <v>747</v>
      </c>
      <c r="E479" s="22" t="s">
        <v>1104</v>
      </c>
      <c r="F479" s="42">
        <v>7702057100056</v>
      </c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8">
      <c r="A480" s="24" t="s">
        <v>2247</v>
      </c>
      <c r="B480" s="30">
        <v>1</v>
      </c>
      <c r="C480" s="128">
        <v>0</v>
      </c>
      <c r="D480" s="220" t="s">
        <v>29</v>
      </c>
      <c r="E480" s="7" t="s">
        <v>477</v>
      </c>
      <c r="F480" s="129">
        <v>7707067510277</v>
      </c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</row>
    <row r="481" spans="1:26" ht="42.75">
      <c r="A481" s="69" t="s">
        <v>2248</v>
      </c>
      <c r="B481" s="14">
        <v>4</v>
      </c>
      <c r="C481" s="105">
        <v>0</v>
      </c>
      <c r="D481" s="14" t="s">
        <v>14</v>
      </c>
      <c r="E481" s="13" t="s">
        <v>1177</v>
      </c>
      <c r="F481" s="71">
        <v>7702184130162</v>
      </c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 s="23"/>
    </row>
    <row r="482" spans="1:26">
      <c r="A482" s="370"/>
      <c r="B482" s="370"/>
      <c r="C482" s="370"/>
      <c r="D482" s="370"/>
      <c r="E482" s="370"/>
      <c r="F482" s="370"/>
      <c r="G482" s="370"/>
      <c r="H482" s="370"/>
      <c r="I482" s="370"/>
      <c r="J482" s="370"/>
      <c r="K482" s="370"/>
      <c r="L482" s="370"/>
      <c r="M482" s="370"/>
      <c r="N482" s="370"/>
      <c r="O482" s="370"/>
      <c r="P482" s="370"/>
      <c r="Q482" s="370"/>
      <c r="R482" s="370"/>
      <c r="S482" s="370"/>
      <c r="T482" s="370"/>
      <c r="U482" s="370"/>
      <c r="V482" s="370"/>
      <c r="W482" s="370"/>
      <c r="X482" s="370"/>
      <c r="Y482" s="370"/>
      <c r="Z482" s="370"/>
    </row>
    <row r="483" spans="1:26" ht="29.25">
      <c r="A483" s="28" t="s">
        <v>2249</v>
      </c>
      <c r="B483" s="8">
        <v>10</v>
      </c>
      <c r="C483" s="9">
        <v>0</v>
      </c>
      <c r="D483" s="203" t="s">
        <v>29</v>
      </c>
      <c r="E483" s="24" t="s">
        <v>134</v>
      </c>
      <c r="F483" s="28">
        <v>7705959013370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 spans="1:26">
      <c r="A484" s="370"/>
      <c r="B484" s="370"/>
      <c r="C484" s="370"/>
      <c r="D484" s="370"/>
      <c r="E484" s="370"/>
      <c r="F484" s="370"/>
      <c r="G484" s="370"/>
      <c r="H484" s="370"/>
      <c r="I484" s="370"/>
      <c r="J484" s="370"/>
      <c r="K484" s="370"/>
      <c r="L484" s="370"/>
      <c r="M484" s="370"/>
      <c r="N484" s="370"/>
      <c r="O484" s="370"/>
      <c r="P484" s="370"/>
      <c r="Q484" s="370"/>
      <c r="R484" s="370"/>
      <c r="S484" s="370"/>
      <c r="T484" s="370"/>
      <c r="U484" s="370"/>
      <c r="V484" s="370"/>
      <c r="W484" s="370"/>
      <c r="X484" s="370"/>
      <c r="Y484" s="370"/>
      <c r="Z484" s="370"/>
    </row>
    <row r="485" spans="1:26" ht="29.25">
      <c r="A485" s="28" t="s">
        <v>2249</v>
      </c>
      <c r="B485" s="8">
        <v>2</v>
      </c>
      <c r="C485" s="9">
        <v>0</v>
      </c>
      <c r="D485" s="203" t="s">
        <v>29</v>
      </c>
      <c r="E485" s="24" t="s">
        <v>134</v>
      </c>
      <c r="F485" s="28">
        <v>7705959013370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 spans="1:26">
      <c r="A486" s="370"/>
      <c r="B486" s="370"/>
      <c r="C486" s="370"/>
      <c r="D486" s="370"/>
      <c r="E486" s="370"/>
      <c r="F486" s="370"/>
      <c r="G486" s="370"/>
      <c r="H486" s="370"/>
      <c r="I486" s="370"/>
      <c r="J486" s="370"/>
      <c r="K486" s="370"/>
      <c r="L486" s="370"/>
      <c r="M486" s="370"/>
      <c r="N486" s="370"/>
      <c r="O486" s="370"/>
      <c r="P486" s="370"/>
      <c r="Q486" s="370"/>
      <c r="R486" s="370"/>
      <c r="S486" s="370"/>
      <c r="T486" s="370"/>
      <c r="U486" s="370"/>
      <c r="V486" s="370"/>
      <c r="W486" s="370"/>
      <c r="X486" s="370"/>
      <c r="Y486" s="370"/>
      <c r="Z486" s="370"/>
    </row>
    <row r="487" spans="1:26">
      <c r="A487" t="s">
        <v>812</v>
      </c>
      <c r="B487">
        <v>2</v>
      </c>
      <c r="C487" s="133">
        <v>0</v>
      </c>
      <c r="D487" s="172" t="s">
        <v>1243</v>
      </c>
      <c r="E487" t="s">
        <v>813</v>
      </c>
      <c r="F487">
        <v>7709805542861</v>
      </c>
    </row>
    <row r="488" spans="1:26" ht="30">
      <c r="A488" s="112" t="s">
        <v>1196</v>
      </c>
      <c r="B488" s="117">
        <v>1</v>
      </c>
      <c r="C488" s="117">
        <v>0</v>
      </c>
      <c r="D488" s="117" t="s">
        <v>519</v>
      </c>
      <c r="E488" s="112" t="s">
        <v>1197</v>
      </c>
      <c r="F488" s="117">
        <v>7703153032104</v>
      </c>
    </row>
    <row r="489" spans="1:26">
      <c r="A489" s="22" t="s">
        <v>2250</v>
      </c>
      <c r="B489">
        <v>2</v>
      </c>
      <c r="C489" s="133">
        <v>0</v>
      </c>
      <c r="D489" s="172" t="s">
        <v>2251</v>
      </c>
      <c r="E489" t="s">
        <v>2252</v>
      </c>
      <c r="F489">
        <v>7703763960460</v>
      </c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>
      <c r="A490" s="24" t="s">
        <v>256</v>
      </c>
      <c r="B490" s="30">
        <v>1</v>
      </c>
      <c r="C490" s="31">
        <v>0</v>
      </c>
      <c r="D490" s="30" t="s">
        <v>257</v>
      </c>
      <c r="E490" s="7" t="s">
        <v>258</v>
      </c>
      <c r="F490" s="63">
        <v>7703038067429</v>
      </c>
    </row>
    <row r="491" spans="1:26">
      <c r="A491" s="22" t="s">
        <v>2253</v>
      </c>
      <c r="B491" s="23">
        <v>6</v>
      </c>
      <c r="C491" s="51">
        <v>0</v>
      </c>
      <c r="D491" s="172" t="s">
        <v>981</v>
      </c>
      <c r="E491" t="s">
        <v>2254</v>
      </c>
      <c r="F491">
        <v>7703153023409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>
      <c r="A492" s="370"/>
      <c r="B492" s="370"/>
      <c r="C492" s="370"/>
      <c r="D492" s="370"/>
      <c r="E492" s="370"/>
      <c r="F492" s="370"/>
      <c r="G492" s="370"/>
      <c r="H492" s="370"/>
      <c r="I492" s="370"/>
      <c r="J492" s="370"/>
      <c r="K492" s="370"/>
      <c r="L492" s="370"/>
      <c r="M492" s="370"/>
      <c r="N492" s="370"/>
      <c r="O492" s="370"/>
      <c r="P492" s="370"/>
      <c r="Q492" s="370"/>
      <c r="R492" s="370"/>
      <c r="S492" s="370"/>
      <c r="T492" s="370"/>
      <c r="U492" s="370"/>
      <c r="V492" s="370"/>
      <c r="W492" s="370"/>
      <c r="X492" s="370"/>
      <c r="Y492" s="370"/>
      <c r="Z492" s="370"/>
    </row>
    <row r="493" spans="1:26">
      <c r="A493" s="22" t="s">
        <v>2255</v>
      </c>
      <c r="B493">
        <v>2</v>
      </c>
      <c r="C493" s="133">
        <v>0</v>
      </c>
      <c r="D493" s="183" t="s">
        <v>2256</v>
      </c>
      <c r="E493" t="s">
        <v>116</v>
      </c>
      <c r="F493">
        <v>8903726171400</v>
      </c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>
      <c r="A494" s="74" t="s">
        <v>1995</v>
      </c>
      <c r="B494" s="74">
        <v>1</v>
      </c>
      <c r="C494" s="75">
        <v>0</v>
      </c>
      <c r="D494" s="336" t="s">
        <v>2257</v>
      </c>
      <c r="E494" s="76" t="s">
        <v>1996</v>
      </c>
      <c r="F494" s="74">
        <v>8436024611502</v>
      </c>
      <c r="G494" s="74"/>
      <c r="H494" s="74"/>
      <c r="I494" s="74"/>
      <c r="J494" s="74"/>
      <c r="K494" s="74"/>
      <c r="L494" s="74"/>
      <c r="M494" s="74"/>
      <c r="N494" s="74"/>
      <c r="O494" s="74"/>
    </row>
    <row r="495" spans="1:26">
      <c r="A495" s="370"/>
      <c r="B495" s="370"/>
      <c r="C495" s="370"/>
      <c r="D495" s="370"/>
      <c r="E495" s="370"/>
      <c r="F495" s="370"/>
      <c r="G495" s="370"/>
      <c r="H495" s="370"/>
      <c r="I495" s="370"/>
      <c r="J495" s="370"/>
      <c r="K495" s="370"/>
      <c r="L495" s="370"/>
      <c r="M495" s="370"/>
      <c r="N495" s="370"/>
      <c r="O495" s="370"/>
      <c r="P495" s="370"/>
      <c r="Q495" s="370"/>
      <c r="R495" s="370"/>
      <c r="S495" s="370"/>
      <c r="T495" s="370"/>
      <c r="U495" s="370"/>
      <c r="V495" s="370"/>
      <c r="W495" s="370"/>
      <c r="X495" s="370"/>
      <c r="Y495" s="370"/>
      <c r="Z495" s="370"/>
    </row>
    <row r="496" spans="1:26" ht="29.25">
      <c r="A496" s="24" t="s">
        <v>1009</v>
      </c>
      <c r="B496" s="8">
        <v>6</v>
      </c>
      <c r="C496" s="9">
        <v>0</v>
      </c>
      <c r="D496" s="10" t="s">
        <v>59</v>
      </c>
      <c r="E496" s="24" t="s">
        <v>1010</v>
      </c>
      <c r="F496" s="63">
        <v>7705137110013</v>
      </c>
    </row>
    <row r="497" spans="1:26">
      <c r="A497" t="s">
        <v>1333</v>
      </c>
      <c r="B497" s="23">
        <v>1</v>
      </c>
      <c r="C497" s="51">
        <v>0</v>
      </c>
      <c r="D497" s="23" t="s">
        <v>366</v>
      </c>
      <c r="E497" t="s">
        <v>1334</v>
      </c>
      <c r="F497">
        <v>6921875009193</v>
      </c>
    </row>
    <row r="498" spans="1:26">
      <c r="A498" s="117" t="s">
        <v>2258</v>
      </c>
      <c r="B498" s="117">
        <v>2</v>
      </c>
      <c r="C498" s="117">
        <v>0</v>
      </c>
      <c r="D498" s="117" t="s">
        <v>250</v>
      </c>
      <c r="E498" s="117" t="s">
        <v>2259</v>
      </c>
      <c r="F498" s="117">
        <v>7707236128739</v>
      </c>
    </row>
    <row r="499" spans="1:26">
      <c r="A499" t="s">
        <v>2260</v>
      </c>
      <c r="B499" s="11">
        <v>1</v>
      </c>
      <c r="C499" s="166">
        <v>0</v>
      </c>
      <c r="D499" s="176" t="s">
        <v>2261</v>
      </c>
      <c r="E499" s="22" t="s">
        <v>1958</v>
      </c>
      <c r="F499" s="22">
        <v>7702057270148</v>
      </c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28.5">
      <c r="A500" s="141" t="s">
        <v>149</v>
      </c>
      <c r="B500" s="141">
        <v>1</v>
      </c>
      <c r="C500" s="148">
        <v>0</v>
      </c>
      <c r="D500" s="147" t="s">
        <v>150</v>
      </c>
      <c r="E500" s="146" t="s">
        <v>151</v>
      </c>
      <c r="F500" s="160">
        <v>736085132069</v>
      </c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30">
      <c r="A501" s="16" t="s">
        <v>1541</v>
      </c>
      <c r="B501" s="17">
        <v>1</v>
      </c>
      <c r="C501" s="124">
        <v>0</v>
      </c>
      <c r="D501" s="17" t="s">
        <v>1719</v>
      </c>
      <c r="E501" s="16" t="s">
        <v>1542</v>
      </c>
      <c r="F501" s="139">
        <v>7703281000679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6">
      <c r="A502" s="370"/>
      <c r="B502" s="370"/>
      <c r="C502" s="370"/>
      <c r="D502" s="370"/>
      <c r="E502" s="370"/>
      <c r="F502" s="370"/>
      <c r="G502" s="370"/>
      <c r="H502" s="370"/>
      <c r="I502" s="370"/>
      <c r="J502" s="370"/>
      <c r="K502" s="370"/>
      <c r="L502" s="370"/>
      <c r="M502" s="370"/>
      <c r="N502" s="370"/>
      <c r="O502" s="370"/>
      <c r="P502" s="370"/>
      <c r="Q502" s="370"/>
      <c r="R502" s="370"/>
      <c r="S502" s="370"/>
      <c r="T502" s="370"/>
      <c r="U502" s="370"/>
      <c r="V502" s="370"/>
      <c r="W502" s="370"/>
      <c r="X502" s="370"/>
      <c r="Y502" s="370"/>
      <c r="Z502" s="370"/>
    </row>
    <row r="503" spans="1:26">
      <c r="A503" s="24" t="s">
        <v>817</v>
      </c>
      <c r="B503" s="30">
        <v>2</v>
      </c>
      <c r="C503" s="31">
        <v>0</v>
      </c>
      <c r="D503" s="30" t="s">
        <v>818</v>
      </c>
      <c r="E503" s="7" t="s">
        <v>428</v>
      </c>
      <c r="F503" s="28">
        <v>7703038050018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6" ht="30">
      <c r="A504" s="73" t="s">
        <v>2262</v>
      </c>
      <c r="B504" s="17">
        <v>6</v>
      </c>
      <c r="C504" s="124">
        <v>0</v>
      </c>
      <c r="D504" s="17" t="s">
        <v>23</v>
      </c>
      <c r="E504" s="73" t="s">
        <v>2263</v>
      </c>
      <c r="F504" s="32">
        <v>7707177970022</v>
      </c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 s="23"/>
    </row>
    <row r="505" spans="1:26" ht="30">
      <c r="A505" s="16" t="s">
        <v>2264</v>
      </c>
      <c r="B505" s="18">
        <v>4</v>
      </c>
      <c r="C505" s="184">
        <v>0</v>
      </c>
      <c r="D505" s="17" t="s">
        <v>91</v>
      </c>
      <c r="E505" s="16" t="s">
        <v>2263</v>
      </c>
      <c r="F505" s="18">
        <v>7707177972910</v>
      </c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>
      <c r="A506" s="24" t="s">
        <v>654</v>
      </c>
      <c r="B506" s="28">
        <v>1</v>
      </c>
      <c r="C506" s="192">
        <v>0.19</v>
      </c>
      <c r="D506" s="193" t="s">
        <v>655</v>
      </c>
      <c r="E506" s="28" t="s">
        <v>656</v>
      </c>
      <c r="F506" s="63">
        <v>7702026174156</v>
      </c>
      <c r="G506" s="28"/>
    </row>
    <row r="507" spans="1:26">
      <c r="A507" s="24" t="s">
        <v>1428</v>
      </c>
      <c r="B507" s="37">
        <v>1</v>
      </c>
      <c r="C507" s="177">
        <v>0.19</v>
      </c>
      <c r="D507" s="292" t="s">
        <v>1973</v>
      </c>
      <c r="E507" s="28" t="s">
        <v>210</v>
      </c>
      <c r="F507" s="21">
        <v>7702027479625</v>
      </c>
      <c r="G507" s="21"/>
      <c r="H507" s="21"/>
      <c r="I507" s="21"/>
      <c r="J507" s="21"/>
      <c r="K507" s="21"/>
      <c r="L507" s="21"/>
      <c r="M507" s="21"/>
      <c r="N507" s="21"/>
      <c r="O507" s="21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6" ht="30">
      <c r="A508" s="117" t="s">
        <v>2265</v>
      </c>
      <c r="B508" s="117">
        <v>2</v>
      </c>
      <c r="C508" s="117">
        <v>0</v>
      </c>
      <c r="D508" s="117" t="s">
        <v>2266</v>
      </c>
      <c r="E508" s="112" t="s">
        <v>107</v>
      </c>
      <c r="F508" s="117">
        <v>8903726242612</v>
      </c>
    </row>
    <row r="509" spans="1:26">
      <c r="A509" s="370"/>
      <c r="B509" s="370"/>
      <c r="C509" s="370"/>
      <c r="D509" s="370"/>
      <c r="E509" s="370"/>
      <c r="F509" s="370"/>
      <c r="G509" s="370"/>
      <c r="H509" s="370"/>
      <c r="I509" s="370"/>
      <c r="J509" s="370"/>
      <c r="K509" s="370"/>
      <c r="L509" s="370"/>
      <c r="M509" s="370"/>
      <c r="N509" s="370"/>
      <c r="O509" s="370"/>
      <c r="P509" s="370"/>
      <c r="Q509" s="370"/>
      <c r="R509" s="370"/>
      <c r="S509" s="370"/>
      <c r="T509" s="370"/>
      <c r="U509" s="370"/>
      <c r="V509" s="370"/>
      <c r="W509" s="370"/>
      <c r="X509" s="370"/>
      <c r="Y509" s="370"/>
      <c r="Z509" s="370"/>
    </row>
    <row r="510" spans="1:26">
      <c r="A510" s="24" t="s">
        <v>817</v>
      </c>
      <c r="B510" s="30">
        <v>2</v>
      </c>
      <c r="C510" s="31">
        <v>0</v>
      </c>
      <c r="D510" s="30" t="s">
        <v>818</v>
      </c>
      <c r="E510" s="7" t="s">
        <v>428</v>
      </c>
      <c r="F510" s="28">
        <v>7703038050018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6" ht="30">
      <c r="A511" s="117" t="s">
        <v>1842</v>
      </c>
      <c r="B511" s="117">
        <v>2</v>
      </c>
      <c r="C511" s="117">
        <v>0</v>
      </c>
      <c r="D511" s="117" t="s">
        <v>118</v>
      </c>
      <c r="E511" s="112" t="s">
        <v>110</v>
      </c>
      <c r="F511" s="117">
        <v>7702123006732</v>
      </c>
    </row>
    <row r="512" spans="1:26" ht="29.25">
      <c r="A512" s="28" t="s">
        <v>1102</v>
      </c>
      <c r="B512" s="28">
        <v>2</v>
      </c>
      <c r="C512" s="192">
        <v>0</v>
      </c>
      <c r="D512" s="193" t="s">
        <v>1103</v>
      </c>
      <c r="E512" s="24" t="s">
        <v>1104</v>
      </c>
      <c r="F512" s="63">
        <v>7702057088835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>
      <c r="A513" s="24" t="s">
        <v>1205</v>
      </c>
      <c r="B513" s="30">
        <v>4</v>
      </c>
      <c r="C513" s="31">
        <v>0</v>
      </c>
      <c r="D513" s="98" t="s">
        <v>476</v>
      </c>
      <c r="E513" s="25" t="s">
        <v>1206</v>
      </c>
      <c r="F513" s="63">
        <v>7702605100866</v>
      </c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 s="23"/>
    </row>
    <row r="514" spans="1:26" ht="29.25">
      <c r="A514" s="22" t="s">
        <v>980</v>
      </c>
      <c r="B514" s="23">
        <v>2</v>
      </c>
      <c r="C514" s="51">
        <v>0</v>
      </c>
      <c r="D514" s="23" t="s">
        <v>355</v>
      </c>
      <c r="E514" s="41" t="s">
        <v>982</v>
      </c>
      <c r="F514" s="42">
        <v>7702605101801</v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t="s">
        <v>1426</v>
      </c>
      <c r="B515">
        <v>3</v>
      </c>
      <c r="C515" s="133">
        <v>0</v>
      </c>
      <c r="D515" s="134" t="s">
        <v>625</v>
      </c>
      <c r="E515" t="s">
        <v>18</v>
      </c>
      <c r="F515">
        <v>7707019342208</v>
      </c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</row>
    <row r="516" spans="1:26">
      <c r="A516" s="24" t="s">
        <v>2267</v>
      </c>
      <c r="B516" s="30">
        <v>1</v>
      </c>
      <c r="C516" s="31">
        <v>0</v>
      </c>
      <c r="D516" s="30" t="s">
        <v>59</v>
      </c>
      <c r="E516" s="24" t="s">
        <v>60</v>
      </c>
      <c r="F516" s="28">
        <v>7706127006354</v>
      </c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</row>
    <row r="517" spans="1:26" ht="30">
      <c r="A517" s="76" t="s">
        <v>144</v>
      </c>
      <c r="B517" s="74">
        <v>3</v>
      </c>
      <c r="C517" s="75">
        <v>0</v>
      </c>
      <c r="D517" s="74" t="s">
        <v>145</v>
      </c>
      <c r="E517" s="76" t="s">
        <v>146</v>
      </c>
      <c r="F517" s="74">
        <v>7702605103294</v>
      </c>
    </row>
    <row r="518" spans="1:26" ht="28.5">
      <c r="A518" s="159" t="s">
        <v>2268</v>
      </c>
      <c r="B518" s="168">
        <v>1</v>
      </c>
      <c r="C518" s="170">
        <v>0.19</v>
      </c>
      <c r="D518" s="157" t="s">
        <v>2269</v>
      </c>
      <c r="E518" s="159" t="s">
        <v>2270</v>
      </c>
      <c r="F518" s="160">
        <v>7707016439499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 spans="1:26" s="370" customFormat="1"/>
    <row r="520" spans="1:26" ht="29.25">
      <c r="A520" t="s">
        <v>1172</v>
      </c>
      <c r="B520">
        <v>2</v>
      </c>
      <c r="C520" s="133">
        <v>0</v>
      </c>
      <c r="D520" s="23" t="s">
        <v>94</v>
      </c>
      <c r="E520" s="41" t="s">
        <v>95</v>
      </c>
      <c r="F520">
        <v>7702195102387</v>
      </c>
    </row>
    <row r="521" spans="1:26">
      <c r="A521" t="s">
        <v>96</v>
      </c>
      <c r="B521">
        <v>3</v>
      </c>
      <c r="C521" s="133">
        <v>0</v>
      </c>
      <c r="D521" s="172" t="s">
        <v>2271</v>
      </c>
      <c r="E521" t="s">
        <v>98</v>
      </c>
      <c r="F521">
        <v>7703712030275</v>
      </c>
    </row>
    <row r="522" spans="1:26" ht="29.25">
      <c r="A522" s="22" t="s">
        <v>1029</v>
      </c>
      <c r="B522" s="23">
        <v>2</v>
      </c>
      <c r="C522" s="51">
        <v>0</v>
      </c>
      <c r="D522" s="172" t="s">
        <v>26</v>
      </c>
      <c r="E522" s="22" t="s">
        <v>1030</v>
      </c>
      <c r="F522">
        <v>7709990087000</v>
      </c>
    </row>
    <row r="523" spans="1:26" ht="30">
      <c r="A523" s="16" t="s">
        <v>1118</v>
      </c>
      <c r="B523" s="17">
        <v>2</v>
      </c>
      <c r="C523" s="124">
        <v>0</v>
      </c>
      <c r="D523" s="124" t="s">
        <v>276</v>
      </c>
      <c r="E523" s="73" t="s">
        <v>1119</v>
      </c>
      <c r="F523" s="18">
        <v>7500435107013</v>
      </c>
    </row>
    <row r="524" spans="1:26">
      <c r="A524" s="370"/>
      <c r="B524" s="370"/>
      <c r="C524" s="370"/>
      <c r="D524" s="370"/>
      <c r="E524" s="370"/>
      <c r="F524" s="370"/>
      <c r="G524" s="370"/>
      <c r="H524" s="370"/>
      <c r="I524" s="370"/>
      <c r="J524" s="370"/>
      <c r="K524" s="370"/>
      <c r="L524" s="370"/>
      <c r="M524" s="370"/>
      <c r="N524" s="370"/>
      <c r="O524" s="370"/>
      <c r="P524" s="370"/>
      <c r="Q524" s="370"/>
      <c r="R524" s="370"/>
      <c r="S524" s="370"/>
      <c r="T524" s="370"/>
      <c r="U524" s="370"/>
      <c r="V524" s="370"/>
      <c r="W524" s="370"/>
      <c r="X524" s="370"/>
      <c r="Y524" s="370"/>
      <c r="Z524" s="370"/>
    </row>
    <row r="525" spans="1:26" ht="28.5">
      <c r="A525" s="64" t="s">
        <v>1058</v>
      </c>
      <c r="B525" s="102">
        <v>3</v>
      </c>
      <c r="C525" s="101">
        <v>0</v>
      </c>
      <c r="D525" s="102" t="s">
        <v>2272</v>
      </c>
      <c r="E525" s="64" t="s">
        <v>1060</v>
      </c>
      <c r="F525" s="103">
        <v>7709225183033</v>
      </c>
      <c r="G525" s="28"/>
    </row>
    <row r="526" spans="1:26" ht="30">
      <c r="A526" s="117" t="s">
        <v>1141</v>
      </c>
      <c r="B526" s="117">
        <v>1</v>
      </c>
      <c r="C526" s="117">
        <v>0</v>
      </c>
      <c r="D526" s="117" t="s">
        <v>91</v>
      </c>
      <c r="E526" s="112" t="s">
        <v>1142</v>
      </c>
      <c r="F526" s="117">
        <v>7707035510629</v>
      </c>
    </row>
    <row r="527" spans="1:26" ht="28.5">
      <c r="A527" s="13" t="s">
        <v>199</v>
      </c>
      <c r="B527" s="39">
        <v>1</v>
      </c>
      <c r="C527" s="59">
        <v>0</v>
      </c>
      <c r="D527" s="60" t="s">
        <v>200</v>
      </c>
      <c r="E527" s="121" t="s">
        <v>201</v>
      </c>
      <c r="F527" s="61">
        <v>7707397791636</v>
      </c>
      <c r="G527" s="23"/>
      <c r="H527" s="23"/>
      <c r="I527" s="23"/>
      <c r="J527" s="23"/>
      <c r="K527" s="23"/>
      <c r="L527" s="23"/>
      <c r="M527" s="23"/>
      <c r="N527" s="23"/>
      <c r="O527" s="23"/>
    </row>
    <row r="528" spans="1:26">
      <c r="A528" s="22" t="s">
        <v>1207</v>
      </c>
      <c r="B528" s="23">
        <v>2</v>
      </c>
      <c r="C528" s="51">
        <v>0</v>
      </c>
      <c r="D528" s="51" t="s">
        <v>133</v>
      </c>
      <c r="E528" s="39" t="s">
        <v>1208</v>
      </c>
      <c r="F528">
        <v>3594455200469</v>
      </c>
    </row>
    <row r="529" spans="1:26" ht="29.25">
      <c r="A529" t="s">
        <v>2273</v>
      </c>
      <c r="B529">
        <v>6</v>
      </c>
      <c r="C529" s="133">
        <v>0</v>
      </c>
      <c r="D529" t="s">
        <v>7</v>
      </c>
      <c r="E529" s="22" t="s">
        <v>1723</v>
      </c>
      <c r="F529">
        <v>7707226436301</v>
      </c>
    </row>
    <row r="530" spans="1:26" ht="29.25">
      <c r="A530" s="22" t="s">
        <v>496</v>
      </c>
      <c r="B530">
        <v>1</v>
      </c>
      <c r="C530" s="133">
        <v>0</v>
      </c>
      <c r="D530" s="23" t="s">
        <v>497</v>
      </c>
      <c r="E530" s="22" t="s">
        <v>498</v>
      </c>
      <c r="F530">
        <v>7704588000416</v>
      </c>
    </row>
    <row r="531" spans="1:26">
      <c r="A531" s="69" t="s">
        <v>712</v>
      </c>
      <c r="B531" s="23">
        <v>2</v>
      </c>
      <c r="C531" s="136">
        <v>0.19</v>
      </c>
      <c r="D531" s="161" t="s">
        <v>1282</v>
      </c>
      <c r="E531" s="69" t="s">
        <v>713</v>
      </c>
      <c r="F531" s="61">
        <v>7707165900178</v>
      </c>
      <c r="G531" s="28"/>
    </row>
    <row r="532" spans="1:26">
      <c r="A532" s="69" t="s">
        <v>2274</v>
      </c>
      <c r="B532" s="23">
        <v>1</v>
      </c>
      <c r="C532" s="136">
        <v>0.19</v>
      </c>
      <c r="D532" s="161" t="s">
        <v>2275</v>
      </c>
      <c r="E532" s="69" t="s">
        <v>713</v>
      </c>
      <c r="F532" s="61">
        <v>7707165900178</v>
      </c>
      <c r="G532" s="28"/>
    </row>
    <row r="533" spans="1:26">
      <c r="A533" s="370"/>
      <c r="B533" s="370"/>
      <c r="C533" s="370"/>
      <c r="D533" s="370"/>
      <c r="E533" s="370"/>
      <c r="F533" s="370"/>
      <c r="G533" s="370"/>
      <c r="H533" s="370"/>
      <c r="I533" s="370"/>
      <c r="J533" s="370"/>
      <c r="K533" s="370"/>
      <c r="L533" s="370"/>
      <c r="M533" s="370"/>
      <c r="N533" s="370"/>
      <c r="O533" s="370"/>
      <c r="P533" s="370"/>
      <c r="Q533" s="370"/>
      <c r="R533" s="370"/>
      <c r="S533" s="370"/>
      <c r="T533" s="370"/>
      <c r="U533" s="370"/>
      <c r="V533" s="370"/>
      <c r="W533" s="370"/>
      <c r="X533" s="370"/>
      <c r="Y533" s="370"/>
      <c r="Z533" s="370"/>
    </row>
    <row r="534" spans="1:26">
      <c r="A534" s="76" t="s">
        <v>566</v>
      </c>
      <c r="B534" s="74">
        <v>3</v>
      </c>
      <c r="C534" s="75">
        <v>0</v>
      </c>
      <c r="D534" s="74" t="s">
        <v>567</v>
      </c>
      <c r="E534" s="74"/>
      <c r="F534" s="74">
        <v>7702057070205</v>
      </c>
      <c r="G534" s="74"/>
      <c r="H534" s="74"/>
      <c r="I534" s="74"/>
      <c r="J534" s="74"/>
      <c r="K534" s="74"/>
      <c r="L534" s="74"/>
      <c r="M534" s="74"/>
      <c r="N534" s="74"/>
      <c r="O534" s="74"/>
    </row>
    <row r="535" spans="1:26" ht="29.25">
      <c r="A535" s="22" t="s">
        <v>2276</v>
      </c>
      <c r="B535">
        <v>2</v>
      </c>
      <c r="C535" s="133">
        <v>0</v>
      </c>
      <c r="D535" s="183" t="s">
        <v>567</v>
      </c>
      <c r="E535" s="22" t="s">
        <v>107</v>
      </c>
      <c r="F535">
        <v>8903726171417</v>
      </c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</row>
    <row r="536" spans="1:26">
      <c r="A536" s="7" t="s">
        <v>31</v>
      </c>
      <c r="B536" s="8">
        <v>6</v>
      </c>
      <c r="C536" s="9">
        <v>0</v>
      </c>
      <c r="D536" s="9" t="s">
        <v>32</v>
      </c>
      <c r="E536" s="8" t="s">
        <v>33</v>
      </c>
      <c r="F536" s="8">
        <v>7705486010002</v>
      </c>
    </row>
    <row r="537" spans="1:26">
      <c r="A537" s="53" t="s">
        <v>139</v>
      </c>
      <c r="B537" s="53">
        <v>2</v>
      </c>
      <c r="C537" s="122">
        <v>0</v>
      </c>
      <c r="D537" s="53" t="s">
        <v>91</v>
      </c>
      <c r="E537" s="53" t="s">
        <v>140</v>
      </c>
      <c r="F537" s="53">
        <v>7707210530015</v>
      </c>
    </row>
    <row r="538" spans="1:26">
      <c r="A538" s="146" t="s">
        <v>584</v>
      </c>
      <c r="B538" s="168">
        <v>8</v>
      </c>
      <c r="C538" s="170">
        <v>0</v>
      </c>
      <c r="D538" s="168" t="s">
        <v>585</v>
      </c>
      <c r="E538" s="146" t="s">
        <v>586</v>
      </c>
      <c r="F538" s="141">
        <v>7703712030930</v>
      </c>
    </row>
    <row r="539" spans="1:26" ht="30">
      <c r="A539" s="32" t="s">
        <v>2277</v>
      </c>
      <c r="B539" s="17">
        <v>1</v>
      </c>
      <c r="C539" s="17">
        <v>0</v>
      </c>
      <c r="D539" s="17" t="s">
        <v>2278</v>
      </c>
      <c r="E539" s="73" t="s">
        <v>2279</v>
      </c>
      <c r="F539" s="139">
        <v>7707274721299</v>
      </c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</row>
    <row r="540" spans="1:26" ht="30">
      <c r="A540" s="16" t="s">
        <v>1198</v>
      </c>
      <c r="B540" s="18">
        <v>3</v>
      </c>
      <c r="C540" s="184">
        <v>0</v>
      </c>
      <c r="D540" s="17" t="s">
        <v>2280</v>
      </c>
      <c r="E540" s="73" t="s">
        <v>1199</v>
      </c>
      <c r="F540" s="18">
        <v>7702184020326</v>
      </c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</row>
    <row r="541" spans="1:26" ht="28.5">
      <c r="A541" s="69" t="s">
        <v>937</v>
      </c>
      <c r="B541" s="14">
        <v>4</v>
      </c>
      <c r="C541" s="105">
        <v>0</v>
      </c>
      <c r="D541" s="137" t="s">
        <v>80</v>
      </c>
      <c r="E541" s="69" t="s">
        <v>938</v>
      </c>
      <c r="F541" s="71">
        <v>7702560000010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>
      <c r="A542" s="370"/>
      <c r="B542" s="370"/>
      <c r="C542" s="370"/>
      <c r="D542" s="370"/>
      <c r="E542" s="370"/>
      <c r="F542" s="370"/>
      <c r="G542" s="370"/>
      <c r="H542" s="370"/>
      <c r="I542" s="370"/>
      <c r="J542" s="370"/>
      <c r="K542" s="370"/>
      <c r="L542" s="370"/>
      <c r="M542" s="370"/>
      <c r="N542" s="370"/>
      <c r="O542" s="370"/>
      <c r="P542" s="370"/>
      <c r="Q542" s="370"/>
      <c r="R542" s="370"/>
      <c r="S542" s="370"/>
      <c r="T542" s="370"/>
      <c r="U542" s="370"/>
      <c r="V542" s="370"/>
      <c r="W542" s="370"/>
      <c r="X542" s="370"/>
      <c r="Y542" s="370"/>
      <c r="Z542" s="370"/>
    </row>
    <row r="543" spans="1:26" ht="30">
      <c r="A543" s="117" t="s">
        <v>2281</v>
      </c>
      <c r="B543" s="117">
        <v>2</v>
      </c>
      <c r="C543" s="117">
        <v>0</v>
      </c>
      <c r="D543" s="117" t="s">
        <v>2282</v>
      </c>
      <c r="E543" s="112" t="s">
        <v>107</v>
      </c>
      <c r="F543" s="117">
        <v>8903726382578</v>
      </c>
    </row>
    <row r="544" spans="1:26" ht="30">
      <c r="A544" s="90" t="s">
        <v>2283</v>
      </c>
      <c r="B544" s="34">
        <v>1</v>
      </c>
      <c r="C544" s="33">
        <v>0</v>
      </c>
      <c r="D544" s="202" t="s">
        <v>1669</v>
      </c>
      <c r="E544" s="239" t="s">
        <v>618</v>
      </c>
      <c r="F544" s="241">
        <v>7707274721619</v>
      </c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  <c r="Z544" s="242"/>
    </row>
    <row r="545" spans="1:27" ht="30">
      <c r="A545" s="117" t="s">
        <v>2284</v>
      </c>
      <c r="B545" s="117">
        <v>30</v>
      </c>
      <c r="C545" s="117">
        <v>0</v>
      </c>
      <c r="D545" s="117" t="s">
        <v>2285</v>
      </c>
      <c r="E545" s="112" t="s">
        <v>2286</v>
      </c>
      <c r="F545" s="117">
        <v>7707270361239</v>
      </c>
    </row>
    <row r="546" spans="1:27">
      <c r="A546" t="s">
        <v>34</v>
      </c>
      <c r="B546">
        <v>1</v>
      </c>
      <c r="C546" s="133">
        <v>0</v>
      </c>
      <c r="D546" s="23" t="s">
        <v>35</v>
      </c>
      <c r="E546" s="22" t="s">
        <v>36</v>
      </c>
      <c r="F546">
        <v>7702870003190</v>
      </c>
      <c r="G546" s="23"/>
      <c r="H546" s="23"/>
      <c r="I546" s="23"/>
      <c r="J546" s="23"/>
      <c r="K546" s="23"/>
      <c r="L546" s="23"/>
      <c r="M546" s="23"/>
      <c r="N546" s="23"/>
      <c r="O546" s="23"/>
      <c r="P546"/>
      <c r="Q546"/>
      <c r="R546"/>
      <c r="S546"/>
      <c r="T546"/>
      <c r="U546"/>
      <c r="V546"/>
      <c r="W546"/>
      <c r="X546"/>
      <c r="Y546"/>
      <c r="Z546"/>
      <c r="AA546"/>
    </row>
    <row r="547" spans="1:27" ht="30">
      <c r="A547" s="32" t="s">
        <v>347</v>
      </c>
      <c r="B547" s="32">
        <v>3</v>
      </c>
      <c r="C547" s="72">
        <v>0</v>
      </c>
      <c r="D547" s="32" t="s">
        <v>348</v>
      </c>
      <c r="E547" s="73" t="s">
        <v>349</v>
      </c>
      <c r="F547" s="32">
        <v>650240029141</v>
      </c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27" ht="42.75">
      <c r="A548" s="69" t="s">
        <v>2248</v>
      </c>
      <c r="B548" s="14">
        <v>4</v>
      </c>
      <c r="C548" s="105">
        <v>0</v>
      </c>
      <c r="D548" s="14" t="s">
        <v>91</v>
      </c>
      <c r="E548" s="13" t="s">
        <v>1177</v>
      </c>
      <c r="F548" s="71">
        <v>7702184130162</v>
      </c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 s="23"/>
    </row>
    <row r="549" spans="1:27" ht="30">
      <c r="A549" s="19" t="s">
        <v>2287</v>
      </c>
      <c r="B549" s="19">
        <v>6</v>
      </c>
      <c r="C549" s="126">
        <v>0</v>
      </c>
      <c r="D549" s="208" t="s">
        <v>14</v>
      </c>
      <c r="E549" s="43" t="s">
        <v>110</v>
      </c>
      <c r="F549" s="19">
        <v>7708480649803</v>
      </c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/>
      <c r="AA549"/>
    </row>
    <row r="550" spans="1:27">
      <c r="A550" s="370"/>
      <c r="B550" s="370"/>
      <c r="C550" s="370"/>
      <c r="D550" s="370"/>
      <c r="E550" s="370"/>
      <c r="F550" s="370"/>
      <c r="G550" s="370"/>
      <c r="H550" s="370"/>
      <c r="I550" s="370"/>
      <c r="J550" s="370"/>
      <c r="K550" s="370"/>
      <c r="L550" s="370"/>
      <c r="M550" s="370"/>
      <c r="N550" s="370"/>
      <c r="O550" s="370"/>
      <c r="P550" s="370"/>
      <c r="Q550" s="370"/>
      <c r="R550" s="370"/>
      <c r="S550" s="370"/>
      <c r="T550" s="370"/>
      <c r="U550" s="370"/>
      <c r="V550" s="370"/>
      <c r="W550" s="370"/>
      <c r="X550" s="370"/>
      <c r="Y550" s="370"/>
      <c r="Z550" s="370"/>
    </row>
    <row r="551" spans="1:27" ht="30">
      <c r="A551" s="112" t="s">
        <v>2288</v>
      </c>
      <c r="B551" s="117">
        <v>6</v>
      </c>
      <c r="C551" s="117">
        <v>0</v>
      </c>
      <c r="D551" s="117" t="s">
        <v>2289</v>
      </c>
      <c r="E551" s="112" t="s">
        <v>513</v>
      </c>
      <c r="F551" s="117">
        <v>7707035511527</v>
      </c>
    </row>
    <row r="552" spans="1:27" ht="30">
      <c r="A552" s="152" t="s">
        <v>1602</v>
      </c>
      <c r="B552" s="96">
        <v>2</v>
      </c>
      <c r="C552" s="97">
        <v>0</v>
      </c>
      <c r="D552" s="96" t="s">
        <v>74</v>
      </c>
      <c r="E552" s="152" t="s">
        <v>1603</v>
      </c>
      <c r="F552" s="96">
        <v>7707271451410</v>
      </c>
    </row>
    <row r="553" spans="1:27">
      <c r="A553" s="39" t="s">
        <v>2290</v>
      </c>
      <c r="B553" s="23">
        <v>1</v>
      </c>
      <c r="C553" s="51">
        <v>0</v>
      </c>
      <c r="D553" s="23" t="s">
        <v>2291</v>
      </c>
      <c r="E553" s="23" t="s">
        <v>2292</v>
      </c>
      <c r="F553" s="23">
        <v>7703445109057</v>
      </c>
      <c r="G553" s="23"/>
      <c r="H553" s="23"/>
      <c r="I553" s="23"/>
      <c r="J553" s="23"/>
      <c r="K553" s="23"/>
      <c r="L553" s="23"/>
      <c r="M553" s="23"/>
      <c r="N553" s="23"/>
      <c r="O553" s="23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7">
      <c r="A554" s="370"/>
      <c r="B554" s="370"/>
      <c r="C554" s="370"/>
      <c r="D554" s="370"/>
      <c r="E554" s="370"/>
      <c r="F554" s="370"/>
      <c r="G554" s="370"/>
      <c r="H554" s="370"/>
      <c r="I554" s="370"/>
      <c r="J554" s="370"/>
      <c r="K554" s="370"/>
      <c r="L554" s="370"/>
      <c r="M554" s="370"/>
      <c r="N554" s="370"/>
      <c r="O554" s="370"/>
      <c r="P554" s="370"/>
      <c r="Q554" s="370"/>
      <c r="R554" s="370"/>
      <c r="S554" s="370"/>
      <c r="T554" s="370"/>
      <c r="U554" s="370"/>
      <c r="V554" s="370"/>
      <c r="W554" s="370"/>
      <c r="X554" s="370"/>
      <c r="Y554" s="370"/>
      <c r="Z554" s="370"/>
    </row>
    <row r="555" spans="1:27">
      <c r="A555" s="24" t="s">
        <v>1228</v>
      </c>
      <c r="B555" s="30">
        <v>2</v>
      </c>
      <c r="C555" s="31">
        <v>0</v>
      </c>
      <c r="D555" s="30" t="s">
        <v>1229</v>
      </c>
      <c r="E555" s="8" t="s">
        <v>116</v>
      </c>
      <c r="F555" s="28">
        <v>7702605109128</v>
      </c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</row>
    <row r="556" spans="1:27" ht="29.25">
      <c r="A556" t="s">
        <v>838</v>
      </c>
      <c r="B556">
        <v>1</v>
      </c>
      <c r="C556" s="133">
        <v>0</v>
      </c>
      <c r="D556" s="134" t="s">
        <v>32</v>
      </c>
      <c r="E556" s="22" t="s">
        <v>839</v>
      </c>
      <c r="F556">
        <v>7702870002636</v>
      </c>
    </row>
    <row r="557" spans="1:27" ht="29.25">
      <c r="A557" t="s">
        <v>838</v>
      </c>
      <c r="B557">
        <v>3</v>
      </c>
      <c r="C557" s="133">
        <v>0</v>
      </c>
      <c r="D557" s="134" t="s">
        <v>32</v>
      </c>
      <c r="E557" s="22" t="s">
        <v>839</v>
      </c>
      <c r="F557">
        <v>7702870002636</v>
      </c>
    </row>
    <row r="558" spans="1:27">
      <c r="A558" s="370"/>
      <c r="B558" s="370"/>
      <c r="C558" s="370"/>
      <c r="D558" s="370"/>
      <c r="E558" s="370"/>
      <c r="F558" s="370"/>
      <c r="G558" s="370"/>
      <c r="H558" s="370"/>
      <c r="I558" s="370"/>
      <c r="J558" s="370"/>
      <c r="K558" s="370"/>
      <c r="L558" s="370"/>
      <c r="M558" s="370"/>
      <c r="N558" s="370"/>
      <c r="O558" s="370"/>
      <c r="P558" s="370"/>
      <c r="Q558" s="370"/>
      <c r="R558" s="370"/>
      <c r="S558" s="370"/>
      <c r="T558" s="370"/>
      <c r="U558" s="370"/>
      <c r="V558" s="370"/>
      <c r="W558" s="370"/>
      <c r="X558" s="370"/>
      <c r="Y558" s="370"/>
      <c r="Z558" s="370"/>
    </row>
    <row r="559" spans="1:27" ht="29.25">
      <c r="A559" s="24" t="s">
        <v>1276</v>
      </c>
      <c r="B559" s="30">
        <v>1</v>
      </c>
      <c r="C559" s="31">
        <v>0</v>
      </c>
      <c r="D559" s="98" t="s">
        <v>318</v>
      </c>
      <c r="E559" s="25" t="s">
        <v>1277</v>
      </c>
      <c r="F559" s="129">
        <v>3582910009900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7">
      <c r="A560" s="24" t="s">
        <v>1931</v>
      </c>
      <c r="B560">
        <v>6</v>
      </c>
      <c r="C560" s="128">
        <v>0</v>
      </c>
      <c r="D560" s="254" t="s">
        <v>80</v>
      </c>
      <c r="E560" s="8" t="s">
        <v>1723</v>
      </c>
      <c r="F560" s="28">
        <v>7709923870570</v>
      </c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 spans="1:26">
      <c r="A561" s="13" t="s">
        <v>595</v>
      </c>
      <c r="B561" s="14">
        <v>6</v>
      </c>
      <c r="C561" s="105">
        <v>0</v>
      </c>
      <c r="D561" s="14" t="s">
        <v>596</v>
      </c>
      <c r="E561" s="13" t="s">
        <v>597</v>
      </c>
      <c r="F561" s="61">
        <v>8027950200245</v>
      </c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1:26" ht="30">
      <c r="A562" s="278" t="s">
        <v>2293</v>
      </c>
      <c r="B562" s="130">
        <v>4</v>
      </c>
      <c r="C562" s="131">
        <v>0</v>
      </c>
      <c r="D562" s="131" t="s">
        <v>88</v>
      </c>
      <c r="E562" s="130" t="s">
        <v>513</v>
      </c>
      <c r="F562" s="130">
        <v>7709830214085</v>
      </c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19"/>
    </row>
    <row r="563" spans="1:26">
      <c r="A563" s="112" t="s">
        <v>1528</v>
      </c>
      <c r="B563" s="112">
        <v>3</v>
      </c>
      <c r="C563" s="350">
        <v>0</v>
      </c>
      <c r="D563" s="374" t="s">
        <v>1985</v>
      </c>
      <c r="E563" s="112" t="s">
        <v>228</v>
      </c>
      <c r="F563" s="112">
        <v>8903726232798</v>
      </c>
      <c r="G563" s="112"/>
      <c r="H563" s="112"/>
      <c r="I563" s="112"/>
      <c r="J563" s="112"/>
      <c r="K563" s="112"/>
      <c r="L563" s="112"/>
      <c r="M563" s="112"/>
      <c r="N563" s="112"/>
      <c r="O563" s="112"/>
    </row>
    <row r="564" spans="1:26">
      <c r="A564" s="370"/>
      <c r="B564" s="370"/>
      <c r="C564" s="370"/>
      <c r="D564" s="370"/>
      <c r="E564" s="370"/>
      <c r="F564" s="370"/>
      <c r="G564" s="370"/>
      <c r="H564" s="370"/>
      <c r="I564" s="370"/>
      <c r="J564" s="370"/>
      <c r="K564" s="370"/>
      <c r="L564" s="370"/>
      <c r="M564" s="370"/>
      <c r="N564" s="370"/>
      <c r="O564" s="370"/>
      <c r="P564" s="370"/>
      <c r="Q564" s="370"/>
      <c r="R564" s="370"/>
      <c r="S564" s="370"/>
      <c r="T564" s="370"/>
      <c r="U564" s="370"/>
      <c r="V564" s="370"/>
      <c r="W564" s="370"/>
      <c r="X564" s="370"/>
      <c r="Y564" s="370"/>
      <c r="Z564" s="370"/>
    </row>
    <row r="565" spans="1:26" ht="28.5">
      <c r="A565" s="69" t="s">
        <v>1011</v>
      </c>
      <c r="B565" s="12">
        <v>3</v>
      </c>
      <c r="C565" s="59">
        <v>0</v>
      </c>
      <c r="D565" s="12" t="s">
        <v>408</v>
      </c>
      <c r="E565" s="69" t="s">
        <v>1012</v>
      </c>
      <c r="F565" s="61">
        <v>7703038067566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 spans="1:26" ht="29.25">
      <c r="A566" s="24" t="s">
        <v>849</v>
      </c>
      <c r="B566" s="30">
        <v>1</v>
      </c>
      <c r="C566" s="31">
        <v>0</v>
      </c>
      <c r="D566" s="98" t="s">
        <v>850</v>
      </c>
      <c r="E566" s="24" t="s">
        <v>851</v>
      </c>
      <c r="F566" s="28">
        <v>7702123006718</v>
      </c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</row>
    <row r="567" spans="1:26" ht="29.25">
      <c r="A567" s="24" t="s">
        <v>2294</v>
      </c>
      <c r="B567" s="30">
        <v>6</v>
      </c>
      <c r="C567" s="128">
        <v>0</v>
      </c>
      <c r="D567" s="254" t="s">
        <v>7</v>
      </c>
      <c r="E567" s="8" t="s">
        <v>1723</v>
      </c>
      <c r="F567" s="28">
        <v>7709923870532</v>
      </c>
    </row>
    <row r="568" spans="1:26" ht="29.25">
      <c r="A568" s="22" t="s">
        <v>1378</v>
      </c>
      <c r="B568" s="22">
        <v>1</v>
      </c>
      <c r="C568" s="175">
        <v>0.05</v>
      </c>
      <c r="D568" s="326" t="s">
        <v>458</v>
      </c>
      <c r="E568" s="22" t="s">
        <v>523</v>
      </c>
      <c r="F568" s="273">
        <v>7703006082331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30">
      <c r="A569" s="278" t="s">
        <v>2295</v>
      </c>
      <c r="B569" s="130">
        <v>4</v>
      </c>
      <c r="C569" s="133">
        <v>0</v>
      </c>
      <c r="D569" s="172" t="s">
        <v>118</v>
      </c>
      <c r="E569" s="130" t="s">
        <v>110</v>
      </c>
      <c r="F569" s="130">
        <v>7709830214061</v>
      </c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19"/>
    </row>
    <row r="570" spans="1:26" ht="29.25">
      <c r="A570" s="7" t="s">
        <v>1254</v>
      </c>
      <c r="B570" s="30">
        <v>3</v>
      </c>
      <c r="C570" s="31">
        <v>0</v>
      </c>
      <c r="D570" s="99" t="s">
        <v>74</v>
      </c>
      <c r="E570" s="25" t="s">
        <v>1255</v>
      </c>
      <c r="F570" s="30">
        <v>7707172685778</v>
      </c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19"/>
    </row>
    <row r="571" spans="1:26">
      <c r="A571" s="112" t="s">
        <v>1470</v>
      </c>
      <c r="B571" s="117">
        <v>1</v>
      </c>
      <c r="C571" s="345">
        <v>0</v>
      </c>
      <c r="D571" s="116" t="s">
        <v>450</v>
      </c>
      <c r="E571" s="117" t="s">
        <v>1471</v>
      </c>
      <c r="F571" s="117">
        <v>7501043130769</v>
      </c>
    </row>
    <row r="572" spans="1:26">
      <c r="A572" s="76" t="s">
        <v>1070</v>
      </c>
      <c r="B572" s="74">
        <v>1</v>
      </c>
      <c r="C572" s="75">
        <v>0</v>
      </c>
      <c r="D572" s="75" t="s">
        <v>88</v>
      </c>
      <c r="E572" s="74" t="s">
        <v>1071</v>
      </c>
      <c r="F572" s="74">
        <v>7702057124014</v>
      </c>
    </row>
    <row r="573" spans="1:26" ht="29.25">
      <c r="A573" s="22" t="s">
        <v>1626</v>
      </c>
      <c r="B573" s="23">
        <v>2</v>
      </c>
      <c r="C573" s="51">
        <v>0.19</v>
      </c>
      <c r="D573" s="23" t="s">
        <v>1627</v>
      </c>
      <c r="E573" s="22" t="s">
        <v>1628</v>
      </c>
      <c r="F573" s="52">
        <v>7705471206571</v>
      </c>
    </row>
    <row r="574" spans="1:26" ht="29.25">
      <c r="A574" s="28" t="s">
        <v>1122</v>
      </c>
      <c r="B574" s="8">
        <v>1</v>
      </c>
      <c r="C574" s="9">
        <v>0</v>
      </c>
      <c r="D574" s="203" t="s">
        <v>603</v>
      </c>
      <c r="E574" s="24" t="s">
        <v>63</v>
      </c>
      <c r="F574" s="28">
        <v>7702418004351</v>
      </c>
    </row>
    <row r="575" spans="1:26">
      <c r="A575" s="56" t="s">
        <v>360</v>
      </c>
      <c r="B575" s="153">
        <v>4</v>
      </c>
      <c r="C575" s="55">
        <v>0</v>
      </c>
      <c r="D575" s="153" t="s">
        <v>257</v>
      </c>
      <c r="E575" s="56" t="s">
        <v>361</v>
      </c>
      <c r="F575" s="226">
        <v>7703038067214</v>
      </c>
      <c r="G575" s="53"/>
      <c r="H575" s="53"/>
      <c r="I575" s="53"/>
      <c r="J575" s="53"/>
      <c r="K575" s="53"/>
      <c r="L575" s="53"/>
      <c r="M575" s="53"/>
      <c r="N575" s="53"/>
      <c r="O575" s="5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19"/>
    </row>
    <row r="576" spans="1:26">
      <c r="A576" t="s">
        <v>1749</v>
      </c>
      <c r="B576" s="39">
        <v>3</v>
      </c>
      <c r="C576" s="40">
        <v>0</v>
      </c>
      <c r="D576" s="40" t="s">
        <v>1750</v>
      </c>
      <c r="E576" t="s">
        <v>1590</v>
      </c>
      <c r="F576">
        <v>7702605104543</v>
      </c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/>
    </row>
    <row r="577" spans="1:28">
      <c r="A577" s="370"/>
      <c r="B577" s="370"/>
      <c r="C577" s="370"/>
      <c r="D577" s="370"/>
      <c r="E577" s="370"/>
      <c r="F577" s="370"/>
      <c r="G577" s="370"/>
      <c r="H577" s="370"/>
      <c r="I577" s="370"/>
      <c r="J577" s="370"/>
      <c r="K577" s="370"/>
      <c r="L577" s="370"/>
      <c r="M577" s="370"/>
      <c r="N577" s="370"/>
      <c r="O577" s="370"/>
      <c r="P577" s="370"/>
      <c r="Q577" s="370"/>
      <c r="R577" s="370"/>
      <c r="S577" s="370"/>
      <c r="T577" s="370"/>
      <c r="U577" s="370"/>
      <c r="V577" s="370"/>
      <c r="W577" s="370"/>
      <c r="X577" s="370"/>
      <c r="Y577" s="370"/>
      <c r="Z577" s="370"/>
    </row>
    <row r="578" spans="1:28" ht="30">
      <c r="A578" s="73" t="s">
        <v>259</v>
      </c>
      <c r="B578" s="17">
        <v>3</v>
      </c>
      <c r="C578" s="124">
        <v>0</v>
      </c>
      <c r="D578" s="17" t="s">
        <v>109</v>
      </c>
      <c r="E578" s="35" t="s">
        <v>260</v>
      </c>
      <c r="F578" s="17">
        <v>7702184020319</v>
      </c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23"/>
    </row>
    <row r="579" spans="1:28">
      <c r="A579" s="53" t="s">
        <v>1226</v>
      </c>
      <c r="B579" s="53">
        <v>3</v>
      </c>
      <c r="C579" s="55">
        <v>0</v>
      </c>
      <c r="D579" s="225" t="s">
        <v>191</v>
      </c>
      <c r="E579" s="53" t="s">
        <v>1227</v>
      </c>
      <c r="F579" s="53">
        <v>7703546043601</v>
      </c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23"/>
    </row>
    <row r="580" spans="1:28">
      <c r="A580" t="s">
        <v>2296</v>
      </c>
      <c r="B580">
        <v>3</v>
      </c>
      <c r="C580" s="133">
        <v>0</v>
      </c>
      <c r="D580" s="133" t="s">
        <v>408</v>
      </c>
      <c r="E580" t="s">
        <v>985</v>
      </c>
      <c r="F580">
        <v>7704412178182</v>
      </c>
      <c r="G580" s="23"/>
      <c r="H580" s="23"/>
      <c r="I580" s="23"/>
      <c r="J580" s="23"/>
      <c r="K580" s="23"/>
      <c r="L580" s="23"/>
      <c r="M580" s="23"/>
      <c r="N580" s="23"/>
      <c r="O580" s="23"/>
      <c r="P580"/>
      <c r="Q580"/>
      <c r="R580"/>
      <c r="S580"/>
      <c r="T580"/>
      <c r="U580"/>
      <c r="V580"/>
      <c r="W580"/>
      <c r="X580"/>
      <c r="Y580"/>
      <c r="Z580"/>
    </row>
    <row r="581" spans="1:28">
      <c r="A581" s="370"/>
      <c r="B581" s="370"/>
      <c r="C581" s="370"/>
      <c r="D581" s="370"/>
      <c r="E581" s="370"/>
      <c r="F581" s="370"/>
      <c r="G581" s="370"/>
      <c r="H581" s="370"/>
      <c r="I581" s="370"/>
      <c r="J581" s="370"/>
      <c r="K581" s="370"/>
      <c r="L581" s="370"/>
      <c r="M581" s="370"/>
      <c r="N581" s="370"/>
      <c r="O581" s="370"/>
      <c r="P581" s="370"/>
      <c r="Q581" s="370"/>
      <c r="R581" s="370"/>
      <c r="S581" s="370"/>
      <c r="T581" s="370"/>
      <c r="U581" s="370"/>
      <c r="V581" s="370"/>
      <c r="W581" s="370"/>
      <c r="X581" s="370"/>
      <c r="Y581" s="370"/>
      <c r="Z581" s="370"/>
    </row>
    <row r="582" spans="1:28" ht="29.25">
      <c r="A582" s="24" t="s">
        <v>1467</v>
      </c>
      <c r="B582" s="8">
        <v>1</v>
      </c>
      <c r="C582" s="9">
        <v>0</v>
      </c>
      <c r="D582" s="8" t="s">
        <v>1468</v>
      </c>
      <c r="E582" s="24" t="s">
        <v>1469</v>
      </c>
      <c r="F582" s="63">
        <v>7707278000970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8" ht="30">
      <c r="A583" s="117" t="s">
        <v>2297</v>
      </c>
      <c r="B583" s="117">
        <v>1</v>
      </c>
      <c r="C583" s="117">
        <v>0</v>
      </c>
      <c r="D583" s="117" t="s">
        <v>14</v>
      </c>
      <c r="E583" s="112" t="s">
        <v>2298</v>
      </c>
      <c r="F583" s="117">
        <v>7702044259989</v>
      </c>
    </row>
    <row r="584" spans="1:28" ht="30">
      <c r="A584" s="76" t="s">
        <v>144</v>
      </c>
      <c r="B584" s="74">
        <v>3</v>
      </c>
      <c r="C584" s="75">
        <v>0</v>
      </c>
      <c r="D584" s="74" t="s">
        <v>145</v>
      </c>
      <c r="E584" s="76" t="s">
        <v>146</v>
      </c>
      <c r="F584" s="74">
        <v>7702605103294</v>
      </c>
    </row>
    <row r="585" spans="1:28">
      <c r="A585" s="28" t="s">
        <v>2299</v>
      </c>
      <c r="B585" s="28">
        <v>1</v>
      </c>
      <c r="C585" s="192">
        <v>0</v>
      </c>
      <c r="D585" s="193" t="s">
        <v>59</v>
      </c>
      <c r="E585" s="24" t="s">
        <v>2300</v>
      </c>
      <c r="F585" s="28">
        <v>7707232098081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spans="1:28" ht="28.5">
      <c r="A586" s="71" t="s">
        <v>1781</v>
      </c>
      <c r="B586" s="14">
        <v>1</v>
      </c>
      <c r="C586" s="105">
        <v>0.19</v>
      </c>
      <c r="D586" s="137" t="s">
        <v>2301</v>
      </c>
      <c r="E586" s="13" t="s">
        <v>364</v>
      </c>
      <c r="F586" s="71">
        <v>7794640171550</v>
      </c>
      <c r="G586" s="28"/>
      <c r="H586" s="28"/>
      <c r="I586" s="28"/>
      <c r="J586" s="28"/>
      <c r="K586" s="28"/>
      <c r="L586" s="28"/>
      <c r="M586" s="28"/>
      <c r="N586" s="28"/>
      <c r="O586" s="28"/>
    </row>
    <row r="587" spans="1:28">
      <c r="A587" s="370"/>
      <c r="B587" s="370"/>
      <c r="C587" s="370"/>
      <c r="D587" s="370"/>
      <c r="E587" s="370"/>
      <c r="F587" s="370"/>
      <c r="G587" s="370"/>
      <c r="H587" s="370"/>
      <c r="I587" s="370"/>
      <c r="J587" s="370"/>
      <c r="K587" s="370"/>
      <c r="L587" s="370"/>
      <c r="M587" s="370"/>
      <c r="N587" s="370"/>
      <c r="O587" s="370"/>
      <c r="P587" s="370"/>
      <c r="Q587" s="370"/>
      <c r="R587" s="370"/>
      <c r="S587" s="370"/>
      <c r="T587" s="370"/>
      <c r="U587" s="370"/>
      <c r="V587" s="370"/>
      <c r="W587" s="370"/>
      <c r="X587" s="370"/>
      <c r="Y587" s="370"/>
      <c r="Z587" s="370"/>
    </row>
    <row r="588" spans="1:28" ht="29.25">
      <c r="A588" s="7" t="s">
        <v>2302</v>
      </c>
      <c r="B588" s="30">
        <v>1</v>
      </c>
      <c r="C588" s="173">
        <v>0</v>
      </c>
      <c r="D588" s="98" t="s">
        <v>2303</v>
      </c>
      <c r="E588" s="8" t="s">
        <v>830</v>
      </c>
      <c r="F588" s="8">
        <v>7707263007755</v>
      </c>
      <c r="G588" s="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</row>
    <row r="589" spans="1:28" ht="43.5">
      <c r="A589" s="22" t="s">
        <v>2304</v>
      </c>
      <c r="B589">
        <v>1</v>
      </c>
      <c r="C589" s="133">
        <v>0.19</v>
      </c>
      <c r="D589" s="183" t="s">
        <v>10</v>
      </c>
      <c r="E589" s="22" t="s">
        <v>2305</v>
      </c>
      <c r="F589">
        <v>7708978686747</v>
      </c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</row>
    <row r="590" spans="1:28" ht="29.25">
      <c r="A590" s="24" t="s">
        <v>1414</v>
      </c>
      <c r="B590" s="30">
        <v>2</v>
      </c>
      <c r="C590" s="31">
        <v>0</v>
      </c>
      <c r="D590" s="30" t="s">
        <v>1415</v>
      </c>
      <c r="E590" s="7" t="s">
        <v>1416</v>
      </c>
      <c r="F590" s="142">
        <v>7702605103232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/>
    </row>
    <row r="591" spans="1:28">
      <c r="A591" t="s">
        <v>2306</v>
      </c>
      <c r="B591">
        <v>10</v>
      </c>
      <c r="C591" s="133">
        <v>0</v>
      </c>
      <c r="D591" s="134" t="s">
        <v>7</v>
      </c>
      <c r="E591" t="s">
        <v>2307</v>
      </c>
      <c r="F591">
        <v>6921875004464</v>
      </c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</row>
    <row r="592" spans="1:28" ht="28.5">
      <c r="A592" s="69" t="s">
        <v>2308</v>
      </c>
      <c r="B592" s="14">
        <v>3</v>
      </c>
      <c r="C592" s="105">
        <v>0.19</v>
      </c>
      <c r="D592" s="135" t="s">
        <v>80</v>
      </c>
      <c r="E592" s="13" t="s">
        <v>1792</v>
      </c>
      <c r="F592" s="71">
        <v>7707271203385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/>
      <c r="AA592"/>
    </row>
    <row r="593" spans="1:28" ht="30">
      <c r="A593" s="74" t="s">
        <v>1692</v>
      </c>
      <c r="B593" s="21">
        <v>1</v>
      </c>
      <c r="C593" s="164">
        <v>0</v>
      </c>
      <c r="D593" s="349" t="s">
        <v>1693</v>
      </c>
      <c r="E593" s="76" t="s">
        <v>1694</v>
      </c>
      <c r="F593" s="74">
        <v>7702057014148</v>
      </c>
      <c r="G593" s="21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19"/>
    </row>
    <row r="594" spans="1:28">
      <c r="A594" s="370"/>
      <c r="B594" s="370"/>
      <c r="C594" s="370"/>
      <c r="D594" s="370"/>
      <c r="E594" s="370"/>
      <c r="F594" s="370"/>
      <c r="G594" s="370"/>
      <c r="H594" s="370"/>
      <c r="I594" s="370"/>
      <c r="J594" s="370"/>
      <c r="K594" s="370"/>
      <c r="L594" s="370"/>
      <c r="M594" s="370"/>
      <c r="N594" s="370"/>
      <c r="O594" s="370"/>
      <c r="P594" s="370"/>
      <c r="Q594" s="370"/>
      <c r="R594" s="370"/>
      <c r="S594" s="370"/>
      <c r="T594" s="370"/>
      <c r="U594" s="370"/>
      <c r="V594" s="370"/>
      <c r="W594" s="370"/>
      <c r="X594" s="370"/>
      <c r="Y594" s="370"/>
      <c r="Z594" s="370"/>
    </row>
    <row r="595" spans="1:28">
      <c r="A595" s="56" t="s">
        <v>2309</v>
      </c>
      <c r="B595" s="53">
        <v>4</v>
      </c>
      <c r="C595" s="105">
        <v>0.19</v>
      </c>
      <c r="D595" s="225" t="s">
        <v>2310</v>
      </c>
      <c r="E595" s="53" t="s">
        <v>2311</v>
      </c>
      <c r="F595" s="155">
        <v>7707280391509</v>
      </c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23"/>
    </row>
    <row r="596" spans="1:28">
      <c r="A596" t="s">
        <v>2312</v>
      </c>
      <c r="B596" s="23">
        <v>3</v>
      </c>
      <c r="C596" s="51">
        <v>0.19</v>
      </c>
      <c r="D596" s="23" t="s">
        <v>91</v>
      </c>
      <c r="E596" t="s">
        <v>2313</v>
      </c>
      <c r="F596">
        <v>7707225579450</v>
      </c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</row>
    <row r="597" spans="1:28">
      <c r="A597" s="370"/>
      <c r="B597" s="370"/>
      <c r="C597" s="370"/>
      <c r="D597" s="370"/>
      <c r="E597" s="370"/>
      <c r="F597" s="370"/>
      <c r="G597" s="370"/>
      <c r="H597" s="370"/>
      <c r="I597" s="370"/>
      <c r="J597" s="370"/>
      <c r="K597" s="370"/>
      <c r="L597" s="370"/>
      <c r="M597" s="370"/>
      <c r="N597" s="370"/>
      <c r="O597" s="370"/>
      <c r="P597" s="370"/>
      <c r="Q597" s="370"/>
      <c r="R597" s="370"/>
      <c r="S597" s="370"/>
      <c r="T597" s="370"/>
      <c r="U597" s="370"/>
      <c r="V597" s="370"/>
      <c r="W597" s="370"/>
      <c r="X597" s="370"/>
      <c r="Y597" s="370"/>
      <c r="Z597" s="370"/>
    </row>
    <row r="598" spans="1:28">
      <c r="A598" s="22" t="s">
        <v>2094</v>
      </c>
      <c r="B598">
        <v>2</v>
      </c>
      <c r="C598" s="133">
        <v>0.19</v>
      </c>
      <c r="D598" s="183" t="s">
        <v>109</v>
      </c>
      <c r="E598" t="s">
        <v>1760</v>
      </c>
      <c r="F598" s="42">
        <v>7705471205987</v>
      </c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</row>
    <row r="599" spans="1:28">
      <c r="A599" t="s">
        <v>2095</v>
      </c>
      <c r="B599" s="39">
        <v>1</v>
      </c>
      <c r="C599" s="40">
        <v>0.19</v>
      </c>
      <c r="D599" s="94" t="s">
        <v>747</v>
      </c>
      <c r="E599" t="s">
        <v>1758</v>
      </c>
      <c r="F599" s="42">
        <v>7705471100633</v>
      </c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 spans="1:28" ht="28.5">
      <c r="A600" s="71" t="s">
        <v>6</v>
      </c>
      <c r="B600" s="14">
        <v>8</v>
      </c>
      <c r="C600" s="105">
        <v>0</v>
      </c>
      <c r="D600" s="137" t="s">
        <v>7</v>
      </c>
      <c r="E600" s="69" t="s">
        <v>8</v>
      </c>
      <c r="F600" s="61">
        <v>7703038067269</v>
      </c>
    </row>
    <row r="601" spans="1:28">
      <c r="A601" s="71" t="s">
        <v>2314</v>
      </c>
      <c r="B601" s="12">
        <v>1</v>
      </c>
      <c r="C601" s="59">
        <v>0</v>
      </c>
      <c r="D601" s="59" t="s">
        <v>222</v>
      </c>
      <c r="E601" s="71" t="s">
        <v>2113</v>
      </c>
      <c r="F601" s="61">
        <v>7702123012214</v>
      </c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/>
    </row>
    <row r="602" spans="1:28" ht="43.5">
      <c r="A602" s="22" t="s">
        <v>767</v>
      </c>
      <c r="B602" s="23">
        <v>1</v>
      </c>
      <c r="C602" s="51">
        <v>0.19</v>
      </c>
      <c r="D602" s="137" t="s">
        <v>768</v>
      </c>
      <c r="E602" s="22" t="s">
        <v>769</v>
      </c>
      <c r="F602" s="52">
        <v>7707056200035</v>
      </c>
      <c r="G602" s="28"/>
      <c r="H602"/>
      <c r="I602"/>
      <c r="J602"/>
      <c r="K602"/>
      <c r="L602"/>
      <c r="M602"/>
      <c r="N602"/>
      <c r="O602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8" ht="42.75">
      <c r="A603" s="69" t="s">
        <v>2315</v>
      </c>
      <c r="B603" s="14">
        <v>2</v>
      </c>
      <c r="C603" s="51">
        <v>0.19</v>
      </c>
      <c r="D603" s="172" t="s">
        <v>768</v>
      </c>
      <c r="E603" s="69" t="s">
        <v>769</v>
      </c>
      <c r="F603" s="61">
        <v>7707056200011</v>
      </c>
      <c r="G603"/>
      <c r="H603"/>
      <c r="I603"/>
      <c r="J603"/>
      <c r="K603"/>
      <c r="L603"/>
      <c r="M603"/>
      <c r="N603"/>
      <c r="O60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8" ht="28.5">
      <c r="A604" s="69" t="s">
        <v>2248</v>
      </c>
      <c r="B604" s="14">
        <v>6</v>
      </c>
      <c r="C604" s="105">
        <v>0</v>
      </c>
      <c r="D604" s="14" t="s">
        <v>14</v>
      </c>
      <c r="E604" s="13" t="s">
        <v>2316</v>
      </c>
      <c r="F604" s="71">
        <v>7702184130162</v>
      </c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 s="23"/>
    </row>
    <row r="605" spans="1:28">
      <c r="A605" s="370"/>
      <c r="B605" s="370"/>
      <c r="C605" s="370"/>
      <c r="D605" s="370"/>
      <c r="E605" s="370"/>
      <c r="F605" s="370"/>
      <c r="G605" s="370"/>
      <c r="H605" s="370"/>
      <c r="I605" s="370"/>
      <c r="J605" s="370"/>
      <c r="K605" s="370"/>
      <c r="L605" s="370"/>
      <c r="M605" s="370"/>
      <c r="N605" s="370"/>
      <c r="O605" s="370"/>
      <c r="P605" s="370"/>
      <c r="Q605" s="370"/>
      <c r="R605" s="370"/>
      <c r="S605" s="370"/>
      <c r="T605" s="370"/>
      <c r="U605" s="370"/>
      <c r="V605" s="370"/>
      <c r="W605" s="370"/>
      <c r="X605" s="370"/>
      <c r="Y605" s="370"/>
      <c r="Z605" s="370"/>
    </row>
    <row r="606" spans="1:28" ht="30">
      <c r="A606" s="112" t="s">
        <v>2317</v>
      </c>
      <c r="B606" s="117">
        <v>6</v>
      </c>
      <c r="C606" s="117">
        <v>0</v>
      </c>
      <c r="D606" s="117" t="s">
        <v>2318</v>
      </c>
      <c r="E606" s="112" t="s">
        <v>110</v>
      </c>
      <c r="F606" s="117">
        <v>7709587585094</v>
      </c>
    </row>
    <row r="607" spans="1:28">
      <c r="A607" t="s">
        <v>226</v>
      </c>
      <c r="B607">
        <v>5</v>
      </c>
      <c r="C607" s="133">
        <v>0</v>
      </c>
      <c r="D607" t="s">
        <v>227</v>
      </c>
      <c r="E607" t="s">
        <v>228</v>
      </c>
      <c r="F607">
        <v>7703038067023</v>
      </c>
    </row>
    <row r="608" spans="1:28" ht="29.25">
      <c r="A608" s="22" t="s">
        <v>1638</v>
      </c>
      <c r="B608" s="23">
        <v>6</v>
      </c>
      <c r="C608" s="51">
        <v>0</v>
      </c>
      <c r="D608" s="172" t="s">
        <v>10</v>
      </c>
      <c r="E608" s="22" t="s">
        <v>1639</v>
      </c>
      <c r="F608" s="52">
        <v>7703038011903</v>
      </c>
    </row>
    <row r="609" spans="1:28">
      <c r="A609" s="12" t="s">
        <v>1989</v>
      </c>
      <c r="B609" s="14">
        <v>4</v>
      </c>
      <c r="C609" s="105">
        <v>0</v>
      </c>
      <c r="D609" s="14" t="s">
        <v>408</v>
      </c>
      <c r="E609" s="13" t="s">
        <v>1519</v>
      </c>
      <c r="F609" s="61">
        <v>7707341100071</v>
      </c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8">
      <c r="A610" s="76" t="s">
        <v>1580</v>
      </c>
      <c r="B610" s="74">
        <v>6</v>
      </c>
      <c r="C610" s="75">
        <v>0</v>
      </c>
      <c r="D610" s="75" t="s">
        <v>262</v>
      </c>
      <c r="E610" s="74" t="s">
        <v>1519</v>
      </c>
      <c r="F610" s="74">
        <v>7709997612786</v>
      </c>
    </row>
    <row r="611" spans="1:28">
      <c r="A611" s="71" t="s">
        <v>169</v>
      </c>
      <c r="B611" s="14">
        <v>1</v>
      </c>
      <c r="C611" s="105">
        <v>0</v>
      </c>
      <c r="D611" s="14" t="s">
        <v>94</v>
      </c>
      <c r="E611" s="69" t="s">
        <v>171</v>
      </c>
      <c r="F611" s="71">
        <v>7709071926723</v>
      </c>
      <c r="G611" s="71"/>
      <c r="H611" s="71"/>
      <c r="I611" s="71"/>
      <c r="J611" s="71"/>
      <c r="K611" s="71"/>
      <c r="L611" s="71"/>
      <c r="M611" s="71"/>
      <c r="N611" s="71"/>
      <c r="O611" s="71"/>
    </row>
    <row r="612" spans="1:28" ht="30">
      <c r="A612" s="117" t="s">
        <v>2319</v>
      </c>
      <c r="B612" s="117">
        <v>3</v>
      </c>
      <c r="C612" s="345">
        <v>0.19</v>
      </c>
      <c r="D612" s="117" t="s">
        <v>2320</v>
      </c>
      <c r="E612" s="112" t="s">
        <v>2321</v>
      </c>
      <c r="F612" s="117">
        <v>7707223662284</v>
      </c>
    </row>
    <row r="613" spans="1:28" ht="28.5">
      <c r="A613" s="71" t="s">
        <v>521</v>
      </c>
      <c r="B613" s="14">
        <v>1</v>
      </c>
      <c r="C613" s="105">
        <v>0.05</v>
      </c>
      <c r="D613" s="137" t="s">
        <v>2322</v>
      </c>
      <c r="E613" s="121" t="s">
        <v>523</v>
      </c>
      <c r="F613" s="211">
        <v>7703006086339</v>
      </c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</row>
    <row r="614" spans="1:28" ht="29.25">
      <c r="A614" s="24" t="s">
        <v>2323</v>
      </c>
      <c r="B614" s="28">
        <v>2</v>
      </c>
      <c r="C614" s="192">
        <v>0</v>
      </c>
      <c r="D614" s="193" t="s">
        <v>450</v>
      </c>
      <c r="E614" s="7" t="s">
        <v>2324</v>
      </c>
      <c r="F614" s="28">
        <v>7702896001156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spans="1:28">
      <c r="A615" s="370"/>
      <c r="B615" s="370"/>
      <c r="C615" s="370"/>
      <c r="D615" s="370"/>
      <c r="E615" s="370"/>
      <c r="F615" s="370"/>
      <c r="G615" s="370"/>
      <c r="H615" s="370"/>
      <c r="I615" s="370"/>
      <c r="J615" s="370"/>
      <c r="K615" s="370"/>
      <c r="L615" s="370"/>
      <c r="M615" s="370"/>
      <c r="N615" s="370"/>
      <c r="O615" s="370"/>
      <c r="P615" s="370"/>
      <c r="Q615" s="370"/>
      <c r="R615" s="370"/>
      <c r="S615" s="370"/>
      <c r="T615" s="370"/>
      <c r="U615" s="370"/>
      <c r="V615" s="370"/>
      <c r="W615" s="370"/>
      <c r="X615" s="370"/>
      <c r="Y615" s="370"/>
      <c r="Z615" s="370"/>
    </row>
    <row r="616" spans="1:28" ht="28.5">
      <c r="A616" s="69" t="s">
        <v>2325</v>
      </c>
      <c r="B616" s="12">
        <v>1</v>
      </c>
      <c r="C616" s="59">
        <v>0</v>
      </c>
      <c r="D616" s="12" t="s">
        <v>402</v>
      </c>
      <c r="E616" s="69" t="s">
        <v>2326</v>
      </c>
      <c r="F616" s="71">
        <v>7704190038913</v>
      </c>
      <c r="G616" s="28"/>
      <c r="H616" s="28"/>
      <c r="I616" s="28"/>
      <c r="J616" s="28"/>
      <c r="K616" s="28"/>
      <c r="L616" s="28"/>
      <c r="M616" s="28"/>
      <c r="N616" s="28"/>
      <c r="O616" s="28"/>
    </row>
    <row r="617" spans="1:28" ht="30">
      <c r="A617" s="32" t="s">
        <v>1252</v>
      </c>
      <c r="B617" s="32">
        <v>3</v>
      </c>
      <c r="C617" s="72">
        <v>0</v>
      </c>
      <c r="D617" s="32" t="s">
        <v>1366</v>
      </c>
      <c r="E617" s="73" t="s">
        <v>1253</v>
      </c>
      <c r="F617" s="32">
        <v>7441026003348</v>
      </c>
      <c r="G617" s="74"/>
    </row>
    <row r="618" spans="1:28">
      <c r="A618" s="19" t="s">
        <v>1701</v>
      </c>
      <c r="B618" s="19">
        <v>1</v>
      </c>
      <c r="C618" s="126">
        <v>0</v>
      </c>
      <c r="D618" s="37" t="s">
        <v>427</v>
      </c>
      <c r="E618" s="19" t="s">
        <v>1702</v>
      </c>
      <c r="F618" s="19">
        <v>7707035510582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/>
      <c r="AA618"/>
    </row>
    <row r="619" spans="1:28" ht="29.25">
      <c r="A619" s="22" t="s">
        <v>128</v>
      </c>
      <c r="B619" s="280">
        <v>3</v>
      </c>
      <c r="C619" s="281">
        <v>0</v>
      </c>
      <c r="D619" s="280" t="s">
        <v>129</v>
      </c>
      <c r="E619" s="22" t="s">
        <v>130</v>
      </c>
      <c r="F619" s="282">
        <v>7705471206533</v>
      </c>
      <c r="G619" s="283"/>
      <c r="H619" s="283"/>
      <c r="I619" s="283"/>
      <c r="J619" s="283"/>
      <c r="K619" s="283"/>
      <c r="L619" s="283"/>
      <c r="M619" s="283"/>
      <c r="N619" s="283"/>
      <c r="O619" s="283"/>
    </row>
    <row r="620" spans="1:28" ht="30">
      <c r="A620" s="18" t="s">
        <v>1220</v>
      </c>
      <c r="B620" s="32">
        <v>1</v>
      </c>
      <c r="C620" s="72">
        <v>0</v>
      </c>
      <c r="D620" s="72" t="s">
        <v>118</v>
      </c>
      <c r="E620" s="16" t="s">
        <v>1221</v>
      </c>
      <c r="F620" s="18">
        <v>7702195873256</v>
      </c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8">
      <c r="A621" s="8" t="s">
        <v>780</v>
      </c>
      <c r="B621" s="8">
        <v>3</v>
      </c>
      <c r="C621" s="9">
        <v>0</v>
      </c>
      <c r="D621" s="203" t="s">
        <v>1007</v>
      </c>
      <c r="E621" s="7" t="s">
        <v>431</v>
      </c>
      <c r="F621" s="63">
        <v>7702057712938</v>
      </c>
    </row>
    <row r="622" spans="1:28" ht="29.25">
      <c r="A622" t="s">
        <v>2053</v>
      </c>
      <c r="B622" s="39">
        <v>2</v>
      </c>
      <c r="C622" s="40">
        <v>0</v>
      </c>
      <c r="D622" s="39" t="s">
        <v>227</v>
      </c>
      <c r="E622" s="22" t="s">
        <v>107</v>
      </c>
      <c r="F622">
        <v>7702057711368</v>
      </c>
    </row>
    <row r="623" spans="1:28">
      <c r="A623" s="24" t="s">
        <v>1722</v>
      </c>
      <c r="B623" s="30">
        <v>6</v>
      </c>
      <c r="C623" s="128">
        <v>0</v>
      </c>
      <c r="D623" s="254" t="s">
        <v>7</v>
      </c>
      <c r="E623" s="8" t="s">
        <v>1723</v>
      </c>
      <c r="F623" s="28">
        <v>7709923870556</v>
      </c>
    </row>
    <row r="624" spans="1:28" ht="28.5">
      <c r="A624" s="13" t="s">
        <v>73</v>
      </c>
      <c r="B624" s="12">
        <v>4</v>
      </c>
      <c r="C624" s="59">
        <v>0</v>
      </c>
      <c r="D624" s="137" t="s">
        <v>74</v>
      </c>
      <c r="E624" s="13" t="s">
        <v>75</v>
      </c>
      <c r="F624" s="411">
        <v>7707019466218</v>
      </c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/>
    </row>
    <row r="625" spans="1:27">
      <c r="A625" s="24" t="s">
        <v>2327</v>
      </c>
      <c r="B625" s="28">
        <v>1</v>
      </c>
      <c r="C625" s="31">
        <v>0.19</v>
      </c>
      <c r="D625" s="30" t="s">
        <v>2130</v>
      </c>
      <c r="E625" s="28" t="s">
        <v>2328</v>
      </c>
      <c r="F625" s="28">
        <v>7702027479632</v>
      </c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 spans="1:27">
      <c r="A626" s="370"/>
      <c r="B626" s="370"/>
      <c r="C626" s="370"/>
      <c r="D626" s="370"/>
      <c r="E626" s="370"/>
      <c r="F626" s="370"/>
      <c r="G626" s="370"/>
      <c r="H626" s="370"/>
      <c r="I626" s="370"/>
      <c r="J626" s="370"/>
      <c r="K626" s="370"/>
      <c r="L626" s="370"/>
      <c r="M626" s="370"/>
      <c r="N626" s="370"/>
      <c r="O626" s="370"/>
      <c r="P626" s="370"/>
      <c r="Q626" s="370"/>
      <c r="R626" s="370"/>
      <c r="S626" s="370"/>
      <c r="T626" s="370"/>
      <c r="U626" s="370"/>
      <c r="V626" s="370"/>
      <c r="W626" s="370"/>
      <c r="X626" s="370"/>
      <c r="Y626" s="370"/>
      <c r="Z626" s="370"/>
    </row>
    <row r="627" spans="1:27" ht="30">
      <c r="A627" s="178" t="s">
        <v>688</v>
      </c>
      <c r="B627" s="179">
        <v>6</v>
      </c>
      <c r="C627" s="180">
        <v>0</v>
      </c>
      <c r="D627" s="179" t="s">
        <v>23</v>
      </c>
      <c r="E627" s="181" t="s">
        <v>689</v>
      </c>
      <c r="F627" s="182">
        <v>7707321982093</v>
      </c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 s="23"/>
    </row>
    <row r="629" spans="1:27" ht="29.25">
      <c r="A629" t="s">
        <v>627</v>
      </c>
      <c r="B629">
        <v>1</v>
      </c>
      <c r="C629" s="133">
        <v>0.19</v>
      </c>
      <c r="D629" s="23" t="s">
        <v>750</v>
      </c>
      <c r="E629" s="22" t="s">
        <v>628</v>
      </c>
      <c r="F629">
        <v>8410190585997</v>
      </c>
    </row>
    <row r="630" spans="1:27">
      <c r="A630" s="71" t="s">
        <v>169</v>
      </c>
      <c r="B630" s="14">
        <v>1</v>
      </c>
      <c r="C630" s="105">
        <v>0</v>
      </c>
      <c r="D630" s="14" t="s">
        <v>94</v>
      </c>
      <c r="E630" s="69" t="s">
        <v>171</v>
      </c>
      <c r="F630" s="71">
        <v>7709071926723</v>
      </c>
      <c r="G630" s="71"/>
      <c r="H630" s="71"/>
      <c r="I630" s="71"/>
      <c r="J630" s="71"/>
      <c r="K630" s="71"/>
      <c r="L630" s="71"/>
      <c r="M630" s="71"/>
      <c r="N630" s="71"/>
      <c r="O630" s="71"/>
    </row>
    <row r="631" spans="1:27">
      <c r="A631" s="370"/>
      <c r="B631" s="370"/>
      <c r="C631" s="370"/>
      <c r="D631" s="370"/>
      <c r="E631" s="370"/>
      <c r="F631" s="370"/>
      <c r="G631" s="370"/>
      <c r="H631" s="370"/>
      <c r="I631" s="370"/>
      <c r="J631" s="370"/>
      <c r="K631" s="370"/>
      <c r="L631" s="370"/>
      <c r="M631" s="370"/>
      <c r="N631" s="370"/>
      <c r="O631" s="370"/>
      <c r="P631" s="370"/>
      <c r="Q631" s="370"/>
      <c r="R631" s="370"/>
      <c r="S631" s="370"/>
      <c r="T631" s="370"/>
      <c r="U631" s="370"/>
      <c r="V631" s="370"/>
      <c r="W631" s="370"/>
      <c r="X631" s="370"/>
      <c r="Y631" s="370"/>
      <c r="Z631" s="370"/>
    </row>
    <row r="632" spans="1:27" ht="29.25">
      <c r="A632" s="22" t="s">
        <v>753</v>
      </c>
      <c r="B632">
        <v>3</v>
      </c>
      <c r="C632" s="133">
        <v>0</v>
      </c>
      <c r="D632" s="172" t="s">
        <v>262</v>
      </c>
      <c r="E632" s="22" t="s">
        <v>754</v>
      </c>
      <c r="F632">
        <v>8903726224403</v>
      </c>
    </row>
    <row r="633" spans="1:27" ht="28.5">
      <c r="A633" s="71" t="s">
        <v>1812</v>
      </c>
      <c r="B633" s="14">
        <v>6</v>
      </c>
      <c r="C633" s="174">
        <v>0</v>
      </c>
      <c r="D633" s="137" t="s">
        <v>10</v>
      </c>
      <c r="E633" s="69" t="s">
        <v>1813</v>
      </c>
      <c r="F633" s="71">
        <v>7702184020227</v>
      </c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7">
      <c r="A634" s="43" t="s">
        <v>1339</v>
      </c>
      <c r="B634" s="18">
        <v>8</v>
      </c>
      <c r="C634" s="124">
        <v>0</v>
      </c>
      <c r="D634" s="138" t="s">
        <v>1116</v>
      </c>
      <c r="E634" s="73" t="s">
        <v>1340</v>
      </c>
      <c r="F634" s="20">
        <v>7703689000448</v>
      </c>
      <c r="G634" s="37"/>
      <c r="H634" s="37"/>
      <c r="I634" s="37"/>
      <c r="J634" s="37"/>
      <c r="K634" s="37"/>
      <c r="L634" s="37"/>
      <c r="M634" s="37"/>
      <c r="N634" s="37"/>
      <c r="O634" s="37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7" ht="28.5">
      <c r="A635" s="13" t="s">
        <v>183</v>
      </c>
      <c r="B635" s="12">
        <v>3</v>
      </c>
      <c r="C635" s="59">
        <v>0</v>
      </c>
      <c r="D635" s="12" t="s">
        <v>1618</v>
      </c>
      <c r="E635" s="121" t="s">
        <v>184</v>
      </c>
      <c r="F635" s="61">
        <v>7703712012097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spans="1:27" ht="28.5">
      <c r="A636" s="69" t="s">
        <v>172</v>
      </c>
      <c r="B636" s="14">
        <v>2</v>
      </c>
      <c r="C636" s="105">
        <v>0</v>
      </c>
      <c r="D636" s="137" t="s">
        <v>173</v>
      </c>
      <c r="E636" s="13" t="s">
        <v>174</v>
      </c>
      <c r="F636" s="61">
        <v>7703712012110</v>
      </c>
    </row>
    <row r="637" spans="1:27" ht="30">
      <c r="A637" s="117" t="s">
        <v>1561</v>
      </c>
      <c r="B637" s="117">
        <v>4</v>
      </c>
      <c r="C637" s="117">
        <v>0</v>
      </c>
      <c r="D637" s="117" t="s">
        <v>2329</v>
      </c>
      <c r="E637" s="112" t="s">
        <v>1563</v>
      </c>
      <c r="F637" s="117">
        <v>7707019384116</v>
      </c>
    </row>
    <row r="638" spans="1:27">
      <c r="A638" t="s">
        <v>2330</v>
      </c>
      <c r="B638" s="39">
        <v>4</v>
      </c>
      <c r="C638" s="40">
        <v>0</v>
      </c>
      <c r="D638" s="39" t="s">
        <v>534</v>
      </c>
      <c r="E638" t="s">
        <v>2331</v>
      </c>
      <c r="F638">
        <v>7703712035683</v>
      </c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</row>
    <row r="639" spans="1:27" ht="28.5">
      <c r="A639" s="69" t="s">
        <v>2332</v>
      </c>
      <c r="B639" s="71">
        <v>2</v>
      </c>
      <c r="C639" s="71">
        <v>0</v>
      </c>
      <c r="D639" s="207" t="s">
        <v>2333</v>
      </c>
      <c r="E639" s="69" t="s">
        <v>2334</v>
      </c>
      <c r="F639" s="71">
        <v>7702027429293</v>
      </c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19"/>
      <c r="AA639"/>
    </row>
    <row r="640" spans="1:27">
      <c r="A640" s="370"/>
      <c r="B640" s="370"/>
      <c r="C640" s="370"/>
      <c r="D640" s="370"/>
      <c r="E640" s="370"/>
      <c r="F640" s="370"/>
      <c r="G640" s="370"/>
      <c r="H640" s="370"/>
      <c r="I640" s="370"/>
      <c r="J640" s="370"/>
      <c r="K640" s="370"/>
      <c r="L640" s="370"/>
      <c r="M640" s="370"/>
      <c r="N640" s="370"/>
      <c r="O640" s="370"/>
      <c r="P640" s="370"/>
      <c r="Q640" s="370"/>
      <c r="R640" s="370"/>
      <c r="S640" s="370"/>
      <c r="T640" s="370"/>
      <c r="U640" s="370"/>
      <c r="V640" s="370"/>
      <c r="W640" s="370"/>
      <c r="X640" s="370"/>
      <c r="Y640" s="370"/>
      <c r="Z640" s="370"/>
    </row>
    <row r="641" spans="1:26">
      <c r="A641" s="64" t="s">
        <v>1607</v>
      </c>
      <c r="B641" s="102">
        <v>6</v>
      </c>
      <c r="C641" s="101">
        <v>0</v>
      </c>
      <c r="D641" s="125" t="s">
        <v>355</v>
      </c>
      <c r="E641" s="64" t="s">
        <v>1519</v>
      </c>
      <c r="F641" s="68">
        <v>7707274722715</v>
      </c>
    </row>
    <row r="642" spans="1:26">
      <c r="A642" s="64" t="s">
        <v>1607</v>
      </c>
      <c r="B642" s="102">
        <v>1</v>
      </c>
      <c r="C642" s="101">
        <v>0</v>
      </c>
      <c r="D642" s="125" t="s">
        <v>355</v>
      </c>
      <c r="E642" s="64" t="s">
        <v>1519</v>
      </c>
      <c r="F642" s="68">
        <v>7707274722715</v>
      </c>
    </row>
    <row r="643" spans="1:26" ht="30">
      <c r="A643" s="117" t="s">
        <v>2335</v>
      </c>
      <c r="B643" s="117">
        <v>12</v>
      </c>
      <c r="C643" s="345">
        <v>0.19</v>
      </c>
      <c r="D643" s="117" t="s">
        <v>59</v>
      </c>
      <c r="E643" s="112" t="s">
        <v>2336</v>
      </c>
    </row>
    <row r="644" spans="1:26">
      <c r="A644" s="69" t="s">
        <v>380</v>
      </c>
      <c r="B644" s="71">
        <v>1</v>
      </c>
      <c r="C644" s="105">
        <v>0</v>
      </c>
      <c r="D644" s="137" t="s">
        <v>381</v>
      </c>
      <c r="E644" s="12" t="s">
        <v>382</v>
      </c>
      <c r="F644" s="71">
        <v>7501298220185</v>
      </c>
    </row>
    <row r="645" spans="1:26">
      <c r="A645" s="71" t="s">
        <v>1031</v>
      </c>
      <c r="B645" s="71">
        <v>1</v>
      </c>
      <c r="C645" s="71">
        <v>0</v>
      </c>
      <c r="D645" s="71" t="s">
        <v>1032</v>
      </c>
      <c r="E645" s="71" t="s">
        <v>1033</v>
      </c>
      <c r="F645" s="61">
        <v>7501165010444</v>
      </c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</row>
    <row r="646" spans="1:26" ht="29.25">
      <c r="A646" s="22" t="s">
        <v>593</v>
      </c>
      <c r="B646">
        <v>6</v>
      </c>
      <c r="C646" s="133">
        <v>0</v>
      </c>
      <c r="D646" s="183" t="s">
        <v>32</v>
      </c>
      <c r="E646" s="22" t="s">
        <v>594</v>
      </c>
      <c r="F646">
        <v>7709930569436</v>
      </c>
    </row>
    <row r="647" spans="1:26">
      <c r="A647" s="71" t="s">
        <v>2229</v>
      </c>
      <c r="B647" s="12">
        <v>1</v>
      </c>
      <c r="C647" s="59">
        <v>0.19</v>
      </c>
      <c r="D647" s="12" t="s">
        <v>1075</v>
      </c>
      <c r="E647" s="71" t="s">
        <v>2230</v>
      </c>
      <c r="F647" s="71">
        <v>7702057082130</v>
      </c>
      <c r="G647" s="71"/>
    </row>
    <row r="648" spans="1:26" ht="29.25">
      <c r="A648" t="s">
        <v>1016</v>
      </c>
      <c r="B648">
        <v>1</v>
      </c>
      <c r="C648" s="133">
        <v>0</v>
      </c>
      <c r="D648" s="140" t="s">
        <v>1507</v>
      </c>
      <c r="E648" s="22" t="s">
        <v>779</v>
      </c>
      <c r="F648" s="42">
        <v>7702870070888</v>
      </c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370"/>
      <c r="B649" s="370"/>
      <c r="C649" s="370"/>
      <c r="D649" s="370"/>
      <c r="E649" s="370"/>
      <c r="F649" s="370"/>
      <c r="G649" s="370"/>
      <c r="H649" s="370"/>
      <c r="I649" s="370"/>
      <c r="J649" s="370"/>
      <c r="K649" s="370"/>
      <c r="L649" s="370"/>
      <c r="M649" s="370"/>
      <c r="N649" s="370"/>
      <c r="O649" s="370"/>
      <c r="P649" s="370"/>
      <c r="Q649" s="370"/>
      <c r="R649" s="370"/>
      <c r="S649" s="370"/>
      <c r="T649" s="370"/>
      <c r="U649" s="370"/>
      <c r="V649" s="370"/>
      <c r="W649" s="370"/>
      <c r="X649" s="370"/>
      <c r="Y649" s="370"/>
      <c r="Z649" s="370"/>
    </row>
    <row r="650" spans="1:26">
      <c r="A650" s="16" t="s">
        <v>1120</v>
      </c>
      <c r="B650" s="17">
        <v>1</v>
      </c>
      <c r="C650" s="124">
        <v>0</v>
      </c>
      <c r="D650" s="17" t="s">
        <v>7</v>
      </c>
      <c r="E650" s="16" t="s">
        <v>1121</v>
      </c>
      <c r="F650" s="139">
        <v>7500435107020</v>
      </c>
      <c r="G650" s="28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370"/>
      <c r="B651" s="370"/>
      <c r="C651" s="370"/>
      <c r="D651" s="370"/>
      <c r="E651" s="370"/>
      <c r="F651" s="370"/>
      <c r="G651" s="370"/>
      <c r="H651" s="370"/>
      <c r="I651" s="370"/>
      <c r="J651" s="370"/>
      <c r="K651" s="370"/>
      <c r="L651" s="370"/>
      <c r="M651" s="370"/>
      <c r="N651" s="370"/>
      <c r="O651" s="370"/>
      <c r="P651" s="370"/>
      <c r="Q651" s="370"/>
      <c r="R651" s="370"/>
      <c r="S651" s="370"/>
      <c r="T651" s="370"/>
      <c r="U651" s="370"/>
      <c r="V651" s="370"/>
      <c r="W651" s="370"/>
      <c r="X651" s="370"/>
      <c r="Y651" s="370"/>
      <c r="Z651" s="370"/>
    </row>
    <row r="652" spans="1:26">
      <c r="A652" s="76" t="s">
        <v>1757</v>
      </c>
      <c r="B652" s="74">
        <v>1</v>
      </c>
      <c r="C652" s="75">
        <v>0.19</v>
      </c>
      <c r="D652" s="75" t="s">
        <v>118</v>
      </c>
      <c r="E652" s="74" t="s">
        <v>1758</v>
      </c>
      <c r="F652" s="378">
        <v>7705471100046</v>
      </c>
    </row>
    <row r="653" spans="1:26" ht="30">
      <c r="A653" s="32" t="s">
        <v>175</v>
      </c>
      <c r="B653" s="32">
        <v>4</v>
      </c>
      <c r="C653" s="72">
        <v>0</v>
      </c>
      <c r="D653" s="72" t="s">
        <v>38</v>
      </c>
      <c r="E653" s="76" t="s">
        <v>121</v>
      </c>
      <c r="F653" s="321">
        <v>7501125176470</v>
      </c>
    </row>
    <row r="654" spans="1:26" ht="30">
      <c r="A654" s="384" t="s">
        <v>254</v>
      </c>
      <c r="B654" s="384">
        <v>4</v>
      </c>
      <c r="C654" s="385">
        <v>0</v>
      </c>
      <c r="D654" s="384" t="s">
        <v>38</v>
      </c>
      <c r="E654" s="383" t="s">
        <v>255</v>
      </c>
      <c r="F654" s="384">
        <v>7501125176531</v>
      </c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</row>
    <row r="655" spans="1:26" ht="30">
      <c r="A655" s="384" t="s">
        <v>762</v>
      </c>
      <c r="B655" s="384">
        <v>6</v>
      </c>
      <c r="C655" s="385">
        <v>0</v>
      </c>
      <c r="D655" s="384" t="s">
        <v>38</v>
      </c>
      <c r="E655" s="383" t="s">
        <v>121</v>
      </c>
      <c r="F655" s="384">
        <v>7501125184864</v>
      </c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</row>
    <row r="656" spans="1:26" ht="30">
      <c r="A656" s="195" t="s">
        <v>2158</v>
      </c>
      <c r="B656" s="200">
        <v>2</v>
      </c>
      <c r="C656" s="360">
        <v>0</v>
      </c>
      <c r="D656" s="200" t="s">
        <v>1366</v>
      </c>
      <c r="E656" s="195" t="s">
        <v>174</v>
      </c>
      <c r="F656" s="373">
        <v>7709990383638</v>
      </c>
    </row>
    <row r="657" spans="1:26" ht="28.5">
      <c r="A657" s="71" t="s">
        <v>2337</v>
      </c>
      <c r="B657" s="14">
        <v>1</v>
      </c>
      <c r="C657" s="105">
        <v>0.19</v>
      </c>
      <c r="D657" s="137" t="s">
        <v>697</v>
      </c>
      <c r="E657" s="69" t="s">
        <v>2338</v>
      </c>
      <c r="F657" s="71">
        <v>7709812676504</v>
      </c>
      <c r="G657" s="28"/>
      <c r="H657" s="28"/>
      <c r="I657" s="28"/>
      <c r="J657" s="28"/>
      <c r="K657" s="28"/>
      <c r="L657" s="28"/>
      <c r="M657" s="28"/>
      <c r="N657" s="28"/>
      <c r="O657" s="28"/>
    </row>
    <row r="658" spans="1:26" ht="28.5">
      <c r="A658" s="69" t="s">
        <v>2339</v>
      </c>
      <c r="B658" s="14">
        <v>1</v>
      </c>
      <c r="C658" s="105">
        <v>0.19</v>
      </c>
      <c r="D658" s="14" t="s">
        <v>293</v>
      </c>
      <c r="E658" s="69" t="s">
        <v>2340</v>
      </c>
      <c r="F658" s="15">
        <v>7709812676580</v>
      </c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30">
      <c r="A659" s="117" t="s">
        <v>2341</v>
      </c>
      <c r="B659" s="117">
        <v>1</v>
      </c>
      <c r="C659" s="345">
        <v>0.19</v>
      </c>
      <c r="D659" s="117" t="s">
        <v>2342</v>
      </c>
      <c r="E659" s="112" t="s">
        <v>2343</v>
      </c>
      <c r="F659" s="117">
        <v>7704232001974</v>
      </c>
    </row>
    <row r="660" spans="1:26">
      <c r="A660" s="370"/>
      <c r="B660" s="370"/>
      <c r="C660" s="370"/>
      <c r="D660" s="370"/>
      <c r="E660" s="370"/>
      <c r="F660" s="370"/>
      <c r="G660" s="370"/>
      <c r="H660" s="370"/>
      <c r="I660" s="370"/>
      <c r="J660" s="370"/>
      <c r="K660" s="370"/>
      <c r="L660" s="370"/>
      <c r="M660" s="370"/>
      <c r="N660" s="370"/>
      <c r="O660" s="370"/>
      <c r="P660" s="370"/>
      <c r="Q660" s="370"/>
      <c r="R660" s="370"/>
      <c r="S660" s="370"/>
      <c r="T660" s="370"/>
      <c r="U660" s="370"/>
      <c r="V660" s="370"/>
      <c r="W660" s="370"/>
      <c r="X660" s="370"/>
      <c r="Y660" s="370"/>
      <c r="Z660" s="370"/>
    </row>
    <row r="661" spans="1:26">
      <c r="A661" s="370"/>
      <c r="B661" s="370"/>
      <c r="C661" s="370"/>
      <c r="D661" s="370"/>
      <c r="E661" s="370"/>
      <c r="F661" s="370"/>
      <c r="G661" s="370"/>
      <c r="H661" s="370"/>
      <c r="I661" s="370"/>
      <c r="J661" s="370"/>
      <c r="K661" s="370"/>
      <c r="L661" s="370"/>
      <c r="M661" s="370"/>
      <c r="N661" s="370"/>
      <c r="O661" s="370"/>
      <c r="P661" s="370"/>
      <c r="Q661" s="370"/>
      <c r="R661" s="370"/>
      <c r="S661" s="370"/>
      <c r="T661" s="370"/>
      <c r="U661" s="370"/>
      <c r="V661" s="370"/>
      <c r="W661" s="370"/>
      <c r="X661" s="370"/>
      <c r="Y661" s="370"/>
      <c r="Z661" s="370"/>
    </row>
    <row r="662" spans="1:26" ht="28.5">
      <c r="A662" s="13" t="s">
        <v>2344</v>
      </c>
      <c r="B662" s="14">
        <v>1</v>
      </c>
      <c r="C662" s="105">
        <v>0</v>
      </c>
      <c r="D662" s="14" t="s">
        <v>2345</v>
      </c>
      <c r="E662" s="13" t="s">
        <v>273</v>
      </c>
      <c r="F662" s="61">
        <v>7707367050954</v>
      </c>
      <c r="G662" s="28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</row>
    <row r="663" spans="1:26">
      <c r="A663" s="117" t="s">
        <v>45</v>
      </c>
      <c r="B663" s="117">
        <v>3</v>
      </c>
      <c r="C663" s="345">
        <v>0</v>
      </c>
      <c r="D663" s="117" t="s">
        <v>1708</v>
      </c>
      <c r="E663" s="112" t="s">
        <v>48</v>
      </c>
      <c r="F663" s="117">
        <v>7704412080607</v>
      </c>
    </row>
    <row r="664" spans="1:26" ht="30">
      <c r="A664" s="117" t="s">
        <v>2346</v>
      </c>
      <c r="B664" s="117">
        <v>1</v>
      </c>
      <c r="C664" s="117">
        <v>0</v>
      </c>
      <c r="D664" s="117" t="s">
        <v>808</v>
      </c>
      <c r="E664" s="112" t="s">
        <v>107</v>
      </c>
      <c r="F664" s="117">
        <v>7703546416689</v>
      </c>
    </row>
    <row r="665" spans="1:26">
      <c r="A665" s="22" t="s">
        <v>357</v>
      </c>
      <c r="B665" s="23">
        <v>1</v>
      </c>
      <c r="C665" s="51">
        <v>0.19</v>
      </c>
      <c r="D665" s="172" t="s">
        <v>358</v>
      </c>
      <c r="E665" t="s">
        <v>359</v>
      </c>
      <c r="F665">
        <v>17707270361229</v>
      </c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</row>
    <row r="666" spans="1:26">
      <c r="A666" s="69" t="s">
        <v>1844</v>
      </c>
      <c r="B666" s="14">
        <v>2</v>
      </c>
      <c r="C666" s="105">
        <v>0</v>
      </c>
      <c r="D666" s="14" t="s">
        <v>603</v>
      </c>
      <c r="E666" s="69" t="s">
        <v>1845</v>
      </c>
      <c r="F666" s="61">
        <v>7703153020262</v>
      </c>
      <c r="G666" s="71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</row>
    <row r="667" spans="1:26" ht="28.5">
      <c r="A667" s="141" t="s">
        <v>1256</v>
      </c>
      <c r="B667" s="141">
        <v>1</v>
      </c>
      <c r="C667" s="236">
        <v>0</v>
      </c>
      <c r="D667" s="237" t="s">
        <v>1257</v>
      </c>
      <c r="E667" s="146" t="s">
        <v>1258</v>
      </c>
      <c r="F667" s="160">
        <v>7707239270022</v>
      </c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28.5">
      <c r="A668" s="141" t="s">
        <v>1259</v>
      </c>
      <c r="B668" s="141">
        <v>1</v>
      </c>
      <c r="C668" s="236">
        <v>0</v>
      </c>
      <c r="D668" s="237" t="s">
        <v>458</v>
      </c>
      <c r="E668" s="146" t="s">
        <v>1260</v>
      </c>
      <c r="F668" s="160">
        <v>7707239275829</v>
      </c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>
      <c r="A669" s="370"/>
      <c r="B669" s="370"/>
      <c r="C669" s="370"/>
      <c r="D669" s="370"/>
      <c r="E669" s="370"/>
      <c r="F669" s="370"/>
      <c r="G669" s="370"/>
      <c r="H669" s="370"/>
      <c r="I669" s="370"/>
      <c r="J669" s="370"/>
      <c r="K669" s="370"/>
      <c r="L669" s="370"/>
      <c r="M669" s="370"/>
      <c r="N669" s="370"/>
      <c r="O669" s="370"/>
      <c r="P669" s="370"/>
      <c r="Q669" s="370"/>
      <c r="R669" s="370"/>
      <c r="S669" s="370"/>
      <c r="T669" s="370"/>
      <c r="U669" s="370"/>
      <c r="V669" s="370"/>
      <c r="W669" s="370"/>
      <c r="X669" s="370"/>
      <c r="Y669" s="370"/>
      <c r="Z669" s="370"/>
    </row>
    <row r="670" spans="1:26">
      <c r="A670" s="22" t="s">
        <v>2347</v>
      </c>
      <c r="B670">
        <v>1</v>
      </c>
      <c r="C670" s="133">
        <v>0</v>
      </c>
      <c r="D670" s="23" t="s">
        <v>2348</v>
      </c>
      <c r="E670" t="s">
        <v>721</v>
      </c>
      <c r="F670">
        <v>8903726196366</v>
      </c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</row>
    <row r="671" spans="1:26" ht="45">
      <c r="A671" s="117" t="s">
        <v>1418</v>
      </c>
      <c r="B671" s="117">
        <v>1</v>
      </c>
      <c r="C671" s="345">
        <v>0.19</v>
      </c>
      <c r="D671" s="117" t="s">
        <v>1419</v>
      </c>
      <c r="E671" s="112" t="s">
        <v>1420</v>
      </c>
      <c r="F671" s="117">
        <v>7702354945329</v>
      </c>
    </row>
    <row r="672" spans="1:26" ht="45">
      <c r="A672" s="117" t="s">
        <v>1418</v>
      </c>
      <c r="B672" s="117">
        <v>1</v>
      </c>
      <c r="C672" s="345">
        <v>0.19</v>
      </c>
      <c r="D672" s="117" t="s">
        <v>2349</v>
      </c>
      <c r="E672" s="112" t="s">
        <v>1420</v>
      </c>
      <c r="F672" s="117">
        <v>7702354945367</v>
      </c>
    </row>
    <row r="673" spans="1:28" ht="29.25">
      <c r="A673" s="24" t="s">
        <v>633</v>
      </c>
      <c r="B673" s="30">
        <v>1</v>
      </c>
      <c r="C673" s="31">
        <v>0</v>
      </c>
      <c r="D673" s="30" t="s">
        <v>293</v>
      </c>
      <c r="E673" s="24" t="s">
        <v>634</v>
      </c>
      <c r="F673" s="63">
        <v>7702626211770</v>
      </c>
      <c r="G673" s="28"/>
    </row>
    <row r="674" spans="1:28" ht="30">
      <c r="A674" s="117" t="s">
        <v>2350</v>
      </c>
      <c r="B674" s="117">
        <v>10</v>
      </c>
      <c r="C674" s="117">
        <v>0</v>
      </c>
      <c r="D674" s="117" t="s">
        <v>2351</v>
      </c>
      <c r="E674" s="112" t="s">
        <v>1038</v>
      </c>
      <c r="F674" s="117">
        <v>7702605102303</v>
      </c>
    </row>
    <row r="675" spans="1:28">
      <c r="A675" s="152" t="s">
        <v>2352</v>
      </c>
      <c r="B675" s="153">
        <v>2</v>
      </c>
      <c r="C675" s="55">
        <v>0</v>
      </c>
      <c r="D675" s="153" t="s">
        <v>355</v>
      </c>
      <c r="E675" s="303" t="s">
        <v>2353</v>
      </c>
      <c r="F675" s="153">
        <v>7704412169388</v>
      </c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8">
      <c r="A676" s="24" t="s">
        <v>2354</v>
      </c>
      <c r="B676" s="28">
        <v>1</v>
      </c>
      <c r="C676" s="192">
        <v>0</v>
      </c>
      <c r="D676" s="30" t="s">
        <v>318</v>
      </c>
      <c r="E676" s="24" t="s">
        <v>2355</v>
      </c>
      <c r="F676" s="63">
        <v>7702605337606</v>
      </c>
    </row>
    <row r="677" spans="1:28" ht="30">
      <c r="A677" s="18" t="s">
        <v>102</v>
      </c>
      <c r="B677" s="18">
        <v>1</v>
      </c>
      <c r="C677" s="184">
        <v>0</v>
      </c>
      <c r="D677" s="17" t="s">
        <v>103</v>
      </c>
      <c r="E677" s="16" t="s">
        <v>104</v>
      </c>
      <c r="F677" s="20">
        <v>7703038050452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8">
      <c r="A678" t="s">
        <v>2356</v>
      </c>
      <c r="B678" s="23">
        <v>2</v>
      </c>
      <c r="C678" s="23">
        <v>0</v>
      </c>
      <c r="D678" s="23" t="s">
        <v>1886</v>
      </c>
      <c r="E678" t="s">
        <v>2357</v>
      </c>
      <c r="F678">
        <v>7703252489526</v>
      </c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</row>
    <row r="679" spans="1:28" ht="43.5">
      <c r="A679" s="22" t="s">
        <v>1086</v>
      </c>
      <c r="B679" s="23">
        <v>2</v>
      </c>
      <c r="C679" s="23">
        <v>0</v>
      </c>
      <c r="D679" s="23" t="s">
        <v>2358</v>
      </c>
      <c r="E679" s="22" t="s">
        <v>1087</v>
      </c>
      <c r="F679" s="52">
        <v>7702027440106</v>
      </c>
    </row>
    <row r="680" spans="1:28">
      <c r="A680" s="370"/>
      <c r="B680" s="370"/>
      <c r="C680" s="370"/>
      <c r="D680" s="370"/>
      <c r="E680" s="370"/>
      <c r="F680" s="370"/>
      <c r="G680" s="370"/>
      <c r="H680" s="370"/>
      <c r="I680" s="370"/>
      <c r="J680" s="370"/>
      <c r="K680" s="370"/>
      <c r="L680" s="370"/>
      <c r="M680" s="370"/>
      <c r="N680" s="370"/>
      <c r="O680" s="370"/>
      <c r="P680" s="370"/>
      <c r="Q680" s="370"/>
      <c r="R680" s="370"/>
      <c r="S680" s="370"/>
      <c r="T680" s="370"/>
      <c r="U680" s="370"/>
      <c r="V680" s="370"/>
      <c r="W680" s="370"/>
      <c r="X680" s="370"/>
      <c r="Y680" s="370"/>
      <c r="Z680" s="370"/>
    </row>
    <row r="681" spans="1:28">
      <c r="A681" t="s">
        <v>2359</v>
      </c>
      <c r="B681" s="39">
        <v>4</v>
      </c>
      <c r="C681" s="40">
        <v>0.19</v>
      </c>
      <c r="D681" s="39" t="s">
        <v>366</v>
      </c>
      <c r="E681" t="s">
        <v>2360</v>
      </c>
      <c r="F681">
        <v>7707242970575</v>
      </c>
    </row>
    <row r="682" spans="1:28" ht="28.5">
      <c r="A682" s="71" t="s">
        <v>2361</v>
      </c>
      <c r="B682" s="71">
        <v>2</v>
      </c>
      <c r="C682" s="316">
        <v>0</v>
      </c>
      <c r="D682" s="317" t="s">
        <v>276</v>
      </c>
      <c r="E682" s="69" t="s">
        <v>1131</v>
      </c>
      <c r="F682" s="61">
        <v>7707313288455</v>
      </c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 s="23"/>
    </row>
    <row r="683" spans="1:28">
      <c r="A683" s="28" t="s">
        <v>1920</v>
      </c>
      <c r="B683" s="8">
        <v>1</v>
      </c>
      <c r="C683" s="9">
        <v>0</v>
      </c>
      <c r="D683" s="203" t="s">
        <v>567</v>
      </c>
      <c r="E683" s="28" t="s">
        <v>273</v>
      </c>
      <c r="F683" s="28">
        <v>7704412080867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/>
    </row>
    <row r="684" spans="1:28" ht="30">
      <c r="A684" s="117" t="s">
        <v>1037</v>
      </c>
      <c r="B684" s="117">
        <v>1</v>
      </c>
      <c r="C684" s="117">
        <v>0</v>
      </c>
      <c r="D684" s="117" t="s">
        <v>1955</v>
      </c>
      <c r="E684" s="112" t="s">
        <v>1038</v>
      </c>
      <c r="F684" s="117">
        <v>7703153040475</v>
      </c>
    </row>
    <row r="685" spans="1:28" ht="30">
      <c r="A685" s="117" t="s">
        <v>2362</v>
      </c>
      <c r="B685" s="117">
        <v>1</v>
      </c>
      <c r="C685" s="117">
        <v>0</v>
      </c>
      <c r="D685" s="117" t="s">
        <v>2363</v>
      </c>
      <c r="E685" s="112" t="s">
        <v>2364</v>
      </c>
      <c r="F685" s="117">
        <v>26958694900312</v>
      </c>
    </row>
    <row r="686" spans="1:28">
      <c r="A686" t="s">
        <v>825</v>
      </c>
      <c r="B686">
        <v>2</v>
      </c>
      <c r="C686" s="133">
        <v>0</v>
      </c>
      <c r="D686" s="23" t="s">
        <v>826</v>
      </c>
      <c r="E686" t="s">
        <v>827</v>
      </c>
      <c r="F686">
        <v>7703546402767</v>
      </c>
    </row>
    <row r="687" spans="1:28">
      <c r="A687" t="s">
        <v>825</v>
      </c>
      <c r="B687">
        <v>2</v>
      </c>
      <c r="C687" s="133">
        <v>0</v>
      </c>
      <c r="D687" s="23" t="s">
        <v>826</v>
      </c>
      <c r="E687" t="s">
        <v>827</v>
      </c>
      <c r="F687">
        <v>7703546402767</v>
      </c>
    </row>
    <row r="688" spans="1:28" ht="30">
      <c r="A688" s="117" t="s">
        <v>1204</v>
      </c>
      <c r="B688" s="117">
        <v>2</v>
      </c>
      <c r="C688" s="117">
        <v>0</v>
      </c>
      <c r="D688" s="117" t="s">
        <v>808</v>
      </c>
      <c r="E688" s="112" t="s">
        <v>107</v>
      </c>
      <c r="F688" s="117">
        <v>8904159618401</v>
      </c>
    </row>
    <row r="689" spans="1:28" ht="29.25">
      <c r="A689" s="7" t="s">
        <v>19</v>
      </c>
      <c r="B689" s="25">
        <v>2</v>
      </c>
      <c r="C689" s="26">
        <v>0</v>
      </c>
      <c r="D689" s="99" t="s">
        <v>20</v>
      </c>
      <c r="E689" s="7" t="s">
        <v>21</v>
      </c>
      <c r="F689" s="335">
        <v>7703038328797</v>
      </c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 spans="1:28">
      <c r="A690" s="370"/>
      <c r="B690" s="370"/>
      <c r="C690" s="370"/>
      <c r="D690" s="370"/>
      <c r="E690" s="370"/>
      <c r="F690" s="370"/>
      <c r="G690" s="370"/>
      <c r="H690" s="370"/>
      <c r="I690" s="370"/>
      <c r="J690" s="370"/>
      <c r="K690" s="370"/>
      <c r="L690" s="370"/>
      <c r="M690" s="370"/>
      <c r="N690" s="370"/>
      <c r="O690" s="370"/>
      <c r="P690" s="370"/>
      <c r="Q690" s="370"/>
      <c r="R690" s="370"/>
      <c r="S690" s="370"/>
      <c r="T690" s="370"/>
      <c r="U690" s="370"/>
      <c r="V690" s="370"/>
      <c r="W690" s="370"/>
      <c r="X690" s="370"/>
      <c r="Y690" s="370"/>
      <c r="Z690" s="370"/>
    </row>
    <row r="691" spans="1:28" ht="30">
      <c r="A691" s="76" t="s">
        <v>905</v>
      </c>
      <c r="B691" s="74">
        <v>2</v>
      </c>
      <c r="C691" s="75">
        <v>0</v>
      </c>
      <c r="D691" s="74" t="s">
        <v>85</v>
      </c>
      <c r="E691" s="76" t="s">
        <v>906</v>
      </c>
      <c r="F691" s="74">
        <v>7706569021014</v>
      </c>
    </row>
    <row r="692" spans="1:28" ht="29.25">
      <c r="A692" t="s">
        <v>2365</v>
      </c>
      <c r="B692">
        <v>1</v>
      </c>
      <c r="C692" s="133">
        <v>0</v>
      </c>
      <c r="D692" t="s">
        <v>2366</v>
      </c>
      <c r="E692" s="22" t="s">
        <v>2367</v>
      </c>
      <c r="F692">
        <v>7703763870967</v>
      </c>
    </row>
    <row r="693" spans="1:28" ht="30">
      <c r="A693" s="53" t="s">
        <v>2368</v>
      </c>
      <c r="B693" s="153">
        <v>3</v>
      </c>
      <c r="C693" s="55">
        <v>0</v>
      </c>
      <c r="D693" s="30" t="s">
        <v>85</v>
      </c>
      <c r="E693" s="56" t="s">
        <v>165</v>
      </c>
      <c r="F693" s="155">
        <v>7501033961540</v>
      </c>
    </row>
    <row r="694" spans="1:28" ht="29.25">
      <c r="A694" s="24" t="s">
        <v>1720</v>
      </c>
      <c r="B694" s="8">
        <v>2</v>
      </c>
      <c r="C694" s="9">
        <v>0</v>
      </c>
      <c r="D694" s="10" t="s">
        <v>232</v>
      </c>
      <c r="E694" s="24" t="s">
        <v>1721</v>
      </c>
      <c r="F694" s="63">
        <v>7704412004276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 spans="1:28" ht="29.25">
      <c r="A695" s="22" t="s">
        <v>2369</v>
      </c>
      <c r="B695">
        <v>3</v>
      </c>
      <c r="C695" s="133">
        <v>0</v>
      </c>
      <c r="D695" t="s">
        <v>32</v>
      </c>
      <c r="E695" s="22" t="s">
        <v>2370</v>
      </c>
      <c r="F695">
        <v>7702605103652</v>
      </c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</row>
    <row r="696" spans="1:28">
      <c r="A696" s="370"/>
      <c r="B696" s="370"/>
      <c r="C696" s="370"/>
      <c r="D696" s="370"/>
      <c r="E696" s="370"/>
      <c r="F696" s="370"/>
      <c r="G696" s="370"/>
      <c r="H696" s="370"/>
      <c r="I696" s="370"/>
      <c r="J696" s="370"/>
      <c r="K696" s="370"/>
      <c r="L696" s="370"/>
      <c r="M696" s="370"/>
      <c r="N696" s="370"/>
      <c r="O696" s="370"/>
      <c r="P696" s="370"/>
      <c r="Q696" s="370"/>
      <c r="R696" s="370"/>
      <c r="S696" s="370"/>
      <c r="T696" s="370"/>
      <c r="U696" s="370"/>
      <c r="V696" s="370"/>
      <c r="W696" s="370"/>
      <c r="X696" s="370"/>
      <c r="Y696" s="370"/>
      <c r="Z696" s="370"/>
    </row>
    <row r="697" spans="1:28" ht="30">
      <c r="A697" s="73" t="s">
        <v>466</v>
      </c>
      <c r="B697" s="32">
        <v>15</v>
      </c>
      <c r="C697" s="72">
        <v>0</v>
      </c>
      <c r="D697" s="32" t="s">
        <v>23</v>
      </c>
      <c r="E697" s="73" t="s">
        <v>467</v>
      </c>
      <c r="F697" s="321">
        <v>7702184030196</v>
      </c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 spans="1:28">
      <c r="A698" s="370"/>
      <c r="B698" s="370"/>
      <c r="C698" s="370"/>
      <c r="D698" s="370"/>
      <c r="E698" s="370"/>
      <c r="F698" s="370"/>
      <c r="G698" s="370"/>
      <c r="H698" s="370"/>
      <c r="I698" s="370"/>
      <c r="J698" s="370"/>
      <c r="K698" s="370"/>
      <c r="L698" s="370"/>
      <c r="M698" s="370"/>
      <c r="N698" s="370"/>
      <c r="O698" s="370"/>
      <c r="P698" s="370"/>
      <c r="Q698" s="370"/>
      <c r="R698" s="370"/>
      <c r="S698" s="370"/>
      <c r="T698" s="370"/>
      <c r="U698" s="370"/>
      <c r="V698" s="370"/>
      <c r="W698" s="370"/>
      <c r="X698" s="370"/>
      <c r="Y698" s="370"/>
      <c r="Z698" s="370"/>
    </row>
    <row r="699" spans="1:28" ht="30">
      <c r="A699" s="73" t="s">
        <v>287</v>
      </c>
      <c r="B699" s="32">
        <v>8</v>
      </c>
      <c r="C699" s="89">
        <v>0</v>
      </c>
      <c r="D699" s="90" t="s">
        <v>10</v>
      </c>
      <c r="E699" s="73" t="s">
        <v>288</v>
      </c>
      <c r="F699" s="20">
        <v>7730766003382</v>
      </c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/>
      <c r="AA699"/>
      <c r="AB699"/>
    </row>
    <row r="700" spans="1:28">
      <c r="A700" s="370"/>
      <c r="B700" s="370"/>
      <c r="C700" s="370"/>
      <c r="D700" s="370"/>
      <c r="E700" s="370"/>
      <c r="F700" s="370"/>
      <c r="G700" s="370"/>
      <c r="H700" s="370"/>
      <c r="I700" s="370"/>
      <c r="J700" s="370"/>
      <c r="K700" s="370"/>
      <c r="L700" s="370"/>
      <c r="M700" s="370"/>
      <c r="N700" s="370"/>
      <c r="O700" s="370"/>
      <c r="P700" s="370"/>
      <c r="Q700" s="370"/>
      <c r="R700" s="370"/>
      <c r="S700" s="370"/>
      <c r="T700" s="370"/>
      <c r="U700" s="370"/>
      <c r="V700" s="370"/>
      <c r="W700" s="370"/>
      <c r="X700" s="370"/>
      <c r="Y700" s="370"/>
      <c r="Z700" s="370"/>
    </row>
    <row r="701" spans="1:28" ht="28.5">
      <c r="A701" s="65" t="s">
        <v>1061</v>
      </c>
      <c r="B701" s="100">
        <v>1</v>
      </c>
      <c r="C701" s="101">
        <v>0</v>
      </c>
      <c r="D701" s="102" t="s">
        <v>1062</v>
      </c>
      <c r="E701" s="64" t="s">
        <v>1063</v>
      </c>
      <c r="F701" s="103">
        <v>7702195086748</v>
      </c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</row>
    <row r="702" spans="1:28">
      <c r="A702" s="117" t="s">
        <v>939</v>
      </c>
      <c r="B702" s="117">
        <v>1</v>
      </c>
      <c r="C702" s="345">
        <v>0</v>
      </c>
      <c r="D702" s="119" t="s">
        <v>2371</v>
      </c>
      <c r="E702" s="117" t="s">
        <v>182</v>
      </c>
      <c r="F702" s="117">
        <v>7707367050985</v>
      </c>
      <c r="AA702"/>
      <c r="AB702"/>
    </row>
    <row r="703" spans="1:28" ht="43.5">
      <c r="A703" s="22" t="s">
        <v>744</v>
      </c>
      <c r="B703">
        <v>6</v>
      </c>
      <c r="C703" s="133">
        <v>0.19</v>
      </c>
      <c r="D703" s="183" t="s">
        <v>293</v>
      </c>
      <c r="E703" s="22" t="s">
        <v>745</v>
      </c>
      <c r="F703">
        <v>7705471701212</v>
      </c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</row>
    <row r="704" spans="1:28">
      <c r="A704" s="73" t="s">
        <v>55</v>
      </c>
      <c r="B704" s="32">
        <v>1</v>
      </c>
      <c r="C704" s="72">
        <v>0</v>
      </c>
      <c r="D704" s="81" t="s">
        <v>497</v>
      </c>
      <c r="E704" s="32" t="s">
        <v>57</v>
      </c>
      <c r="F704" s="321">
        <v>7709990697889</v>
      </c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</row>
    <row r="705" spans="1:28">
      <c r="A705" s="370"/>
      <c r="B705" s="370"/>
      <c r="C705" s="370"/>
      <c r="D705" s="370"/>
      <c r="E705" s="370"/>
      <c r="F705" s="370"/>
      <c r="G705" s="370"/>
      <c r="H705" s="370"/>
      <c r="I705" s="370"/>
      <c r="J705" s="370"/>
      <c r="K705" s="370"/>
      <c r="L705" s="370"/>
      <c r="M705" s="370"/>
      <c r="N705" s="370"/>
      <c r="O705" s="370"/>
      <c r="P705" s="370"/>
      <c r="Q705" s="370"/>
      <c r="R705" s="370"/>
      <c r="S705" s="370"/>
      <c r="T705" s="370"/>
      <c r="U705" s="370"/>
      <c r="V705" s="370"/>
      <c r="W705" s="370"/>
      <c r="X705" s="370"/>
      <c r="Y705" s="370"/>
      <c r="Z705" s="370"/>
    </row>
    <row r="706" spans="1:28">
      <c r="A706" t="s">
        <v>1759</v>
      </c>
      <c r="B706">
        <v>1</v>
      </c>
      <c r="C706" s="133">
        <v>0.19</v>
      </c>
      <c r="D706" s="134" t="s">
        <v>471</v>
      </c>
      <c r="E706" t="s">
        <v>1760</v>
      </c>
      <c r="F706" s="42">
        <v>7705471205925</v>
      </c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</row>
    <row r="707" spans="1:28" ht="28.5">
      <c r="A707" s="69" t="s">
        <v>2372</v>
      </c>
      <c r="B707" s="14">
        <v>1</v>
      </c>
      <c r="C707" s="105">
        <v>0.19</v>
      </c>
      <c r="D707" s="14" t="s">
        <v>91</v>
      </c>
      <c r="E707" s="69" t="s">
        <v>2373</v>
      </c>
      <c r="F707" s="15">
        <v>7709559308102</v>
      </c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8" ht="29.25">
      <c r="A708" s="24" t="s">
        <v>1594</v>
      </c>
      <c r="B708" s="28">
        <v>1</v>
      </c>
      <c r="C708" s="31">
        <v>0</v>
      </c>
      <c r="D708" s="30" t="s">
        <v>2374</v>
      </c>
      <c r="E708" s="24" t="s">
        <v>1596</v>
      </c>
      <c r="F708" s="28">
        <v>650240030840</v>
      </c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</row>
    <row r="709" spans="1:28" ht="43.5">
      <c r="A709" t="s">
        <v>502</v>
      </c>
      <c r="B709" s="11">
        <v>1</v>
      </c>
      <c r="C709" s="194">
        <v>0</v>
      </c>
      <c r="D709" s="23" t="s">
        <v>503</v>
      </c>
      <c r="E709" s="22" t="s">
        <v>504</v>
      </c>
      <c r="F709" s="22">
        <v>7702132011369</v>
      </c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/>
    </row>
    <row r="710" spans="1:28" ht="29.25">
      <c r="A710" t="s">
        <v>2375</v>
      </c>
      <c r="B710">
        <v>1</v>
      </c>
      <c r="C710">
        <v>0</v>
      </c>
      <c r="D710" t="s">
        <v>214</v>
      </c>
      <c r="E710" s="22" t="s">
        <v>2376</v>
      </c>
      <c r="F710">
        <v>7702195891250</v>
      </c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</row>
    <row r="711" spans="1:28">
      <c r="A711" s="370"/>
      <c r="B711" s="370"/>
      <c r="C711" s="370"/>
      <c r="D711" s="370"/>
      <c r="E711" s="370"/>
      <c r="F711" s="370"/>
      <c r="G711" s="370"/>
      <c r="H711" s="370"/>
      <c r="I711" s="370"/>
      <c r="J711" s="370"/>
      <c r="K711" s="370"/>
      <c r="L711" s="370"/>
      <c r="M711" s="370"/>
      <c r="N711" s="370"/>
      <c r="O711" s="370"/>
      <c r="P711" s="370"/>
      <c r="Q711" s="370"/>
      <c r="R711" s="370"/>
      <c r="S711" s="370"/>
      <c r="T711" s="370"/>
      <c r="U711" s="370"/>
      <c r="V711" s="370"/>
      <c r="W711" s="370"/>
      <c r="X711" s="370"/>
      <c r="Y711" s="370"/>
      <c r="Z711" s="370"/>
    </row>
    <row r="712" spans="1:28">
      <c r="A712" s="28" t="s">
        <v>2377</v>
      </c>
      <c r="B712" s="28">
        <v>1</v>
      </c>
      <c r="C712" s="192">
        <v>0</v>
      </c>
      <c r="D712" s="193" t="s">
        <v>59</v>
      </c>
      <c r="E712" s="28" t="s">
        <v>2378</v>
      </c>
      <c r="F712" s="28">
        <v>7703546076036</v>
      </c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</row>
    <row r="713" spans="1:28">
      <c r="A713" s="28" t="s">
        <v>2377</v>
      </c>
      <c r="B713" s="28">
        <v>1</v>
      </c>
      <c r="C713" s="192">
        <v>0</v>
      </c>
      <c r="D713" s="193" t="s">
        <v>59</v>
      </c>
      <c r="E713" s="28" t="s">
        <v>2378</v>
      </c>
      <c r="F713" s="28">
        <v>7703546076036</v>
      </c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</row>
    <row r="714" spans="1:28" ht="30">
      <c r="A714" s="45" t="s">
        <v>399</v>
      </c>
      <c r="B714" s="21">
        <v>2</v>
      </c>
      <c r="C714" s="177">
        <v>0</v>
      </c>
      <c r="D714" s="329" t="s">
        <v>91</v>
      </c>
      <c r="E714" s="45" t="s">
        <v>400</v>
      </c>
      <c r="F714" s="46">
        <v>7707019334203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/>
      <c r="AB714"/>
    </row>
    <row r="715" spans="1:28">
      <c r="A715" s="152" t="s">
        <v>2211</v>
      </c>
      <c r="B715" s="96">
        <v>2</v>
      </c>
      <c r="C715" s="407">
        <v>0</v>
      </c>
      <c r="D715" s="408" t="s">
        <v>2212</v>
      </c>
      <c r="E715" s="152" t="s">
        <v>803</v>
      </c>
      <c r="F715" s="96">
        <v>7706849112906</v>
      </c>
      <c r="AA715"/>
      <c r="AB715"/>
    </row>
    <row r="716" spans="1:28">
      <c r="A716" s="146" t="s">
        <v>2379</v>
      </c>
      <c r="B716" s="168">
        <v>1</v>
      </c>
      <c r="C716" s="168">
        <v>0</v>
      </c>
      <c r="D716" s="168" t="s">
        <v>115</v>
      </c>
      <c r="E716" s="146" t="s">
        <v>273</v>
      </c>
      <c r="F716" s="160">
        <v>7707367050961</v>
      </c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/>
      <c r="AA716"/>
      <c r="AB716"/>
    </row>
    <row r="717" spans="1:28">
      <c r="A717" s="24" t="s">
        <v>2380</v>
      </c>
      <c r="B717" s="28">
        <v>1</v>
      </c>
      <c r="C717" s="192">
        <v>0</v>
      </c>
      <c r="D717" s="193" t="s">
        <v>2381</v>
      </c>
      <c r="E717" s="28" t="s">
        <v>860</v>
      </c>
      <c r="F717" s="63">
        <v>7702026181949</v>
      </c>
      <c r="G717" s="28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 s="300"/>
    </row>
    <row r="718" spans="1:28">
      <c r="A718" s="370"/>
      <c r="B718" s="370"/>
      <c r="C718" s="370"/>
      <c r="D718" s="370"/>
      <c r="E718" s="370"/>
      <c r="F718" s="370"/>
      <c r="G718" s="370"/>
      <c r="H718" s="370"/>
      <c r="I718" s="370"/>
      <c r="J718" s="370"/>
      <c r="K718" s="370"/>
      <c r="L718" s="370"/>
      <c r="M718" s="370"/>
      <c r="N718" s="370"/>
      <c r="O718" s="370"/>
      <c r="P718" s="370"/>
      <c r="Q718" s="370"/>
      <c r="R718" s="370"/>
      <c r="S718" s="370"/>
      <c r="T718" s="370"/>
      <c r="U718" s="370"/>
      <c r="V718" s="370"/>
      <c r="W718" s="370"/>
      <c r="X718" s="370"/>
      <c r="Y718" s="370"/>
      <c r="Z718" s="370"/>
    </row>
    <row r="719" spans="1:28" ht="28.5">
      <c r="A719" s="71" t="s">
        <v>2361</v>
      </c>
      <c r="B719" s="71">
        <v>1</v>
      </c>
      <c r="C719" s="316">
        <v>0</v>
      </c>
      <c r="D719" s="317" t="s">
        <v>276</v>
      </c>
      <c r="E719" s="69" t="s">
        <v>1131</v>
      </c>
      <c r="F719" s="61">
        <v>7707313288455</v>
      </c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 s="23"/>
    </row>
    <row r="720" spans="1:28">
      <c r="A720" s="56" t="s">
        <v>2382</v>
      </c>
      <c r="B720" s="53">
        <v>1</v>
      </c>
      <c r="C720" s="156">
        <v>0</v>
      </c>
      <c r="D720" s="54" t="s">
        <v>2383</v>
      </c>
      <c r="E720" s="56" t="s">
        <v>2384</v>
      </c>
      <c r="F720">
        <v>7704412429284</v>
      </c>
    </row>
    <row r="721" spans="1:28" ht="43.5">
      <c r="A721" s="22" t="s">
        <v>2304</v>
      </c>
      <c r="B721">
        <v>2</v>
      </c>
      <c r="C721" s="133">
        <v>0.19</v>
      </c>
      <c r="D721" s="183" t="s">
        <v>10</v>
      </c>
      <c r="E721" s="22" t="s">
        <v>2305</v>
      </c>
      <c r="F721">
        <v>7708978686747</v>
      </c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</row>
    <row r="722" spans="1:28" ht="30">
      <c r="A722" s="53" t="s">
        <v>2385</v>
      </c>
      <c r="B722" s="96">
        <v>1</v>
      </c>
      <c r="C722" s="345">
        <v>0</v>
      </c>
      <c r="D722" s="345" t="s">
        <v>2386</v>
      </c>
      <c r="E722" s="56" t="s">
        <v>2387</v>
      </c>
      <c r="F722" s="53">
        <v>7707210530114</v>
      </c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8" ht="30">
      <c r="A723" s="112" t="s">
        <v>2388</v>
      </c>
      <c r="B723" s="117">
        <v>1</v>
      </c>
      <c r="C723" s="117">
        <v>0</v>
      </c>
      <c r="D723" s="117" t="s">
        <v>1229</v>
      </c>
      <c r="E723" s="112" t="s">
        <v>107</v>
      </c>
      <c r="F723" s="117">
        <v>7707355053912</v>
      </c>
    </row>
    <row r="724" spans="1:28" ht="30">
      <c r="A724" s="32" t="s">
        <v>659</v>
      </c>
      <c r="B724" s="32">
        <v>4</v>
      </c>
      <c r="C724" s="72">
        <v>0</v>
      </c>
      <c r="D724" s="83" t="s">
        <v>32</v>
      </c>
      <c r="E724" s="73" t="s">
        <v>660</v>
      </c>
      <c r="F724" s="321">
        <v>7704412186057</v>
      </c>
    </row>
    <row r="725" spans="1:28">
      <c r="A725" t="s">
        <v>231</v>
      </c>
      <c r="B725">
        <v>10</v>
      </c>
      <c r="C725" s="133">
        <v>0</v>
      </c>
      <c r="D725" t="s">
        <v>232</v>
      </c>
      <c r="E725" t="s">
        <v>233</v>
      </c>
      <c r="F725">
        <v>7707019381627</v>
      </c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</row>
    <row r="726" spans="1:28">
      <c r="A726" s="370"/>
      <c r="B726" s="370"/>
      <c r="C726" s="370"/>
      <c r="D726" s="370"/>
      <c r="E726" s="370"/>
      <c r="F726" s="370"/>
      <c r="G726" s="370"/>
      <c r="H726" s="370"/>
      <c r="I726" s="370"/>
      <c r="J726" s="370"/>
      <c r="K726" s="370"/>
      <c r="L726" s="370"/>
      <c r="M726" s="370"/>
      <c r="N726" s="370"/>
      <c r="O726" s="370"/>
      <c r="P726" s="370"/>
      <c r="Q726" s="370"/>
      <c r="R726" s="370"/>
      <c r="S726" s="370"/>
      <c r="T726" s="370"/>
      <c r="U726" s="370"/>
      <c r="V726" s="370"/>
      <c r="W726" s="370"/>
      <c r="X726" s="370"/>
      <c r="Y726" s="370"/>
      <c r="Z726" s="370"/>
    </row>
    <row r="727" spans="1:28" ht="30">
      <c r="A727" s="18" t="s">
        <v>120</v>
      </c>
      <c r="B727" s="17">
        <v>6</v>
      </c>
      <c r="C727" s="124">
        <v>0</v>
      </c>
      <c r="D727" s="124" t="s">
        <v>38</v>
      </c>
      <c r="E727" s="16" t="s">
        <v>121</v>
      </c>
      <c r="F727" s="18">
        <v>7501125176548</v>
      </c>
    </row>
    <row r="728" spans="1:28">
      <c r="A728" s="370"/>
      <c r="B728" s="370"/>
      <c r="C728" s="370"/>
      <c r="D728" s="370"/>
      <c r="E728" s="370"/>
      <c r="F728" s="370"/>
      <c r="G728" s="370"/>
      <c r="H728" s="370"/>
      <c r="I728" s="370"/>
      <c r="J728" s="370"/>
      <c r="K728" s="370"/>
      <c r="L728" s="370"/>
      <c r="M728" s="370"/>
      <c r="N728" s="370"/>
      <c r="O728" s="370"/>
      <c r="P728" s="370"/>
      <c r="Q728" s="370"/>
      <c r="R728" s="370"/>
      <c r="S728" s="370"/>
      <c r="T728" s="370"/>
      <c r="U728" s="370"/>
      <c r="V728" s="370"/>
      <c r="W728" s="370"/>
      <c r="X728" s="370"/>
      <c r="Y728" s="370"/>
      <c r="Z728" s="370"/>
    </row>
    <row r="730" spans="1:28" ht="30">
      <c r="A730" s="384" t="s">
        <v>763</v>
      </c>
      <c r="B730" s="384">
        <v>3</v>
      </c>
      <c r="C730" s="385">
        <v>0</v>
      </c>
      <c r="D730" s="384" t="s">
        <v>38</v>
      </c>
      <c r="E730" s="383" t="s">
        <v>121</v>
      </c>
      <c r="F730" s="384">
        <v>7501125176494</v>
      </c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  <c r="AA730"/>
      <c r="AB730"/>
    </row>
    <row r="731" spans="1:28">
      <c r="A731" t="s">
        <v>2389</v>
      </c>
      <c r="B731" s="23">
        <v>1</v>
      </c>
      <c r="C731" s="51">
        <v>0</v>
      </c>
      <c r="D731" s="172" t="s">
        <v>318</v>
      </c>
      <c r="E731" s="22" t="s">
        <v>2390</v>
      </c>
      <c r="F731">
        <v>7594002621965</v>
      </c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</row>
    <row r="732" spans="1:28">
      <c r="A732" s="146" t="s">
        <v>577</v>
      </c>
      <c r="B732" s="168">
        <v>3</v>
      </c>
      <c r="C732" s="319">
        <v>0</v>
      </c>
      <c r="D732" s="320" t="s">
        <v>578</v>
      </c>
      <c r="E732" s="146" t="s">
        <v>579</v>
      </c>
      <c r="F732" s="141">
        <v>7702057079642</v>
      </c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</row>
    <row r="733" spans="1:28">
      <c r="A733" s="300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00"/>
      <c r="AA733" s="300"/>
      <c r="AB733" s="300"/>
    </row>
    <row r="756" spans="1:1">
      <c r="A756" s="117" t="s">
        <v>2391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632"/>
  <sheetViews>
    <sheetView topLeftCell="A631" workbookViewId="0">
      <pane xSplit="1" topLeftCell="B1" activePane="topRight" state="frozen"/>
      <selection pane="topRight" activeCell="A2" sqref="A2:F631"/>
    </sheetView>
  </sheetViews>
  <sheetFormatPr baseColWidth="10" defaultColWidth="9.125" defaultRowHeight="14.25"/>
  <cols>
    <col min="1" max="1" width="50.875" customWidth="1"/>
    <col min="2" max="2" width="19.125" customWidth="1"/>
    <col min="3" max="3" width="8.625" style="133" customWidth="1"/>
    <col min="4" max="4" width="19.125" customWidth="1"/>
    <col min="5" max="5" width="30.375" customWidth="1"/>
    <col min="6" max="6" width="19.125" customWidth="1"/>
  </cols>
  <sheetData>
    <row r="1" spans="1:26" s="300" customFormat="1" ht="32.25" customHeight="1">
      <c r="A1" s="294" t="s">
        <v>0</v>
      </c>
      <c r="B1" s="295" t="s">
        <v>1</v>
      </c>
      <c r="C1" s="342" t="s">
        <v>2</v>
      </c>
      <c r="D1" s="296" t="s">
        <v>3</v>
      </c>
      <c r="E1" s="295" t="s">
        <v>4</v>
      </c>
      <c r="F1" s="297" t="s">
        <v>5</v>
      </c>
      <c r="G1" s="298"/>
      <c r="H1" s="298"/>
      <c r="I1" s="298"/>
      <c r="J1" s="298"/>
      <c r="K1" s="298"/>
      <c r="L1" s="298"/>
      <c r="M1" s="298"/>
      <c r="N1" s="298"/>
      <c r="O1" s="298"/>
      <c r="P1" s="299"/>
    </row>
    <row r="2" spans="1:26">
      <c r="A2" t="s">
        <v>709</v>
      </c>
      <c r="B2" s="39">
        <v>20</v>
      </c>
      <c r="C2" s="40">
        <v>0</v>
      </c>
      <c r="D2" s="94" t="s">
        <v>38</v>
      </c>
      <c r="E2" t="s">
        <v>611</v>
      </c>
      <c r="F2">
        <v>8901117247888</v>
      </c>
      <c r="G2" s="28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6" s="300" customFormat="1">
      <c r="C3" s="343"/>
    </row>
    <row r="4" spans="1:26" ht="28.5">
      <c r="A4" s="69" t="s">
        <v>1011</v>
      </c>
      <c r="B4" s="12">
        <v>8</v>
      </c>
      <c r="C4" s="59">
        <v>0</v>
      </c>
      <c r="D4" s="12" t="s">
        <v>2392</v>
      </c>
      <c r="E4" s="69" t="s">
        <v>1012</v>
      </c>
      <c r="F4" s="61">
        <v>7703038067566</v>
      </c>
      <c r="G4" s="28"/>
      <c r="H4" s="28"/>
      <c r="I4" s="28"/>
      <c r="J4" s="28"/>
      <c r="K4" s="28"/>
      <c r="L4" s="28"/>
      <c r="M4" s="28"/>
      <c r="N4" s="28"/>
      <c r="O4" s="28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6" s="300" customFormat="1">
      <c r="C5" s="343"/>
    </row>
    <row r="6" spans="1:26" ht="28.5">
      <c r="A6" s="39" t="s">
        <v>2393</v>
      </c>
      <c r="B6" s="23">
        <v>4</v>
      </c>
      <c r="C6" s="51">
        <v>0</v>
      </c>
      <c r="D6" s="23" t="s">
        <v>109</v>
      </c>
      <c r="E6" s="11" t="s">
        <v>513</v>
      </c>
      <c r="F6" s="23">
        <v>7703038779087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28.5">
      <c r="A7" t="s">
        <v>352</v>
      </c>
      <c r="B7">
        <v>3</v>
      </c>
      <c r="C7" s="133">
        <v>0</v>
      </c>
      <c r="D7" t="s">
        <v>353</v>
      </c>
      <c r="E7" s="22" t="s">
        <v>107</v>
      </c>
      <c r="F7">
        <v>7702057710262</v>
      </c>
    </row>
    <row r="8" spans="1:26" ht="28.5">
      <c r="A8" s="22" t="s">
        <v>2394</v>
      </c>
      <c r="B8" s="22">
        <v>4</v>
      </c>
      <c r="C8" s="175">
        <v>0</v>
      </c>
      <c r="D8" s="23" t="s">
        <v>747</v>
      </c>
      <c r="E8" s="22" t="s">
        <v>2395</v>
      </c>
      <c r="F8" s="22">
        <v>7702195210587</v>
      </c>
      <c r="G8" s="22"/>
      <c r="H8" s="22"/>
      <c r="I8" s="22"/>
      <c r="J8" s="22"/>
      <c r="K8" s="22"/>
      <c r="L8" s="22"/>
      <c r="M8" s="22"/>
      <c r="N8" s="22"/>
      <c r="O8" s="22"/>
    </row>
    <row r="9" spans="1:26" ht="28.5">
      <c r="A9" s="141" t="s">
        <v>2396</v>
      </c>
      <c r="B9" s="141">
        <v>4</v>
      </c>
      <c r="C9" s="301">
        <v>0</v>
      </c>
      <c r="D9" s="302" t="s">
        <v>118</v>
      </c>
      <c r="E9" s="146" t="s">
        <v>2397</v>
      </c>
      <c r="F9">
        <v>7702195205682</v>
      </c>
    </row>
    <row r="10" spans="1:26">
      <c r="A10" t="s">
        <v>96</v>
      </c>
      <c r="B10">
        <v>2</v>
      </c>
      <c r="C10" s="133">
        <v>0</v>
      </c>
      <c r="D10" s="172" t="s">
        <v>2271</v>
      </c>
      <c r="E10" t="s">
        <v>98</v>
      </c>
      <c r="F10">
        <v>7703712030275</v>
      </c>
    </row>
    <row r="11" spans="1:26" ht="15">
      <c r="A11" s="96" t="s">
        <v>2398</v>
      </c>
      <c r="B11" s="153">
        <v>2</v>
      </c>
      <c r="C11" s="55">
        <v>0</v>
      </c>
      <c r="D11" s="153" t="s">
        <v>2399</v>
      </c>
      <c r="E11" s="303" t="s">
        <v>2400</v>
      </c>
      <c r="F11" s="153">
        <v>7703038067030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19"/>
    </row>
    <row r="12" spans="1:26">
      <c r="A12" t="s">
        <v>518</v>
      </c>
      <c r="B12" s="39">
        <v>1</v>
      </c>
      <c r="C12" s="40">
        <v>0</v>
      </c>
      <c r="D12" s="39" t="s">
        <v>519</v>
      </c>
      <c r="E12" t="s">
        <v>520</v>
      </c>
      <c r="F12">
        <v>650240073199</v>
      </c>
    </row>
    <row r="13" spans="1:26" ht="28.5">
      <c r="A13" t="s">
        <v>866</v>
      </c>
      <c r="B13">
        <v>4</v>
      </c>
      <c r="C13" s="133">
        <v>0</v>
      </c>
      <c r="D13" s="23" t="s">
        <v>91</v>
      </c>
      <c r="E13" s="22" t="s">
        <v>513</v>
      </c>
      <c r="F13">
        <v>7704412509726</v>
      </c>
    </row>
    <row r="14" spans="1:26" ht="28.5">
      <c r="A14" s="13" t="s">
        <v>1320</v>
      </c>
      <c r="B14" s="14">
        <v>1</v>
      </c>
      <c r="C14" s="105">
        <v>0</v>
      </c>
      <c r="D14" s="14" t="s">
        <v>458</v>
      </c>
      <c r="E14" s="13" t="s">
        <v>184</v>
      </c>
      <c r="F14" s="12">
        <v>7709990384949</v>
      </c>
    </row>
    <row r="15" spans="1:26" s="300" customFormat="1">
      <c r="C15" s="343"/>
    </row>
    <row r="16" spans="1:26" ht="28.5">
      <c r="A16" s="7" t="s">
        <v>2401</v>
      </c>
      <c r="B16" s="30">
        <v>25</v>
      </c>
      <c r="C16" s="128">
        <v>0</v>
      </c>
      <c r="D16" s="254" t="s">
        <v>10</v>
      </c>
      <c r="E16" s="7" t="s">
        <v>2402</v>
      </c>
      <c r="F16" s="305">
        <v>7702896002320</v>
      </c>
      <c r="G16" s="28"/>
      <c r="H16" s="28"/>
      <c r="I16" s="28"/>
      <c r="J16" s="28"/>
      <c r="K16" s="28"/>
      <c r="L16" s="28"/>
      <c r="M16" s="28"/>
      <c r="N16" s="28"/>
      <c r="O16" s="28"/>
    </row>
    <row r="17" spans="1:26" s="304" customFormat="1">
      <c r="C17" s="344"/>
    </row>
    <row r="18" spans="1:26">
      <c r="A18" s="7" t="s">
        <v>314</v>
      </c>
      <c r="B18" s="30">
        <v>1</v>
      </c>
      <c r="C18" s="31">
        <v>0</v>
      </c>
      <c r="D18" s="98" t="s">
        <v>2403</v>
      </c>
      <c r="E18" s="7" t="s">
        <v>316</v>
      </c>
      <c r="F18" s="63">
        <v>7702057712396</v>
      </c>
    </row>
    <row r="19" spans="1:26" ht="28.5">
      <c r="A19" s="28" t="s">
        <v>1102</v>
      </c>
      <c r="B19" s="28">
        <v>3</v>
      </c>
      <c r="C19" s="192">
        <v>0</v>
      </c>
      <c r="D19" s="193" t="s">
        <v>1103</v>
      </c>
      <c r="E19" s="24" t="s">
        <v>1104</v>
      </c>
      <c r="F19" s="63">
        <v>7702057088835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">
      <c r="A20" s="43" t="s">
        <v>1339</v>
      </c>
      <c r="B20" s="18">
        <v>6</v>
      </c>
      <c r="C20" s="124">
        <v>0</v>
      </c>
      <c r="D20" s="138" t="s">
        <v>1116</v>
      </c>
      <c r="E20" s="73" t="s">
        <v>1340</v>
      </c>
      <c r="F20" s="20">
        <v>7703689000448</v>
      </c>
      <c r="G20" s="37"/>
      <c r="H20" s="37"/>
      <c r="I20" s="37"/>
      <c r="J20" s="37"/>
      <c r="K20" s="37"/>
      <c r="L20" s="37"/>
      <c r="M20" s="37"/>
      <c r="N20" s="37"/>
      <c r="O20" s="37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6" ht="28.5">
      <c r="A21" s="28" t="s">
        <v>275</v>
      </c>
      <c r="B21" s="14">
        <v>2</v>
      </c>
      <c r="C21" s="105">
        <v>0</v>
      </c>
      <c r="D21" s="14" t="s">
        <v>1116</v>
      </c>
      <c r="E21" s="24" t="s">
        <v>1117</v>
      </c>
      <c r="F21" s="63">
        <v>7703445040015</v>
      </c>
      <c r="G21" s="28"/>
      <c r="H21" s="28"/>
      <c r="I21" s="28"/>
      <c r="J21" s="28"/>
      <c r="K21" s="28"/>
      <c r="L21" s="28"/>
      <c r="M21" s="28"/>
      <c r="N21" s="28"/>
      <c r="O21" s="28"/>
    </row>
    <row r="22" spans="1:26">
      <c r="A22" s="24" t="s">
        <v>841</v>
      </c>
      <c r="B22" s="30">
        <v>3</v>
      </c>
      <c r="C22" s="31">
        <v>0</v>
      </c>
      <c r="D22" s="30" t="s">
        <v>718</v>
      </c>
      <c r="E22" s="7" t="s">
        <v>273</v>
      </c>
      <c r="F22" s="28">
        <v>7703432425542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6">
      <c r="A23" s="24" t="s">
        <v>841</v>
      </c>
      <c r="B23" s="30">
        <v>2</v>
      </c>
      <c r="C23" s="31">
        <v>0</v>
      </c>
      <c r="D23" s="30" t="s">
        <v>718</v>
      </c>
      <c r="E23" s="7" t="s">
        <v>273</v>
      </c>
      <c r="F23" s="28">
        <v>7703432425542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6" ht="28.5">
      <c r="A24" s="22" t="s">
        <v>496</v>
      </c>
      <c r="B24">
        <v>2</v>
      </c>
      <c r="C24" s="133">
        <v>0</v>
      </c>
      <c r="D24" s="23" t="s">
        <v>310</v>
      </c>
      <c r="E24" s="22" t="s">
        <v>498</v>
      </c>
      <c r="F24">
        <v>7704588000416</v>
      </c>
    </row>
    <row r="25" spans="1:26" ht="42.75">
      <c r="A25" s="22" t="s">
        <v>2404</v>
      </c>
      <c r="B25" s="23">
        <v>1</v>
      </c>
      <c r="C25" s="51">
        <v>0.19</v>
      </c>
      <c r="D25" s="14" t="s">
        <v>1565</v>
      </c>
      <c r="E25" s="22" t="s">
        <v>769</v>
      </c>
      <c r="F25" s="52">
        <v>7707056200028</v>
      </c>
      <c r="G25" s="28"/>
      <c r="H25" s="28"/>
      <c r="I25" s="28"/>
      <c r="J25" s="28"/>
      <c r="K25" s="28"/>
      <c r="L25" s="28"/>
      <c r="M25" s="28"/>
      <c r="N25" s="28"/>
      <c r="O25" s="28"/>
    </row>
    <row r="26" spans="1:26" ht="42.75">
      <c r="A26" s="22" t="s">
        <v>767</v>
      </c>
      <c r="B26" s="23">
        <v>2</v>
      </c>
      <c r="C26" s="51">
        <v>0.19</v>
      </c>
      <c r="D26" s="14" t="s">
        <v>2405</v>
      </c>
      <c r="E26" s="22" t="s">
        <v>769</v>
      </c>
      <c r="F26" s="52">
        <v>7707056200035</v>
      </c>
      <c r="G26" s="28"/>
    </row>
    <row r="27" spans="1:26" ht="15">
      <c r="A27" s="73" t="s">
        <v>2027</v>
      </c>
      <c r="B27" s="35">
        <v>2</v>
      </c>
      <c r="C27" s="307">
        <v>0</v>
      </c>
      <c r="D27" s="34" t="s">
        <v>26</v>
      </c>
      <c r="E27" s="73" t="s">
        <v>11</v>
      </c>
      <c r="F27" s="73">
        <v>7702870002766</v>
      </c>
      <c r="G27" s="28"/>
      <c r="H27" s="28"/>
      <c r="I27" s="28"/>
      <c r="J27" s="28"/>
      <c r="K27" s="28"/>
      <c r="L27" s="28"/>
      <c r="M27" s="28"/>
      <c r="N27" s="28"/>
      <c r="O27" s="28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6" ht="28.5">
      <c r="A28" s="22" t="s">
        <v>2406</v>
      </c>
      <c r="B28" s="28">
        <v>8</v>
      </c>
      <c r="C28" s="31">
        <v>0</v>
      </c>
      <c r="D28" s="98" t="s">
        <v>10</v>
      </c>
      <c r="E28" s="7" t="s">
        <v>11</v>
      </c>
      <c r="F28" s="28">
        <v>7703689317386</v>
      </c>
      <c r="G28" s="28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6" s="304" customFormat="1">
      <c r="C29" s="344"/>
    </row>
    <row r="30" spans="1:26" ht="28.5">
      <c r="A30" t="s">
        <v>1726</v>
      </c>
      <c r="B30">
        <v>2</v>
      </c>
      <c r="C30" s="133">
        <v>0</v>
      </c>
      <c r="D30" t="s">
        <v>59</v>
      </c>
      <c r="E30" s="22" t="s">
        <v>1727</v>
      </c>
      <c r="F30">
        <v>7707232099095</v>
      </c>
    </row>
    <row r="31" spans="1:26" ht="28.5">
      <c r="A31" s="22" t="s">
        <v>2407</v>
      </c>
      <c r="B31" s="39">
        <v>1</v>
      </c>
      <c r="C31" s="40">
        <v>0</v>
      </c>
      <c r="D31" s="39" t="s">
        <v>750</v>
      </c>
      <c r="E31" s="22" t="s">
        <v>2408</v>
      </c>
      <c r="F31">
        <v>7703445103109</v>
      </c>
    </row>
    <row r="32" spans="1:26" ht="28.5">
      <c r="A32" t="s">
        <v>2409</v>
      </c>
      <c r="B32">
        <v>2</v>
      </c>
      <c r="C32" s="133">
        <v>19</v>
      </c>
      <c r="D32" t="s">
        <v>358</v>
      </c>
      <c r="E32" s="22" t="s">
        <v>2410</v>
      </c>
      <c r="F32">
        <v>7702037510981</v>
      </c>
    </row>
    <row r="33" spans="1:26">
      <c r="A33" s="69" t="s">
        <v>2411</v>
      </c>
      <c r="B33" s="14">
        <v>1</v>
      </c>
      <c r="C33" s="105">
        <v>0</v>
      </c>
      <c r="D33" s="135" t="s">
        <v>59</v>
      </c>
      <c r="E33" s="12" t="s">
        <v>2171</v>
      </c>
      <c r="F33" s="61">
        <v>7707232094953</v>
      </c>
    </row>
    <row r="34" spans="1:26" ht="28.5">
      <c r="A34" s="71" t="s">
        <v>2069</v>
      </c>
      <c r="B34" s="14">
        <v>1</v>
      </c>
      <c r="C34" s="105">
        <v>0.19</v>
      </c>
      <c r="D34" s="137" t="s">
        <v>23</v>
      </c>
      <c r="E34" s="69" t="s">
        <v>2070</v>
      </c>
      <c r="F34" s="71">
        <v>7707271202760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s="304" customFormat="1">
      <c r="C35" s="344"/>
    </row>
    <row r="36" spans="1:26">
      <c r="A36" s="24" t="s">
        <v>368</v>
      </c>
      <c r="B36" s="30">
        <v>2</v>
      </c>
      <c r="C36" s="31">
        <v>0</v>
      </c>
      <c r="D36" s="98" t="s">
        <v>10</v>
      </c>
      <c r="E36" s="28" t="s">
        <v>369</v>
      </c>
      <c r="F36" s="63">
        <v>7703712032002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42.75">
      <c r="A37" s="22" t="s">
        <v>969</v>
      </c>
      <c r="B37">
        <v>3</v>
      </c>
      <c r="C37" s="133">
        <v>0</v>
      </c>
      <c r="D37" s="183" t="s">
        <v>91</v>
      </c>
      <c r="E37" s="22" t="s">
        <v>970</v>
      </c>
      <c r="F37">
        <v>7707035510094</v>
      </c>
    </row>
    <row r="38" spans="1:26" ht="42.75">
      <c r="A38" s="22" t="s">
        <v>971</v>
      </c>
      <c r="B38">
        <v>3</v>
      </c>
      <c r="C38" s="133">
        <v>0</v>
      </c>
      <c r="D38" s="183" t="s">
        <v>91</v>
      </c>
      <c r="E38" s="22" t="s">
        <v>970</v>
      </c>
      <c r="F38">
        <v>7707035510063</v>
      </c>
    </row>
    <row r="39" spans="1:26">
      <c r="A39" s="12" t="s">
        <v>2412</v>
      </c>
      <c r="B39" s="12">
        <v>2</v>
      </c>
      <c r="C39" s="59">
        <v>0</v>
      </c>
      <c r="D39" s="14" t="s">
        <v>1984</v>
      </c>
      <c r="E39" s="12" t="s">
        <v>2413</v>
      </c>
      <c r="F39" s="12">
        <v>7707282990380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8.5">
      <c r="A40" s="22" t="s">
        <v>955</v>
      </c>
      <c r="B40" s="23">
        <v>1</v>
      </c>
      <c r="C40" s="51">
        <v>0</v>
      </c>
      <c r="D40" s="172" t="s">
        <v>625</v>
      </c>
      <c r="E40" s="22" t="s">
        <v>956</v>
      </c>
      <c r="F40" s="52">
        <v>7702184020388</v>
      </c>
    </row>
    <row r="41" spans="1:26" ht="28.5">
      <c r="A41" s="22" t="s">
        <v>955</v>
      </c>
      <c r="B41" s="23">
        <v>1</v>
      </c>
      <c r="C41" s="51">
        <v>0</v>
      </c>
      <c r="D41" s="172" t="s">
        <v>625</v>
      </c>
      <c r="E41" s="22" t="s">
        <v>956</v>
      </c>
      <c r="F41" s="52">
        <v>7702184020388</v>
      </c>
    </row>
    <row r="42" spans="1:26" ht="28.5">
      <c r="A42" t="s">
        <v>1999</v>
      </c>
      <c r="B42">
        <v>1</v>
      </c>
      <c r="C42" s="133">
        <v>0.19</v>
      </c>
      <c r="D42" t="s">
        <v>10</v>
      </c>
      <c r="E42" s="22" t="s">
        <v>2000</v>
      </c>
      <c r="F42">
        <v>7707271201794</v>
      </c>
    </row>
    <row r="43" spans="1:26">
      <c r="A43" s="41" t="s">
        <v>2414</v>
      </c>
      <c r="B43" s="23">
        <v>3</v>
      </c>
      <c r="C43" s="51">
        <v>0</v>
      </c>
      <c r="D43" s="23" t="s">
        <v>585</v>
      </c>
      <c r="E43" s="23" t="s">
        <v>2415</v>
      </c>
      <c r="F43" s="23">
        <v>7703712036376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28.5">
      <c r="A44" s="71" t="s">
        <v>1781</v>
      </c>
      <c r="B44" s="14">
        <v>1</v>
      </c>
      <c r="C44" s="105">
        <v>0.19</v>
      </c>
      <c r="D44" s="137" t="s">
        <v>26</v>
      </c>
      <c r="E44" s="13" t="s">
        <v>364</v>
      </c>
      <c r="F44" s="71">
        <v>7794640171550</v>
      </c>
      <c r="G44" s="28"/>
      <c r="H44" s="28"/>
      <c r="I44" s="28"/>
      <c r="J44" s="28"/>
      <c r="K44" s="28"/>
      <c r="L44" s="28"/>
      <c r="M44" s="28"/>
      <c r="N44" s="28"/>
      <c r="O44" s="28"/>
    </row>
    <row r="45" spans="1:26" ht="28.5">
      <c r="A45" s="13" t="s">
        <v>2416</v>
      </c>
      <c r="B45" s="14">
        <v>1</v>
      </c>
      <c r="C45" s="105">
        <v>0.19</v>
      </c>
      <c r="D45" s="137" t="s">
        <v>2417</v>
      </c>
      <c r="E45" s="13" t="s">
        <v>2418</v>
      </c>
      <c r="F45" s="61">
        <v>7707016403940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8.5">
      <c r="A46" s="159" t="s">
        <v>2268</v>
      </c>
      <c r="B46" s="168">
        <v>1</v>
      </c>
      <c r="C46" s="170">
        <v>0.19</v>
      </c>
      <c r="D46" s="157" t="s">
        <v>750</v>
      </c>
      <c r="E46" s="159" t="s">
        <v>2270</v>
      </c>
      <c r="F46" s="160">
        <v>7707016439499</v>
      </c>
      <c r="G46" s="28"/>
      <c r="H46" s="28"/>
      <c r="I46" s="28"/>
      <c r="J46" s="28"/>
      <c r="K46" s="28"/>
      <c r="L46" s="28"/>
      <c r="M46" s="28"/>
      <c r="N46" s="28"/>
      <c r="O46" s="28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6" ht="15">
      <c r="A47" s="43" t="s">
        <v>2239</v>
      </c>
      <c r="B47" s="19">
        <v>1</v>
      </c>
      <c r="C47" s="126">
        <v>0</v>
      </c>
      <c r="D47" s="113" t="s">
        <v>80</v>
      </c>
      <c r="E47" s="43" t="s">
        <v>332</v>
      </c>
      <c r="F47" s="19">
        <v>7702184020197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28.5">
      <c r="A48" s="22" t="s">
        <v>1224</v>
      </c>
      <c r="B48" s="39">
        <v>2</v>
      </c>
      <c r="C48" s="40">
        <v>0</v>
      </c>
      <c r="D48" s="39" t="s">
        <v>519</v>
      </c>
      <c r="E48" t="s">
        <v>1225</v>
      </c>
      <c r="F48">
        <v>7707173600459</v>
      </c>
    </row>
    <row r="49" spans="1:26" ht="15">
      <c r="A49" s="43" t="s">
        <v>2239</v>
      </c>
      <c r="B49" s="19">
        <v>1</v>
      </c>
      <c r="C49" s="126">
        <v>0</v>
      </c>
      <c r="D49" s="113" t="s">
        <v>38</v>
      </c>
      <c r="E49" s="43" t="s">
        <v>332</v>
      </c>
      <c r="F49" s="19">
        <v>7702184020197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28.5">
      <c r="A50" s="24" t="s">
        <v>2419</v>
      </c>
      <c r="B50" s="8">
        <v>1</v>
      </c>
      <c r="C50" s="209">
        <v>0</v>
      </c>
      <c r="D50" s="210" t="s">
        <v>1116</v>
      </c>
      <c r="E50" s="7" t="s">
        <v>2420</v>
      </c>
      <c r="F50" s="129">
        <v>7707229970291</v>
      </c>
    </row>
    <row r="51" spans="1:26" s="304" customFormat="1">
      <c r="C51" s="344"/>
    </row>
    <row r="52" spans="1:26">
      <c r="A52" s="8" t="s">
        <v>780</v>
      </c>
      <c r="B52" s="8">
        <v>2</v>
      </c>
      <c r="C52" s="9">
        <v>0</v>
      </c>
      <c r="D52" s="203" t="s">
        <v>1007</v>
      </c>
      <c r="E52" s="7" t="s">
        <v>431</v>
      </c>
      <c r="F52" s="63">
        <v>7702057712938</v>
      </c>
    </row>
    <row r="53" spans="1:26" ht="28.5">
      <c r="A53" s="22" t="s">
        <v>1581</v>
      </c>
      <c r="B53" s="39">
        <v>1</v>
      </c>
      <c r="C53" s="40">
        <v>0</v>
      </c>
      <c r="D53" s="39" t="s">
        <v>2122</v>
      </c>
      <c r="E53" t="s">
        <v>1583</v>
      </c>
      <c r="F53">
        <v>751273776771</v>
      </c>
    </row>
    <row r="54" spans="1:26">
      <c r="A54" s="22" t="s">
        <v>739</v>
      </c>
      <c r="B54">
        <v>2</v>
      </c>
      <c r="C54" s="133">
        <v>0</v>
      </c>
      <c r="D54" s="23" t="s">
        <v>740</v>
      </c>
      <c r="E54" t="s">
        <v>741</v>
      </c>
      <c r="F54">
        <v>7703038020097</v>
      </c>
    </row>
    <row r="55" spans="1:26" ht="28.5">
      <c r="A55" s="69" t="s">
        <v>362</v>
      </c>
      <c r="B55" s="12">
        <v>1</v>
      </c>
      <c r="C55" s="59">
        <v>0.19</v>
      </c>
      <c r="D55" s="111" t="s">
        <v>458</v>
      </c>
      <c r="E55" s="13" t="s">
        <v>364</v>
      </c>
      <c r="F55" s="211">
        <v>7794640170133</v>
      </c>
      <c r="G55" s="28"/>
      <c r="H55" s="28"/>
      <c r="I55" s="28"/>
      <c r="J55" s="28"/>
      <c r="K55" s="28"/>
      <c r="L55" s="28"/>
      <c r="M55" s="28"/>
      <c r="N55" s="28"/>
      <c r="O55" s="28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6" ht="28.5">
      <c r="A56" s="12" t="s">
        <v>722</v>
      </c>
      <c r="B56" s="12">
        <v>1</v>
      </c>
      <c r="C56" s="59">
        <v>0</v>
      </c>
      <c r="D56" s="14" t="s">
        <v>2421</v>
      </c>
      <c r="E56" s="13" t="s">
        <v>724</v>
      </c>
      <c r="F56" s="308">
        <v>300651431483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28.5">
      <c r="A57" s="13" t="s">
        <v>1335</v>
      </c>
      <c r="B57" s="14">
        <v>1</v>
      </c>
      <c r="C57" s="105">
        <v>0</v>
      </c>
      <c r="D57" s="137" t="s">
        <v>2422</v>
      </c>
      <c r="E57" s="13" t="s">
        <v>1337</v>
      </c>
      <c r="F57" s="61">
        <v>8437019299583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s="304" customFormat="1">
      <c r="C58" s="344"/>
    </row>
    <row r="59" spans="1:26">
      <c r="A59" s="39" t="s">
        <v>2423</v>
      </c>
      <c r="B59" s="23">
        <v>1</v>
      </c>
      <c r="C59" s="133">
        <v>0</v>
      </c>
      <c r="D59" s="134" t="s">
        <v>2424</v>
      </c>
      <c r="E59" s="39" t="s">
        <v>2425</v>
      </c>
      <c r="F59" s="39">
        <v>7795345123226</v>
      </c>
    </row>
    <row r="60" spans="1:26">
      <c r="A60" s="39" t="s">
        <v>2423</v>
      </c>
      <c r="B60" s="23">
        <v>1</v>
      </c>
      <c r="C60" s="133">
        <v>0</v>
      </c>
      <c r="D60" s="134" t="s">
        <v>2426</v>
      </c>
      <c r="E60" s="39" t="s">
        <v>2425</v>
      </c>
      <c r="F60" s="39">
        <v>7795345123226</v>
      </c>
    </row>
    <row r="61" spans="1:26" ht="28.5">
      <c r="A61" s="64" t="s">
        <v>616</v>
      </c>
      <c r="B61" s="102">
        <v>4</v>
      </c>
      <c r="C61" s="101">
        <v>0</v>
      </c>
      <c r="D61" s="102">
        <v>18000</v>
      </c>
      <c r="E61" s="64" t="s">
        <v>618</v>
      </c>
      <c r="F61" s="103">
        <v>7702870071465</v>
      </c>
      <c r="G61" s="65"/>
      <c r="H61" s="65"/>
      <c r="I61" s="65"/>
      <c r="J61" s="65"/>
      <c r="K61" s="65"/>
      <c r="L61" s="65"/>
      <c r="M61" s="65"/>
      <c r="N61" s="65"/>
      <c r="O61" s="65"/>
    </row>
    <row r="62" spans="1:26" ht="28.5">
      <c r="A62" s="22" t="s">
        <v>1626</v>
      </c>
      <c r="B62" s="23">
        <v>2</v>
      </c>
      <c r="C62" s="51">
        <v>0.19</v>
      </c>
      <c r="D62" s="23" t="s">
        <v>1627</v>
      </c>
      <c r="E62" s="22" t="s">
        <v>1628</v>
      </c>
      <c r="F62" s="52">
        <v>7705471206571</v>
      </c>
    </row>
    <row r="63" spans="1:26">
      <c r="A63" s="69" t="s">
        <v>2427</v>
      </c>
      <c r="B63" s="14">
        <v>1</v>
      </c>
      <c r="C63" s="105">
        <v>0.19</v>
      </c>
      <c r="D63" s="137" t="s">
        <v>59</v>
      </c>
      <c r="E63" s="12" t="s">
        <v>2171</v>
      </c>
      <c r="F63" s="61">
        <v>7707772810747</v>
      </c>
    </row>
    <row r="64" spans="1:26" ht="28.5">
      <c r="A64" s="22" t="s">
        <v>1581</v>
      </c>
      <c r="B64" s="39">
        <v>1</v>
      </c>
      <c r="C64" s="40">
        <v>0</v>
      </c>
      <c r="D64" s="39" t="s">
        <v>2122</v>
      </c>
      <c r="E64" t="s">
        <v>1583</v>
      </c>
      <c r="F64">
        <v>751273776771</v>
      </c>
    </row>
    <row r="65" spans="1:26" ht="28.5">
      <c r="A65" s="71" t="s">
        <v>460</v>
      </c>
      <c r="B65" s="14">
        <v>1</v>
      </c>
      <c r="C65" s="136">
        <v>0</v>
      </c>
      <c r="D65" s="261" t="s">
        <v>133</v>
      </c>
      <c r="E65" s="13" t="s">
        <v>280</v>
      </c>
      <c r="F65" s="71">
        <v>7703038020103</v>
      </c>
    </row>
    <row r="66" spans="1:26" ht="28.5">
      <c r="A66" t="s">
        <v>2428</v>
      </c>
      <c r="B66">
        <v>2</v>
      </c>
      <c r="C66" s="133">
        <v>0</v>
      </c>
      <c r="D66" t="s">
        <v>109</v>
      </c>
      <c r="E66" s="22" t="s">
        <v>2429</v>
      </c>
      <c r="F66">
        <v>7709141546004</v>
      </c>
    </row>
    <row r="67" spans="1:26">
      <c r="A67" t="s">
        <v>2006</v>
      </c>
      <c r="B67">
        <v>3</v>
      </c>
      <c r="C67" s="133">
        <v>0</v>
      </c>
      <c r="D67" s="23" t="s">
        <v>408</v>
      </c>
      <c r="E67" t="s">
        <v>2008</v>
      </c>
      <c r="F67">
        <v>8904159624150</v>
      </c>
    </row>
    <row r="68" spans="1:26" ht="28.5">
      <c r="A68" s="22" t="s">
        <v>2430</v>
      </c>
      <c r="B68" s="8">
        <v>1</v>
      </c>
      <c r="C68" s="9">
        <v>0</v>
      </c>
      <c r="D68" s="8" t="s">
        <v>384</v>
      </c>
      <c r="E68" s="7" t="s">
        <v>2431</v>
      </c>
      <c r="F68" s="8">
        <v>7709467724056</v>
      </c>
      <c r="G68" s="8"/>
    </row>
    <row r="69" spans="1:26" s="304" customFormat="1">
      <c r="C69" s="344"/>
    </row>
    <row r="70" spans="1:26" ht="15">
      <c r="A70" s="24" t="s">
        <v>1572</v>
      </c>
      <c r="B70" s="28">
        <v>1</v>
      </c>
      <c r="C70" s="192">
        <v>0</v>
      </c>
      <c r="D70" s="62" t="s">
        <v>808</v>
      </c>
      <c r="E70" s="28" t="s">
        <v>1573</v>
      </c>
      <c r="F70" s="28">
        <v>8901463122280</v>
      </c>
      <c r="G70" s="28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">
      <c r="A71" s="56" t="s">
        <v>2432</v>
      </c>
      <c r="B71" s="153">
        <v>2</v>
      </c>
      <c r="C71" s="55">
        <v>0.19</v>
      </c>
      <c r="D71" s="225" t="s">
        <v>2433</v>
      </c>
      <c r="E71" s="56" t="s">
        <v>1917</v>
      </c>
      <c r="F71" s="53">
        <v>7709990750973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</row>
    <row r="72" spans="1:26" ht="28.5">
      <c r="A72" s="22" t="s">
        <v>2434</v>
      </c>
      <c r="B72">
        <v>10</v>
      </c>
      <c r="C72" s="133">
        <v>0</v>
      </c>
      <c r="D72" t="s">
        <v>384</v>
      </c>
      <c r="E72" s="22" t="s">
        <v>2435</v>
      </c>
      <c r="F72">
        <v>7709277050857</v>
      </c>
    </row>
    <row r="73" spans="1:26" s="304" customFormat="1">
      <c r="C73" s="344"/>
    </row>
    <row r="74" spans="1:26">
      <c r="A74" s="22" t="s">
        <v>2436</v>
      </c>
      <c r="B74" s="11">
        <v>2</v>
      </c>
      <c r="C74" s="194">
        <v>0</v>
      </c>
      <c r="D74" s="176" t="s">
        <v>88</v>
      </c>
      <c r="E74" s="22" t="s">
        <v>743</v>
      </c>
      <c r="F74" s="22">
        <v>7703763334025</v>
      </c>
      <c r="G74" s="22"/>
      <c r="H74" s="22"/>
      <c r="I74" s="22"/>
      <c r="J74" s="22"/>
      <c r="K74" s="22"/>
    </row>
    <row r="75" spans="1:26" ht="28.5">
      <c r="A75" s="13" t="s">
        <v>1193</v>
      </c>
      <c r="B75" s="14">
        <v>1</v>
      </c>
      <c r="C75" s="105">
        <v>0</v>
      </c>
      <c r="D75" s="137" t="s">
        <v>1560</v>
      </c>
      <c r="E75" s="13" t="s">
        <v>1195</v>
      </c>
      <c r="F75" s="12">
        <v>7702057018054</v>
      </c>
      <c r="G75" s="12"/>
      <c r="H75" s="12"/>
      <c r="I75" s="12"/>
      <c r="J75" s="12"/>
      <c r="K75" s="12"/>
      <c r="L75" s="12"/>
      <c r="M75" s="12"/>
      <c r="N75" s="12"/>
      <c r="O75" s="12"/>
    </row>
    <row r="76" spans="1:26">
      <c r="A76" s="24" t="s">
        <v>2437</v>
      </c>
      <c r="B76" s="14">
        <v>5</v>
      </c>
      <c r="C76" s="105">
        <v>0</v>
      </c>
      <c r="D76" s="137" t="s">
        <v>2438</v>
      </c>
      <c r="E76" s="28" t="s">
        <v>2439</v>
      </c>
      <c r="F76" s="28">
        <v>7702870002728</v>
      </c>
    </row>
    <row r="77" spans="1:26" ht="28.5">
      <c r="A77" s="13" t="s">
        <v>1193</v>
      </c>
      <c r="B77" s="14">
        <v>1</v>
      </c>
      <c r="C77" s="105">
        <v>0</v>
      </c>
      <c r="D77" s="137" t="s">
        <v>2165</v>
      </c>
      <c r="E77" s="13" t="s">
        <v>1195</v>
      </c>
      <c r="F77" s="12">
        <v>7702057018054</v>
      </c>
      <c r="G77" s="12"/>
      <c r="H77" s="12"/>
      <c r="I77" s="12"/>
      <c r="J77" s="12"/>
      <c r="K77" s="12"/>
      <c r="L77" s="12"/>
      <c r="M77" s="12"/>
      <c r="N77" s="12"/>
      <c r="O77" s="12"/>
    </row>
    <row r="78" spans="1:26" s="304" customFormat="1">
      <c r="C78" s="344"/>
    </row>
    <row r="79" spans="1:26" ht="28.5">
      <c r="A79" t="s">
        <v>2440</v>
      </c>
      <c r="B79" s="23">
        <v>1</v>
      </c>
      <c r="C79" s="51">
        <v>0</v>
      </c>
      <c r="D79" s="23" t="s">
        <v>188</v>
      </c>
      <c r="E79" s="22" t="s">
        <v>2441</v>
      </c>
      <c r="F79">
        <v>7707355053660</v>
      </c>
    </row>
    <row r="80" spans="1:26" ht="28.5">
      <c r="A80" t="s">
        <v>2440</v>
      </c>
      <c r="B80" s="23">
        <v>0</v>
      </c>
      <c r="C80" s="51">
        <v>0</v>
      </c>
      <c r="D80" s="23" t="s">
        <v>188</v>
      </c>
      <c r="E80" s="22" t="s">
        <v>2441</v>
      </c>
      <c r="F80">
        <v>7707355053660</v>
      </c>
    </row>
    <row r="81" spans="1:26" ht="28.5">
      <c r="A81" s="141" t="s">
        <v>1959</v>
      </c>
      <c r="B81" s="141">
        <v>2</v>
      </c>
      <c r="C81" s="148">
        <v>0</v>
      </c>
      <c r="D81" s="158" t="s">
        <v>676</v>
      </c>
      <c r="E81" s="146" t="s">
        <v>1960</v>
      </c>
      <c r="F81" s="160">
        <v>7709990383645</v>
      </c>
      <c r="G81" s="141"/>
      <c r="H81" s="141"/>
      <c r="I81" s="141"/>
      <c r="J81" s="141"/>
      <c r="K81" s="141"/>
      <c r="L81" s="141"/>
      <c r="M81" s="141"/>
      <c r="N81" s="141"/>
      <c r="O81" s="141"/>
    </row>
    <row r="82" spans="1:26">
      <c r="A82" s="22" t="s">
        <v>736</v>
      </c>
      <c r="B82">
        <v>1</v>
      </c>
      <c r="C82" s="133">
        <v>0</v>
      </c>
      <c r="D82" s="23" t="s">
        <v>26</v>
      </c>
      <c r="E82" t="s">
        <v>737</v>
      </c>
      <c r="F82">
        <v>7703546421157</v>
      </c>
    </row>
    <row r="83" spans="1:26" ht="15">
      <c r="A83" s="96" t="s">
        <v>2398</v>
      </c>
      <c r="B83" s="153">
        <v>3</v>
      </c>
      <c r="C83" s="55">
        <v>0</v>
      </c>
      <c r="D83" s="153" t="s">
        <v>2442</v>
      </c>
      <c r="E83" s="303" t="s">
        <v>2400</v>
      </c>
      <c r="F83" s="153">
        <v>7703038067030</v>
      </c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19"/>
    </row>
    <row r="84" spans="1:26">
      <c r="A84" s="13" t="s">
        <v>271</v>
      </c>
      <c r="B84" s="14">
        <v>8</v>
      </c>
      <c r="C84" s="105">
        <v>0</v>
      </c>
      <c r="D84" s="137" t="s">
        <v>272</v>
      </c>
      <c r="E84" s="13" t="s">
        <v>273</v>
      </c>
      <c r="F84" s="15">
        <v>7703432422237</v>
      </c>
      <c r="G84" s="12"/>
    </row>
    <row r="85" spans="1:26">
      <c r="A85" s="13" t="s">
        <v>271</v>
      </c>
      <c r="B85" s="14">
        <v>4</v>
      </c>
      <c r="C85" s="105">
        <v>0</v>
      </c>
      <c r="D85" s="137" t="s">
        <v>272</v>
      </c>
      <c r="E85" s="13" t="s">
        <v>273</v>
      </c>
      <c r="F85" s="15">
        <v>7703432422237</v>
      </c>
      <c r="G85" s="12"/>
    </row>
    <row r="86" spans="1:26" ht="15">
      <c r="A86" s="16" t="s">
        <v>2443</v>
      </c>
      <c r="B86" s="18">
        <v>4</v>
      </c>
      <c r="C86" s="184">
        <v>0</v>
      </c>
      <c r="D86" s="204" t="s">
        <v>7</v>
      </c>
      <c r="E86" s="16" t="s">
        <v>1639</v>
      </c>
      <c r="F86" s="18">
        <v>7703038065616</v>
      </c>
      <c r="G86" s="18"/>
      <c r="H86" s="18"/>
      <c r="I86" s="18"/>
      <c r="J86" s="18"/>
      <c r="K86" s="18"/>
      <c r="L86" s="18"/>
      <c r="M86" s="18"/>
      <c r="N86" s="18"/>
      <c r="O86" s="18"/>
    </row>
    <row r="87" spans="1:26">
      <c r="A87" s="12" t="s">
        <v>965</v>
      </c>
      <c r="B87" s="14">
        <v>6</v>
      </c>
      <c r="C87" s="136">
        <v>0</v>
      </c>
      <c r="D87" s="161" t="s">
        <v>118</v>
      </c>
      <c r="E87" s="13" t="s">
        <v>966</v>
      </c>
      <c r="F87" s="12">
        <v>7707177971616</v>
      </c>
      <c r="Z87" s="23"/>
    </row>
    <row r="88" spans="1:26">
      <c r="A88" s="24" t="s">
        <v>533</v>
      </c>
      <c r="B88" s="30">
        <v>3</v>
      </c>
      <c r="C88" s="31">
        <v>0</v>
      </c>
      <c r="D88" s="98" t="s">
        <v>2444</v>
      </c>
      <c r="E88" s="8" t="s">
        <v>535</v>
      </c>
      <c r="F88" s="28">
        <v>7703038594116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42.75">
      <c r="A89" t="s">
        <v>2100</v>
      </c>
      <c r="B89">
        <v>5</v>
      </c>
      <c r="C89" s="133">
        <v>0.19</v>
      </c>
      <c r="D89" t="s">
        <v>2445</v>
      </c>
      <c r="E89" s="22" t="s">
        <v>2101</v>
      </c>
      <c r="F89">
        <v>7709198383485</v>
      </c>
    </row>
    <row r="90" spans="1:26" ht="28.5">
      <c r="A90" s="71" t="s">
        <v>2223</v>
      </c>
      <c r="B90" s="14">
        <v>3</v>
      </c>
      <c r="C90" s="105">
        <v>0</v>
      </c>
      <c r="D90" s="309" t="s">
        <v>2224</v>
      </c>
      <c r="E90" s="69" t="s">
        <v>2225</v>
      </c>
      <c r="F90" s="61">
        <v>7702026177874</v>
      </c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</row>
    <row r="91" spans="1:26" ht="42.75">
      <c r="A91" t="s">
        <v>2124</v>
      </c>
      <c r="B91">
        <v>1</v>
      </c>
      <c r="C91" s="133">
        <v>0</v>
      </c>
      <c r="D91" t="s">
        <v>2446</v>
      </c>
      <c r="E91" s="22" t="s">
        <v>2126</v>
      </c>
      <c r="F91">
        <v>7702184580202</v>
      </c>
    </row>
    <row r="92" spans="1:26" ht="28.5">
      <c r="A92" s="69" t="s">
        <v>306</v>
      </c>
      <c r="B92" s="71">
        <v>3</v>
      </c>
      <c r="C92" s="206">
        <v>19</v>
      </c>
      <c r="D92" s="135" t="s">
        <v>293</v>
      </c>
      <c r="E92" s="69" t="s">
        <v>308</v>
      </c>
      <c r="F92" s="61">
        <v>7702057080044</v>
      </c>
      <c r="G92" s="71"/>
      <c r="H92" s="71"/>
      <c r="I92" s="71"/>
      <c r="J92" s="71"/>
      <c r="K92" s="71"/>
      <c r="L92" s="71"/>
      <c r="M92" s="71"/>
      <c r="N92" s="71"/>
      <c r="O92" s="71"/>
    </row>
    <row r="93" spans="1:26" ht="28.5">
      <c r="A93" s="69" t="s">
        <v>831</v>
      </c>
      <c r="B93" s="14">
        <v>2</v>
      </c>
      <c r="C93" s="105">
        <v>0.19</v>
      </c>
      <c r="D93" s="135" t="s">
        <v>10</v>
      </c>
      <c r="E93" s="13" t="s">
        <v>832</v>
      </c>
      <c r="F93" s="61">
        <v>7702057080075</v>
      </c>
    </row>
    <row r="94" spans="1:26" s="304" customFormat="1">
      <c r="C94" s="344"/>
    </row>
    <row r="95" spans="1:26">
      <c r="A95" s="8" t="s">
        <v>1108</v>
      </c>
      <c r="B95" s="30">
        <v>20</v>
      </c>
      <c r="C95" s="31">
        <v>0</v>
      </c>
      <c r="D95" s="98" t="s">
        <v>697</v>
      </c>
      <c r="E95" s="8" t="s">
        <v>1109</v>
      </c>
      <c r="F95" s="8">
        <v>7707336091773</v>
      </c>
    </row>
    <row r="96" spans="1:26">
      <c r="A96" s="24" t="s">
        <v>1400</v>
      </c>
      <c r="B96" s="8">
        <v>4</v>
      </c>
      <c r="C96" s="9">
        <v>0.19</v>
      </c>
      <c r="D96" s="203" t="s">
        <v>7</v>
      </c>
      <c r="E96" s="8" t="s">
        <v>1401</v>
      </c>
      <c r="F96" s="63">
        <v>7707271203248</v>
      </c>
    </row>
    <row r="97" spans="1:27">
      <c r="A97" s="24" t="s">
        <v>1591</v>
      </c>
      <c r="B97" s="30">
        <v>4</v>
      </c>
      <c r="C97" s="128">
        <v>0.19</v>
      </c>
      <c r="D97" s="220" t="s">
        <v>315</v>
      </c>
      <c r="E97" s="8" t="s">
        <v>1401</v>
      </c>
      <c r="F97" s="63">
        <v>7707271201237</v>
      </c>
    </row>
    <row r="98" spans="1:27">
      <c r="A98" s="22" t="s">
        <v>1339</v>
      </c>
      <c r="B98" s="71">
        <v>6</v>
      </c>
      <c r="C98" s="105">
        <v>0</v>
      </c>
      <c r="D98" s="14" t="s">
        <v>173</v>
      </c>
      <c r="E98" s="13" t="s">
        <v>1340</v>
      </c>
      <c r="F98" s="61">
        <v>7703689000448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7" ht="28.5">
      <c r="A99" s="22" t="s">
        <v>1899</v>
      </c>
      <c r="B99" s="23">
        <v>1</v>
      </c>
      <c r="C99" s="51">
        <v>0</v>
      </c>
      <c r="D99" s="23" t="s">
        <v>1900</v>
      </c>
      <c r="E99" s="22" t="s">
        <v>1901</v>
      </c>
      <c r="F99" s="52">
        <v>7702057160999</v>
      </c>
    </row>
    <row r="100" spans="1:27" ht="28.5">
      <c r="A100" s="22" t="s">
        <v>2447</v>
      </c>
      <c r="B100" s="41">
        <v>1</v>
      </c>
      <c r="C100" s="269">
        <v>0</v>
      </c>
      <c r="D100" s="310" t="s">
        <v>2448</v>
      </c>
      <c r="E100" s="22" t="s">
        <v>2449</v>
      </c>
      <c r="F100" s="22">
        <v>7707355056814</v>
      </c>
    </row>
    <row r="101" spans="1:27">
      <c r="A101" s="146" t="s">
        <v>584</v>
      </c>
      <c r="B101" s="168">
        <v>8</v>
      </c>
      <c r="C101" s="170">
        <v>0</v>
      </c>
      <c r="D101" s="168" t="s">
        <v>585</v>
      </c>
      <c r="E101" s="146" t="s">
        <v>586</v>
      </c>
      <c r="F101" s="141">
        <v>7703712030930</v>
      </c>
    </row>
    <row r="102" spans="1:27" ht="30">
      <c r="A102" s="73" t="s">
        <v>325</v>
      </c>
      <c r="B102" s="17">
        <v>2</v>
      </c>
      <c r="C102" s="124">
        <v>0</v>
      </c>
      <c r="D102" s="17" t="s">
        <v>26</v>
      </c>
      <c r="E102" s="73" t="s">
        <v>326</v>
      </c>
      <c r="F102" s="110">
        <v>7702057012007</v>
      </c>
    </row>
    <row r="103" spans="1:27">
      <c r="A103" s="28" t="s">
        <v>2450</v>
      </c>
      <c r="B103" s="28">
        <v>2</v>
      </c>
      <c r="C103" s="192">
        <v>0</v>
      </c>
      <c r="D103" s="193" t="s">
        <v>2451</v>
      </c>
      <c r="E103" s="28" t="s">
        <v>2452</v>
      </c>
      <c r="F103" s="28">
        <v>7702057061906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7">
      <c r="A104" t="s">
        <v>2453</v>
      </c>
      <c r="B104">
        <v>1</v>
      </c>
      <c r="C104" s="133">
        <v>0</v>
      </c>
      <c r="D104" t="s">
        <v>384</v>
      </c>
      <c r="E104" t="s">
        <v>322</v>
      </c>
      <c r="F104">
        <v>7707355052205</v>
      </c>
    </row>
    <row r="105" spans="1:27">
      <c r="A105" s="304"/>
      <c r="B105" s="304"/>
      <c r="C105" s="344"/>
      <c r="D105" s="304"/>
      <c r="E105" s="304"/>
      <c r="F105" s="304"/>
      <c r="G105" s="304"/>
      <c r="H105" s="304"/>
      <c r="I105" s="304"/>
      <c r="J105" s="304"/>
      <c r="K105" s="304"/>
      <c r="L105" s="304"/>
      <c r="M105" s="304"/>
      <c r="N105" s="304"/>
      <c r="O105" s="304"/>
      <c r="P105" s="304"/>
      <c r="Q105" s="304"/>
      <c r="R105" s="304"/>
      <c r="S105" s="304"/>
      <c r="T105" s="304"/>
      <c r="U105" s="304"/>
      <c r="V105" s="304"/>
      <c r="W105" s="304"/>
      <c r="X105" s="304"/>
      <c r="Y105" s="304"/>
      <c r="Z105" s="304"/>
      <c r="AA105" s="304"/>
    </row>
    <row r="106" spans="1:27" ht="15">
      <c r="A106" s="152" t="s">
        <v>2352</v>
      </c>
      <c r="B106" s="153">
        <v>3</v>
      </c>
      <c r="C106" s="55">
        <v>0</v>
      </c>
      <c r="D106" s="153" t="s">
        <v>355</v>
      </c>
      <c r="E106" s="303" t="s">
        <v>2353</v>
      </c>
      <c r="F106" s="153">
        <v>7704412169388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7" ht="30">
      <c r="A107" s="19" t="s">
        <v>2454</v>
      </c>
      <c r="B107" s="19">
        <v>2</v>
      </c>
      <c r="C107" s="126">
        <v>0</v>
      </c>
      <c r="D107" s="19" t="s">
        <v>103</v>
      </c>
      <c r="E107" s="43" t="s">
        <v>2455</v>
      </c>
      <c r="F107" s="19">
        <v>7709492276681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7">
      <c r="A108" s="304"/>
      <c r="B108" s="304"/>
      <c r="C108" s="344"/>
      <c r="D108" s="304"/>
      <c r="E108" s="304"/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</row>
    <row r="109" spans="1:27" ht="57">
      <c r="A109" t="s">
        <v>2456</v>
      </c>
      <c r="B109">
        <v>6</v>
      </c>
      <c r="C109" s="133">
        <v>0</v>
      </c>
      <c r="D109" s="23" t="s">
        <v>109</v>
      </c>
      <c r="E109" s="22" t="s">
        <v>2457</v>
      </c>
      <c r="F109">
        <v>7703763070329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 spans="1:27" ht="30">
      <c r="A110" s="178" t="s">
        <v>688</v>
      </c>
      <c r="B110" s="179">
        <v>8</v>
      </c>
      <c r="C110" s="180">
        <v>0</v>
      </c>
      <c r="D110" s="179" t="s">
        <v>23</v>
      </c>
      <c r="E110" s="181" t="s">
        <v>689</v>
      </c>
      <c r="F110" s="182">
        <v>7707321982093</v>
      </c>
      <c r="Z110" s="23"/>
    </row>
    <row r="111" spans="1:27" ht="30">
      <c r="A111" s="178" t="s">
        <v>688</v>
      </c>
      <c r="B111" s="179">
        <v>4</v>
      </c>
      <c r="C111" s="180">
        <v>0</v>
      </c>
      <c r="D111" s="179" t="s">
        <v>23</v>
      </c>
      <c r="E111" s="181" t="s">
        <v>689</v>
      </c>
      <c r="F111" s="182">
        <v>7707321982093</v>
      </c>
      <c r="Z111" s="23"/>
    </row>
    <row r="112" spans="1:27" ht="15">
      <c r="A112" s="152" t="s">
        <v>2352</v>
      </c>
      <c r="B112" s="153">
        <v>1</v>
      </c>
      <c r="C112" s="55">
        <v>0</v>
      </c>
      <c r="D112" s="153" t="s">
        <v>355</v>
      </c>
      <c r="E112" s="303" t="s">
        <v>2353</v>
      </c>
      <c r="F112" s="153">
        <v>7704412169388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7">
      <c r="A113" s="24" t="s">
        <v>1722</v>
      </c>
      <c r="B113" s="30">
        <v>6</v>
      </c>
      <c r="C113" s="128">
        <v>0</v>
      </c>
      <c r="D113" s="254" t="s">
        <v>7</v>
      </c>
      <c r="E113" s="8" t="s">
        <v>1723</v>
      </c>
      <c r="F113" s="28">
        <v>7709923870556</v>
      </c>
    </row>
    <row r="114" spans="1:27">
      <c r="A114" t="s">
        <v>2458</v>
      </c>
      <c r="B114">
        <v>2</v>
      </c>
      <c r="C114" s="133">
        <v>0</v>
      </c>
      <c r="D114" s="134" t="s">
        <v>118</v>
      </c>
      <c r="E114" t="s">
        <v>2459</v>
      </c>
      <c r="F114">
        <v>7709670465814</v>
      </c>
    </row>
    <row r="115" spans="1:27" ht="15">
      <c r="A115" s="56" t="s">
        <v>1188</v>
      </c>
      <c r="B115" s="153">
        <v>1</v>
      </c>
      <c r="C115" s="55">
        <v>0</v>
      </c>
      <c r="D115" s="153" t="s">
        <v>38</v>
      </c>
      <c r="E115" s="56" t="s">
        <v>1189</v>
      </c>
      <c r="F115" s="53">
        <v>7702207188620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7">
      <c r="A116" t="s">
        <v>2076</v>
      </c>
      <c r="B116" s="39">
        <v>2</v>
      </c>
      <c r="C116" s="40">
        <v>0</v>
      </c>
      <c r="D116" s="94" t="s">
        <v>2460</v>
      </c>
      <c r="E116" t="s">
        <v>2077</v>
      </c>
      <c r="F116">
        <v>7705959885922</v>
      </c>
    </row>
    <row r="117" spans="1:27">
      <c r="A117" s="304"/>
      <c r="B117" s="304"/>
      <c r="C117" s="344"/>
      <c r="D117" s="304"/>
      <c r="E117" s="304"/>
      <c r="F117" s="304"/>
      <c r="G117" s="304"/>
      <c r="H117" s="304"/>
      <c r="I117" s="304"/>
      <c r="J117" s="304"/>
      <c r="K117" s="304"/>
      <c r="L117" s="304"/>
      <c r="M117" s="304"/>
      <c r="N117" s="304"/>
      <c r="O117" s="304"/>
      <c r="P117" s="304"/>
      <c r="Q117" s="304"/>
      <c r="R117" s="304"/>
      <c r="S117" s="304"/>
      <c r="T117" s="304"/>
      <c r="U117" s="304"/>
      <c r="V117" s="304"/>
      <c r="W117" s="304"/>
      <c r="X117" s="304"/>
      <c r="Y117" s="304"/>
      <c r="Z117" s="304"/>
      <c r="AA117" s="304"/>
    </row>
    <row r="118" spans="1:27" ht="28.5">
      <c r="A118" s="7" t="s">
        <v>42</v>
      </c>
      <c r="B118" s="25">
        <v>5</v>
      </c>
      <c r="C118" s="26">
        <v>0</v>
      </c>
      <c r="D118" s="30" t="s">
        <v>2461</v>
      </c>
      <c r="E118" s="25" t="s">
        <v>44</v>
      </c>
      <c r="F118" s="25">
        <v>7702870004425</v>
      </c>
      <c r="G118" s="30"/>
      <c r="H118" s="23"/>
      <c r="I118" s="23"/>
      <c r="J118" s="23"/>
      <c r="K118" s="23"/>
      <c r="L118" s="23"/>
      <c r="M118" s="23"/>
      <c r="N118" s="23"/>
      <c r="O118" s="23"/>
    </row>
    <row r="119" spans="1:27">
      <c r="A119" s="64" t="s">
        <v>1933</v>
      </c>
      <c r="B119" s="102">
        <v>1</v>
      </c>
      <c r="C119" s="101">
        <v>0</v>
      </c>
      <c r="D119" s="125" t="s">
        <v>80</v>
      </c>
      <c r="E119" s="64" t="s">
        <v>1934</v>
      </c>
      <c r="F119" s="68">
        <v>7707288825341</v>
      </c>
      <c r="G119" s="65"/>
      <c r="H119" s="65"/>
      <c r="I119" s="65"/>
      <c r="J119" s="65"/>
      <c r="K119" s="65"/>
      <c r="L119" s="65"/>
      <c r="M119" s="65"/>
      <c r="N119" s="65"/>
      <c r="O119" s="65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7" ht="28.5">
      <c r="A120" s="7" t="s">
        <v>480</v>
      </c>
      <c r="B120" s="30">
        <v>1</v>
      </c>
      <c r="C120" s="31">
        <v>0</v>
      </c>
      <c r="D120" s="98" t="s">
        <v>750</v>
      </c>
      <c r="E120" s="7" t="s">
        <v>24</v>
      </c>
      <c r="F120" s="8">
        <v>7703445130181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7">
      <c r="A121" s="146" t="s">
        <v>2462</v>
      </c>
      <c r="B121" s="141">
        <v>3</v>
      </c>
      <c r="C121" s="236">
        <v>0.19</v>
      </c>
      <c r="D121" s="147" t="s">
        <v>1282</v>
      </c>
      <c r="E121" s="141" t="s">
        <v>2463</v>
      </c>
      <c r="F121" s="141">
        <v>7702035432117</v>
      </c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</row>
    <row r="122" spans="1:27">
      <c r="A122" s="146" t="s">
        <v>2462</v>
      </c>
      <c r="B122" s="141">
        <v>1</v>
      </c>
      <c r="C122" s="236">
        <v>0.19</v>
      </c>
      <c r="D122" s="147" t="s">
        <v>1282</v>
      </c>
      <c r="E122" s="141" t="s">
        <v>2463</v>
      </c>
      <c r="F122" s="141">
        <v>7702035432117</v>
      </c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spans="1:27" ht="28.5">
      <c r="A123" s="22" t="s">
        <v>2464</v>
      </c>
      <c r="B123">
        <v>1</v>
      </c>
      <c r="C123" s="51">
        <v>0.19</v>
      </c>
      <c r="D123" s="23" t="s">
        <v>1080</v>
      </c>
      <c r="E123" s="146" t="s">
        <v>2463</v>
      </c>
      <c r="F123" s="52">
        <v>7702035833815</v>
      </c>
    </row>
    <row r="124" spans="1:27" ht="28.5">
      <c r="A124" s="22" t="s">
        <v>2464</v>
      </c>
      <c r="B124">
        <v>3</v>
      </c>
      <c r="C124" s="51">
        <v>0.19</v>
      </c>
      <c r="D124" s="23" t="s">
        <v>1080</v>
      </c>
      <c r="E124" s="146" t="s">
        <v>2463</v>
      </c>
      <c r="F124" s="52">
        <v>7702035833815</v>
      </c>
    </row>
    <row r="125" spans="1:27" ht="28.5">
      <c r="A125" t="s">
        <v>1132</v>
      </c>
      <c r="B125">
        <v>6</v>
      </c>
      <c r="C125" s="133">
        <v>0</v>
      </c>
      <c r="D125" s="134" t="s">
        <v>109</v>
      </c>
      <c r="E125" s="22" t="s">
        <v>1133</v>
      </c>
      <c r="F125">
        <v>7702195061400</v>
      </c>
    </row>
    <row r="126" spans="1:27" ht="28.5">
      <c r="A126" s="141" t="s">
        <v>2465</v>
      </c>
      <c r="B126" s="141">
        <v>1</v>
      </c>
      <c r="C126" s="236">
        <v>0</v>
      </c>
      <c r="D126" s="147" t="s">
        <v>2466</v>
      </c>
      <c r="E126" s="146" t="s">
        <v>2467</v>
      </c>
      <c r="F126" s="141">
        <v>7702057837655</v>
      </c>
    </row>
    <row r="127" spans="1:27" ht="28.5">
      <c r="A127" t="s">
        <v>2053</v>
      </c>
      <c r="B127" s="39">
        <v>1</v>
      </c>
      <c r="C127" s="40">
        <v>0</v>
      </c>
      <c r="D127" s="39" t="s">
        <v>227</v>
      </c>
      <c r="E127" s="22" t="s">
        <v>107</v>
      </c>
      <c r="F127">
        <v>7702057711368</v>
      </c>
    </row>
    <row r="128" spans="1:27" ht="30">
      <c r="A128" s="19" t="s">
        <v>2454</v>
      </c>
      <c r="B128" s="19">
        <v>1</v>
      </c>
      <c r="C128" s="126">
        <v>0</v>
      </c>
      <c r="D128" s="19" t="s">
        <v>103</v>
      </c>
      <c r="E128" s="43" t="s">
        <v>2455</v>
      </c>
      <c r="F128" s="19">
        <v>7709492276681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7">
      <c r="A129" s="304"/>
      <c r="B129" s="304"/>
      <c r="C129" s="344"/>
      <c r="D129" s="304"/>
      <c r="E129" s="304"/>
      <c r="F129" s="304"/>
      <c r="G129" s="304"/>
      <c r="H129" s="304"/>
      <c r="I129" s="304"/>
      <c r="J129" s="304"/>
      <c r="K129" s="304"/>
      <c r="L129" s="304"/>
      <c r="M129" s="304"/>
      <c r="N129" s="304"/>
      <c r="O129" s="304"/>
      <c r="P129" s="304"/>
      <c r="Q129" s="304"/>
      <c r="R129" s="304"/>
      <c r="S129" s="304"/>
      <c r="T129" s="304"/>
      <c r="U129" s="304"/>
      <c r="V129" s="304"/>
      <c r="W129" s="304"/>
      <c r="X129" s="304"/>
      <c r="Y129" s="304"/>
      <c r="Z129" s="304"/>
      <c r="AA129" s="304"/>
    </row>
    <row r="130" spans="1:27" s="141" customFormat="1" ht="28.5">
      <c r="A130" s="69" t="s">
        <v>2468</v>
      </c>
      <c r="B130" s="71">
        <v>1</v>
      </c>
      <c r="C130" s="206">
        <v>0</v>
      </c>
      <c r="D130" s="207" t="s">
        <v>2469</v>
      </c>
      <c r="E130" s="69" t="s">
        <v>2470</v>
      </c>
      <c r="F130" s="71">
        <v>7702132000295</v>
      </c>
      <c r="G130" s="71"/>
      <c r="H130" s="71"/>
      <c r="I130" s="71"/>
      <c r="J130" s="71"/>
      <c r="K130" s="71"/>
      <c r="L130" s="71"/>
      <c r="M130" s="71"/>
      <c r="N130" s="71"/>
      <c r="O130" s="71"/>
    </row>
    <row r="131" spans="1:27">
      <c r="A131" s="304"/>
      <c r="B131" s="304"/>
      <c r="C131" s="344"/>
      <c r="D131" s="304"/>
      <c r="E131" s="304"/>
      <c r="F131" s="304"/>
      <c r="G131" s="304"/>
      <c r="H131" s="304"/>
      <c r="I131" s="304"/>
      <c r="J131" s="304"/>
      <c r="K131" s="304"/>
      <c r="L131" s="304"/>
      <c r="M131" s="304"/>
      <c r="N131" s="304"/>
      <c r="O131" s="304"/>
      <c r="P131" s="304"/>
      <c r="Q131" s="304"/>
      <c r="R131" s="304"/>
      <c r="S131" s="304"/>
      <c r="T131" s="304"/>
      <c r="U131" s="304"/>
      <c r="V131" s="304"/>
      <c r="W131" s="304"/>
      <c r="X131" s="304"/>
      <c r="Y131" s="304"/>
      <c r="Z131" s="304"/>
      <c r="AA131" s="304"/>
    </row>
    <row r="132" spans="1:27">
      <c r="A132" s="24" t="s">
        <v>1982</v>
      </c>
      <c r="B132" s="30">
        <v>3</v>
      </c>
      <c r="C132" s="31">
        <v>0</v>
      </c>
      <c r="D132" s="30" t="s">
        <v>818</v>
      </c>
      <c r="E132" s="8" t="s">
        <v>1248</v>
      </c>
      <c r="F132" s="28">
        <v>7703712035362</v>
      </c>
    </row>
    <row r="133" spans="1:27" ht="28.5">
      <c r="A133" s="69" t="s">
        <v>1660</v>
      </c>
      <c r="B133" s="14">
        <v>1</v>
      </c>
      <c r="C133" s="105">
        <v>0</v>
      </c>
      <c r="D133" s="14" t="s">
        <v>1661</v>
      </c>
      <c r="E133" s="69" t="s">
        <v>1662</v>
      </c>
      <c r="F133" s="28">
        <v>7702057080426</v>
      </c>
    </row>
    <row r="134" spans="1:27" ht="29.25">
      <c r="A134" s="22" t="s">
        <v>1232</v>
      </c>
      <c r="B134" s="41">
        <v>1</v>
      </c>
      <c r="C134" s="269">
        <v>0.19</v>
      </c>
      <c r="D134" s="38" t="s">
        <v>1116</v>
      </c>
      <c r="E134" s="22" t="s">
        <v>1234</v>
      </c>
      <c r="F134" s="22">
        <v>7896009498091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19"/>
    </row>
    <row r="135" spans="1:27" ht="28.5">
      <c r="A135" s="22" t="s">
        <v>1211</v>
      </c>
      <c r="B135" s="41">
        <v>2</v>
      </c>
      <c r="C135" s="269">
        <v>0.19</v>
      </c>
      <c r="D135" s="38" t="s">
        <v>1212</v>
      </c>
      <c r="E135" s="22" t="s">
        <v>1213</v>
      </c>
      <c r="F135" s="22">
        <v>7707397792763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 spans="1:27" ht="28.5">
      <c r="A136" s="24" t="s">
        <v>1946</v>
      </c>
      <c r="B136" s="24">
        <v>1</v>
      </c>
      <c r="C136" s="311">
        <v>0</v>
      </c>
      <c r="D136" s="30" t="s">
        <v>7</v>
      </c>
      <c r="E136" s="24" t="s">
        <v>1947</v>
      </c>
      <c r="F136" s="24">
        <v>7702184592021</v>
      </c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7" ht="28.5">
      <c r="A137" t="s">
        <v>1498</v>
      </c>
      <c r="B137">
        <v>2</v>
      </c>
      <c r="C137" s="133">
        <v>0</v>
      </c>
      <c r="D137" t="s">
        <v>2471</v>
      </c>
      <c r="E137" s="22" t="s">
        <v>1500</v>
      </c>
      <c r="F137">
        <v>7707019312836</v>
      </c>
    </row>
    <row r="138" spans="1:27" ht="28.5">
      <c r="A138" s="64" t="s">
        <v>727</v>
      </c>
      <c r="B138" s="102">
        <v>1</v>
      </c>
      <c r="C138" s="312">
        <v>0</v>
      </c>
      <c r="D138" s="313" t="s">
        <v>23</v>
      </c>
      <c r="E138" s="64" t="s">
        <v>75</v>
      </c>
      <c r="F138" s="68">
        <v>7707355053363</v>
      </c>
    </row>
    <row r="139" spans="1:27" ht="28.5">
      <c r="A139" s="64" t="s">
        <v>727</v>
      </c>
      <c r="B139" s="102">
        <v>2</v>
      </c>
      <c r="C139" s="312">
        <v>0</v>
      </c>
      <c r="D139" s="313" t="s">
        <v>23</v>
      </c>
      <c r="E139" s="64" t="s">
        <v>75</v>
      </c>
      <c r="F139" s="68">
        <v>7707355053363</v>
      </c>
    </row>
    <row r="140" spans="1:27" ht="28.5">
      <c r="A140" s="22" t="s">
        <v>593</v>
      </c>
      <c r="B140">
        <v>3</v>
      </c>
      <c r="C140" s="133">
        <v>0</v>
      </c>
      <c r="D140" s="183" t="s">
        <v>32</v>
      </c>
      <c r="E140" s="22" t="s">
        <v>594</v>
      </c>
      <c r="F140">
        <v>7709930569436</v>
      </c>
    </row>
    <row r="141" spans="1:27" ht="28.5">
      <c r="A141" s="22" t="s">
        <v>593</v>
      </c>
      <c r="B141">
        <v>3</v>
      </c>
      <c r="C141" s="133">
        <v>0</v>
      </c>
      <c r="D141" s="183" t="s">
        <v>32</v>
      </c>
      <c r="E141" s="22" t="s">
        <v>594</v>
      </c>
      <c r="F141">
        <v>7709930569436</v>
      </c>
    </row>
    <row r="142" spans="1:27">
      <c r="A142" t="s">
        <v>231</v>
      </c>
      <c r="B142">
        <v>10</v>
      </c>
      <c r="C142" s="133">
        <v>0</v>
      </c>
      <c r="D142" t="s">
        <v>232</v>
      </c>
      <c r="E142" t="s">
        <v>233</v>
      </c>
      <c r="F142">
        <v>7707019381627</v>
      </c>
    </row>
    <row r="143" spans="1:27" s="304" customFormat="1">
      <c r="C143" s="344"/>
    </row>
    <row r="144" spans="1:27">
      <c r="A144" s="24" t="s">
        <v>429</v>
      </c>
      <c r="B144" s="30">
        <v>2</v>
      </c>
      <c r="C144" s="31">
        <v>0</v>
      </c>
      <c r="D144" s="98" t="s">
        <v>430</v>
      </c>
      <c r="E144" s="7" t="s">
        <v>431</v>
      </c>
      <c r="F144" s="28">
        <v>7703038050056</v>
      </c>
      <c r="G144" s="28"/>
      <c r="H144" s="28"/>
      <c r="I144" s="28"/>
      <c r="J144" s="28"/>
      <c r="K144" s="28"/>
      <c r="L144" s="28" t="s">
        <v>432</v>
      </c>
      <c r="M144" s="28" t="s">
        <v>432</v>
      </c>
      <c r="N144" s="28" t="s">
        <v>432</v>
      </c>
      <c r="O144" s="28" t="s">
        <v>432</v>
      </c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8" ht="28.5">
      <c r="A145" s="64" t="s">
        <v>2472</v>
      </c>
      <c r="B145" s="100">
        <v>2</v>
      </c>
      <c r="C145" s="312">
        <v>0</v>
      </c>
      <c r="D145" s="314" t="s">
        <v>625</v>
      </c>
      <c r="E145" s="64" t="s">
        <v>1558</v>
      </c>
      <c r="F145" s="68">
        <v>7709141546011</v>
      </c>
    </row>
    <row r="146" spans="1:28" ht="28.5">
      <c r="A146" t="s">
        <v>2473</v>
      </c>
      <c r="B146">
        <v>8</v>
      </c>
      <c r="C146" s="133">
        <v>0</v>
      </c>
      <c r="D146" t="s">
        <v>7</v>
      </c>
      <c r="E146" s="22" t="s">
        <v>1723</v>
      </c>
      <c r="F146">
        <v>7709923870518</v>
      </c>
    </row>
    <row r="147" spans="1:28" ht="28.5">
      <c r="A147" s="28" t="s">
        <v>1122</v>
      </c>
      <c r="B147" s="8">
        <v>2</v>
      </c>
      <c r="C147" s="9">
        <v>0</v>
      </c>
      <c r="D147" s="203" t="s">
        <v>123</v>
      </c>
      <c r="E147" s="24" t="s">
        <v>63</v>
      </c>
      <c r="F147" s="28">
        <v>7702418004351</v>
      </c>
    </row>
    <row r="148" spans="1:28" ht="30">
      <c r="A148" s="18" t="s">
        <v>1074</v>
      </c>
      <c r="B148" s="18">
        <v>2</v>
      </c>
      <c r="C148" s="184">
        <v>0.19</v>
      </c>
      <c r="D148" s="184" t="s">
        <v>2474</v>
      </c>
      <c r="E148" s="16" t="s">
        <v>1076</v>
      </c>
      <c r="F148" s="20">
        <v>7702123013891</v>
      </c>
    </row>
    <row r="149" spans="1:28" ht="30">
      <c r="A149" s="16" t="s">
        <v>510</v>
      </c>
      <c r="B149" s="17">
        <v>6</v>
      </c>
      <c r="C149" s="124">
        <v>0</v>
      </c>
      <c r="D149" s="204" t="s">
        <v>59</v>
      </c>
      <c r="E149" s="73" t="s">
        <v>511</v>
      </c>
      <c r="F149" s="28">
        <v>7703038060994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spans="1:28" ht="28.5">
      <c r="A150" s="64" t="s">
        <v>2475</v>
      </c>
      <c r="B150" s="102">
        <v>6</v>
      </c>
      <c r="C150" s="101">
        <v>0</v>
      </c>
      <c r="D150" s="125" t="s">
        <v>118</v>
      </c>
      <c r="E150" s="64" t="s">
        <v>75</v>
      </c>
      <c r="F150" s="68">
        <v>7703038020134</v>
      </c>
    </row>
    <row r="151" spans="1:28" ht="28.5">
      <c r="A151" t="s">
        <v>2476</v>
      </c>
      <c r="B151">
        <v>1</v>
      </c>
      <c r="C151" s="133">
        <v>0</v>
      </c>
      <c r="D151" t="s">
        <v>384</v>
      </c>
      <c r="E151" s="22" t="s">
        <v>2477</v>
      </c>
      <c r="F151">
        <v>7703712033641</v>
      </c>
    </row>
    <row r="152" spans="1:28" s="304" customFormat="1">
      <c r="C152" s="344"/>
    </row>
    <row r="153" spans="1:28" ht="15">
      <c r="A153" s="130" t="s">
        <v>2478</v>
      </c>
      <c r="B153" s="130">
        <v>4</v>
      </c>
      <c r="C153" s="131">
        <v>0</v>
      </c>
      <c r="D153" s="279" t="s">
        <v>1477</v>
      </c>
      <c r="E153" s="130" t="s">
        <v>116</v>
      </c>
      <c r="F153" s="130">
        <v>7704412870383</v>
      </c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28" ht="30">
      <c r="A154" s="45" t="s">
        <v>555</v>
      </c>
      <c r="B154" s="74">
        <v>4</v>
      </c>
      <c r="C154" s="75">
        <v>0</v>
      </c>
      <c r="D154" s="74" t="s">
        <v>2479</v>
      </c>
      <c r="E154" s="76" t="s">
        <v>556</v>
      </c>
      <c r="F154" s="77">
        <v>7707288826935</v>
      </c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8" s="304" customFormat="1">
      <c r="C155" s="344"/>
    </row>
    <row r="156" spans="1:28" ht="30">
      <c r="A156" s="16" t="s">
        <v>371</v>
      </c>
      <c r="B156" s="32">
        <v>1</v>
      </c>
      <c r="C156" s="72">
        <v>0</v>
      </c>
      <c r="D156" s="83" t="s">
        <v>85</v>
      </c>
      <c r="E156" s="16" t="s">
        <v>251</v>
      </c>
      <c r="F156" s="20">
        <v>7702057010874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8" ht="15">
      <c r="A157" s="53" t="s">
        <v>1706</v>
      </c>
      <c r="B157" s="96">
        <v>1</v>
      </c>
      <c r="C157" s="97">
        <v>0</v>
      </c>
      <c r="D157" s="120" t="s">
        <v>85</v>
      </c>
      <c r="E157" s="53" t="s">
        <v>251</v>
      </c>
      <c r="F157" s="53">
        <v>7702057010928</v>
      </c>
      <c r="G157" s="53"/>
      <c r="H157" s="53"/>
      <c r="I157" s="53"/>
      <c r="J157" s="53"/>
      <c r="K157" s="53"/>
      <c r="L157" s="53"/>
      <c r="M157" s="53"/>
      <c r="N157" s="53"/>
      <c r="O157" s="53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8" ht="30">
      <c r="A158" s="43" t="s">
        <v>2480</v>
      </c>
      <c r="B158" s="117">
        <v>1</v>
      </c>
      <c r="C158" s="345">
        <v>0</v>
      </c>
      <c r="D158" s="119" t="s">
        <v>85</v>
      </c>
      <c r="E158" s="16" t="s">
        <v>251</v>
      </c>
      <c r="F158" s="115">
        <v>7702057012298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8" ht="15">
      <c r="A159" s="16" t="s">
        <v>2180</v>
      </c>
      <c r="B159" s="17">
        <v>1</v>
      </c>
      <c r="C159" s="124">
        <v>0</v>
      </c>
      <c r="D159" s="17" t="s">
        <v>85</v>
      </c>
      <c r="E159" s="18" t="s">
        <v>251</v>
      </c>
      <c r="F159" s="18">
        <v>7702057015428</v>
      </c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8" ht="28.5">
      <c r="A160" t="s">
        <v>1610</v>
      </c>
      <c r="B160">
        <v>1</v>
      </c>
      <c r="C160" s="133">
        <v>0</v>
      </c>
      <c r="D160" s="172" t="s">
        <v>1040</v>
      </c>
      <c r="E160" s="22" t="s">
        <v>1611</v>
      </c>
      <c r="F160">
        <v>7501098608084</v>
      </c>
    </row>
    <row r="161" spans="1:26" ht="28.5">
      <c r="A161" t="s">
        <v>1610</v>
      </c>
      <c r="B161">
        <v>1</v>
      </c>
      <c r="C161" s="133">
        <v>0</v>
      </c>
      <c r="D161" s="172" t="s">
        <v>1040</v>
      </c>
      <c r="E161" s="22" t="s">
        <v>1611</v>
      </c>
      <c r="F161">
        <v>7501098608084</v>
      </c>
    </row>
    <row r="162" spans="1:26">
      <c r="A162" s="64" t="s">
        <v>440</v>
      </c>
      <c r="B162" s="102">
        <v>2</v>
      </c>
      <c r="C162" s="101">
        <v>0</v>
      </c>
      <c r="D162" s="102" t="s">
        <v>1886</v>
      </c>
      <c r="E162" s="64" t="s">
        <v>116</v>
      </c>
      <c r="F162" s="103">
        <v>7707288820254</v>
      </c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26" ht="28.5">
      <c r="A163" t="s">
        <v>1508</v>
      </c>
      <c r="B163">
        <v>2</v>
      </c>
      <c r="C163" s="133">
        <v>0</v>
      </c>
      <c r="D163" t="s">
        <v>53</v>
      </c>
      <c r="E163" s="22" t="s">
        <v>1509</v>
      </c>
      <c r="F163">
        <v>7702184876732</v>
      </c>
    </row>
    <row r="164" spans="1:26" s="304" customFormat="1">
      <c r="C164" s="344"/>
    </row>
    <row r="165" spans="1:26" ht="28.5">
      <c r="A165" t="s">
        <v>2481</v>
      </c>
      <c r="B165">
        <v>5</v>
      </c>
      <c r="C165" s="133">
        <v>0</v>
      </c>
      <c r="D165" t="s">
        <v>7</v>
      </c>
      <c r="E165" s="22" t="s">
        <v>2482</v>
      </c>
      <c r="F165">
        <v>7706569001269</v>
      </c>
    </row>
    <row r="166" spans="1:26">
      <c r="A166" s="24" t="s">
        <v>693</v>
      </c>
      <c r="B166" s="12">
        <v>6</v>
      </c>
      <c r="C166" s="59">
        <v>0</v>
      </c>
      <c r="D166" s="12" t="s">
        <v>694</v>
      </c>
      <c r="E166" s="28" t="s">
        <v>695</v>
      </c>
      <c r="F166" s="63">
        <v>7707274721053</v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 spans="1:26">
      <c r="A167" s="71" t="s">
        <v>1247</v>
      </c>
      <c r="B167" s="71">
        <v>1</v>
      </c>
      <c r="C167" s="206">
        <v>0</v>
      </c>
      <c r="D167" s="14" t="s">
        <v>53</v>
      </c>
      <c r="E167" s="69" t="s">
        <v>1248</v>
      </c>
      <c r="F167" s="71">
        <v>7703038050247</v>
      </c>
      <c r="G167" s="71"/>
      <c r="H167" s="71"/>
      <c r="I167" s="71"/>
      <c r="J167" s="71"/>
      <c r="K167" s="71"/>
      <c r="L167" s="71"/>
      <c r="M167" s="71"/>
      <c r="N167" s="71"/>
      <c r="O167" s="71"/>
    </row>
    <row r="168" spans="1:26" ht="30">
      <c r="A168" s="53" t="s">
        <v>770</v>
      </c>
      <c r="B168" s="153">
        <v>4</v>
      </c>
      <c r="C168" s="55">
        <v>0</v>
      </c>
      <c r="D168" s="153" t="s">
        <v>1270</v>
      </c>
      <c r="E168" s="152" t="s">
        <v>165</v>
      </c>
      <c r="F168" s="155">
        <v>7501033957369</v>
      </c>
    </row>
    <row r="169" spans="1:26" ht="30">
      <c r="A169" s="53" t="s">
        <v>771</v>
      </c>
      <c r="B169" s="53">
        <v>4</v>
      </c>
      <c r="C169" s="122">
        <v>0</v>
      </c>
      <c r="D169" s="123" t="s">
        <v>1270</v>
      </c>
      <c r="E169" s="56" t="s">
        <v>165</v>
      </c>
      <c r="F169" s="53">
        <v>7501033957413</v>
      </c>
      <c r="G169" s="53"/>
      <c r="H169" s="53"/>
      <c r="I169" s="53"/>
      <c r="J169" s="53"/>
      <c r="K169" s="53"/>
      <c r="L169" s="53"/>
      <c r="M169" s="53"/>
      <c r="N169" s="53"/>
      <c r="O169" s="53"/>
    </row>
    <row r="170" spans="1:26" ht="30">
      <c r="A170" s="32" t="s">
        <v>370</v>
      </c>
      <c r="B170" s="30">
        <v>4</v>
      </c>
      <c r="C170" s="31">
        <v>0</v>
      </c>
      <c r="D170" s="98" t="s">
        <v>1270</v>
      </c>
      <c r="E170" s="73" t="s">
        <v>165</v>
      </c>
      <c r="F170" s="32">
        <v>7501033957376</v>
      </c>
    </row>
    <row r="171" spans="1:26" ht="28.5">
      <c r="A171" s="69" t="s">
        <v>788</v>
      </c>
      <c r="B171" s="14">
        <v>10</v>
      </c>
      <c r="C171" s="105">
        <v>0</v>
      </c>
      <c r="D171" s="137" t="s">
        <v>519</v>
      </c>
      <c r="E171" s="13" t="s">
        <v>789</v>
      </c>
      <c r="F171" s="61">
        <v>7705366102063</v>
      </c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28.5">
      <c r="A172" s="24" t="s">
        <v>1964</v>
      </c>
      <c r="B172" s="8">
        <v>2</v>
      </c>
      <c r="C172" s="40">
        <v>0</v>
      </c>
      <c r="D172" s="94" t="s">
        <v>1080</v>
      </c>
      <c r="E172" s="24" t="s">
        <v>1965</v>
      </c>
      <c r="F172" s="28">
        <v>7706142707106</v>
      </c>
      <c r="G172" s="28"/>
    </row>
    <row r="173" spans="1:26" ht="28.5">
      <c r="A173" s="22" t="s">
        <v>753</v>
      </c>
      <c r="B173">
        <v>3</v>
      </c>
      <c r="C173" s="133">
        <v>0</v>
      </c>
      <c r="D173" s="172" t="s">
        <v>585</v>
      </c>
      <c r="E173" s="22" t="s">
        <v>754</v>
      </c>
      <c r="F173">
        <v>8903726224403</v>
      </c>
    </row>
    <row r="174" spans="1:26">
      <c r="A174" t="s">
        <v>317</v>
      </c>
      <c r="B174" s="23">
        <v>4</v>
      </c>
      <c r="C174" s="51">
        <v>19</v>
      </c>
      <c r="D174" s="172" t="s">
        <v>10</v>
      </c>
      <c r="E174" s="22" t="s">
        <v>319</v>
      </c>
      <c r="F174">
        <v>7707165900161</v>
      </c>
    </row>
    <row r="175" spans="1:26">
      <c r="A175" s="69" t="s">
        <v>712</v>
      </c>
      <c r="B175" s="23">
        <v>2</v>
      </c>
      <c r="C175" s="136">
        <v>0.19</v>
      </c>
      <c r="D175" s="161" t="s">
        <v>32</v>
      </c>
      <c r="E175" s="69" t="s">
        <v>713</v>
      </c>
      <c r="F175" s="61">
        <v>7707165900178</v>
      </c>
      <c r="G175" s="28"/>
    </row>
    <row r="176" spans="1:26" ht="28.5">
      <c r="A176" s="22" t="s">
        <v>2483</v>
      </c>
      <c r="B176">
        <v>2</v>
      </c>
      <c r="C176" s="133">
        <v>0</v>
      </c>
      <c r="D176" s="23" t="s">
        <v>2484</v>
      </c>
      <c r="E176" s="22" t="s">
        <v>2485</v>
      </c>
      <c r="F176">
        <v>7702006404297</v>
      </c>
    </row>
    <row r="177" spans="1:26" s="304" customFormat="1">
      <c r="C177" s="344"/>
    </row>
    <row r="178" spans="1:26" ht="15">
      <c r="A178" s="278" t="s">
        <v>1154</v>
      </c>
      <c r="B178" s="130">
        <v>4</v>
      </c>
      <c r="C178" s="131">
        <v>0</v>
      </c>
      <c r="D178" s="315" t="s">
        <v>227</v>
      </c>
      <c r="E178" s="130" t="s">
        <v>827</v>
      </c>
      <c r="F178" s="130">
        <v>8903726224441</v>
      </c>
      <c r="G178" s="28"/>
    </row>
    <row r="179" spans="1:26">
      <c r="A179" s="22" t="s">
        <v>614</v>
      </c>
      <c r="B179" s="23">
        <v>5</v>
      </c>
      <c r="C179" s="51">
        <v>0</v>
      </c>
      <c r="D179" s="23" t="s">
        <v>29</v>
      </c>
      <c r="E179" t="s">
        <v>615</v>
      </c>
      <c r="F179">
        <v>7702057075231</v>
      </c>
    </row>
    <row r="180" spans="1:26">
      <c r="A180" t="s">
        <v>2486</v>
      </c>
      <c r="B180" s="23">
        <v>1</v>
      </c>
      <c r="C180" s="51">
        <v>0</v>
      </c>
      <c r="D180" s="23" t="s">
        <v>2487</v>
      </c>
      <c r="E180" t="s">
        <v>2488</v>
      </c>
      <c r="F180">
        <v>7707670345013</v>
      </c>
    </row>
    <row r="181" spans="1:26" ht="28.5">
      <c r="A181" s="28" t="s">
        <v>22</v>
      </c>
      <c r="B181" s="30">
        <v>4</v>
      </c>
      <c r="C181" s="31">
        <v>0</v>
      </c>
      <c r="D181" s="30" t="s">
        <v>23</v>
      </c>
      <c r="E181" s="24" t="s">
        <v>24</v>
      </c>
      <c r="F181" s="28">
        <v>7705959885229</v>
      </c>
    </row>
    <row r="182" spans="1:26">
      <c r="A182" t="s">
        <v>2489</v>
      </c>
      <c r="B182">
        <v>2</v>
      </c>
      <c r="C182" s="133">
        <v>0</v>
      </c>
      <c r="D182" s="134" t="s">
        <v>2490</v>
      </c>
      <c r="E182" s="22" t="s">
        <v>2491</v>
      </c>
      <c r="F182">
        <v>7707270363660</v>
      </c>
    </row>
    <row r="183" spans="1:26" ht="28.5">
      <c r="A183" t="s">
        <v>1311</v>
      </c>
      <c r="B183">
        <v>2</v>
      </c>
      <c r="C183" s="133">
        <v>0</v>
      </c>
      <c r="D183" t="s">
        <v>53</v>
      </c>
      <c r="E183" s="22" t="s">
        <v>83</v>
      </c>
      <c r="F183">
        <v>7706849115921</v>
      </c>
    </row>
    <row r="184" spans="1:26" ht="28.5">
      <c r="A184" s="22" t="s">
        <v>631</v>
      </c>
      <c r="B184" s="23">
        <v>2</v>
      </c>
      <c r="C184" s="122">
        <v>0</v>
      </c>
      <c r="D184" s="225" t="s">
        <v>453</v>
      </c>
      <c r="E184" t="s">
        <v>632</v>
      </c>
      <c r="F184">
        <v>7703038065470</v>
      </c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 spans="1:26" ht="30">
      <c r="A185" s="18" t="s">
        <v>2492</v>
      </c>
      <c r="B185" s="32">
        <v>2</v>
      </c>
      <c r="C185" s="72">
        <v>0.19</v>
      </c>
      <c r="D185" s="290" t="s">
        <v>497</v>
      </c>
      <c r="E185" s="16" t="s">
        <v>2493</v>
      </c>
      <c r="F185" s="20">
        <v>7702123013846</v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 spans="1:26">
      <c r="A186" t="s">
        <v>2494</v>
      </c>
      <c r="B186">
        <v>5</v>
      </c>
      <c r="C186" s="133">
        <v>0</v>
      </c>
      <c r="D186" s="23" t="s">
        <v>2495</v>
      </c>
      <c r="E186" s="22" t="s">
        <v>2496</v>
      </c>
      <c r="F186" s="42">
        <v>7704412004085</v>
      </c>
    </row>
    <row r="187" spans="1:26" ht="28.5">
      <c r="A187" s="22" t="s">
        <v>2497</v>
      </c>
      <c r="B187">
        <v>2</v>
      </c>
      <c r="C187" s="133">
        <v>0.19</v>
      </c>
      <c r="D187" s="23" t="s">
        <v>38</v>
      </c>
      <c r="E187" s="22" t="s">
        <v>2498</v>
      </c>
      <c r="F187">
        <v>7702006301442</v>
      </c>
    </row>
    <row r="188" spans="1:26" ht="30">
      <c r="A188" s="73" t="s">
        <v>325</v>
      </c>
      <c r="B188" s="17">
        <v>3</v>
      </c>
      <c r="C188" s="124">
        <v>0</v>
      </c>
      <c r="D188" s="17" t="s">
        <v>26</v>
      </c>
      <c r="E188" s="73" t="s">
        <v>326</v>
      </c>
      <c r="F188" s="110">
        <v>7702057012007</v>
      </c>
    </row>
    <row r="189" spans="1:26" ht="15">
      <c r="A189" s="39" t="s">
        <v>2290</v>
      </c>
      <c r="B189" s="23">
        <v>1</v>
      </c>
      <c r="C189" s="51">
        <v>0</v>
      </c>
      <c r="D189" s="23" t="s">
        <v>2499</v>
      </c>
      <c r="E189" s="23" t="s">
        <v>2292</v>
      </c>
      <c r="F189" s="23">
        <v>7703445109057</v>
      </c>
      <c r="G189" s="23"/>
      <c r="H189" s="23"/>
      <c r="I189" s="23"/>
      <c r="J189" s="23"/>
      <c r="K189" s="23"/>
      <c r="L189" s="23"/>
      <c r="M189" s="23"/>
      <c r="N189" s="23"/>
      <c r="O189" s="23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28.5">
      <c r="A190" t="s">
        <v>2273</v>
      </c>
      <c r="B190">
        <v>8</v>
      </c>
      <c r="C190" s="133">
        <v>0</v>
      </c>
      <c r="D190" t="s">
        <v>408</v>
      </c>
      <c r="E190" s="22" t="s">
        <v>1723</v>
      </c>
      <c r="F190">
        <v>7707226436301</v>
      </c>
    </row>
    <row r="191" spans="1:26" s="304" customFormat="1">
      <c r="C191" s="344"/>
    </row>
    <row r="192" spans="1:26" ht="28.5">
      <c r="A192" s="71" t="s">
        <v>6</v>
      </c>
      <c r="B192" s="14">
        <v>2</v>
      </c>
      <c r="C192" s="105">
        <v>0</v>
      </c>
      <c r="D192" s="137" t="s">
        <v>7</v>
      </c>
      <c r="E192" s="69" t="s">
        <v>8</v>
      </c>
      <c r="F192" s="61">
        <v>7703038067269</v>
      </c>
    </row>
    <row r="193" spans="1:26" ht="28.5">
      <c r="A193" s="12" t="s">
        <v>1874</v>
      </c>
      <c r="B193" s="12">
        <v>4</v>
      </c>
      <c r="C193" s="59">
        <v>0</v>
      </c>
      <c r="D193" s="12" t="s">
        <v>80</v>
      </c>
      <c r="E193" s="121" t="s">
        <v>8</v>
      </c>
      <c r="F193" s="61">
        <v>7703038065630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spans="1:26" ht="28.5">
      <c r="A194" s="71" t="s">
        <v>2500</v>
      </c>
      <c r="B194" s="71">
        <v>1</v>
      </c>
      <c r="C194" s="316">
        <v>0</v>
      </c>
      <c r="D194" s="317" t="s">
        <v>74</v>
      </c>
      <c r="E194" s="69" t="s">
        <v>1131</v>
      </c>
      <c r="F194" s="61">
        <v>7707313289957</v>
      </c>
      <c r="Z194" s="23"/>
    </row>
    <row r="195" spans="1:26" ht="28.5">
      <c r="A195" s="146" t="s">
        <v>1130</v>
      </c>
      <c r="B195" s="147">
        <v>1</v>
      </c>
      <c r="C195" s="148">
        <v>0</v>
      </c>
      <c r="D195" s="158" t="s">
        <v>74</v>
      </c>
      <c r="E195" s="146" t="s">
        <v>1131</v>
      </c>
      <c r="F195" s="141">
        <v>7707313289520</v>
      </c>
      <c r="G195" s="169"/>
    </row>
    <row r="196" spans="1:26" ht="57">
      <c r="A196" s="22" t="s">
        <v>211</v>
      </c>
      <c r="B196" s="22">
        <v>5</v>
      </c>
      <c r="C196" s="175">
        <v>0</v>
      </c>
      <c r="D196" s="176" t="s">
        <v>10</v>
      </c>
      <c r="E196" s="22" t="s">
        <v>212</v>
      </c>
      <c r="F196" s="22">
        <v>7703038878728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>
      <c r="A197" s="28" t="s">
        <v>160</v>
      </c>
      <c r="B197" s="28">
        <v>4</v>
      </c>
      <c r="C197" s="192">
        <v>0</v>
      </c>
      <c r="D197" s="31" t="s">
        <v>23</v>
      </c>
      <c r="E197" s="28" t="s">
        <v>161</v>
      </c>
      <c r="F197" s="28">
        <v>7704412118546</v>
      </c>
    </row>
    <row r="198" spans="1:26">
      <c r="A198" s="24" t="s">
        <v>2501</v>
      </c>
      <c r="B198" s="30">
        <v>1</v>
      </c>
      <c r="C198" s="31">
        <v>0.19</v>
      </c>
      <c r="D198" s="99" t="s">
        <v>91</v>
      </c>
      <c r="E198" s="28" t="s">
        <v>2502</v>
      </c>
      <c r="F198" s="28">
        <v>650240032677</v>
      </c>
    </row>
    <row r="199" spans="1:26" ht="28.5">
      <c r="A199" s="71" t="s">
        <v>1819</v>
      </c>
      <c r="B199" s="14">
        <v>6</v>
      </c>
      <c r="C199" s="105">
        <v>0</v>
      </c>
      <c r="D199" s="14" t="s">
        <v>7</v>
      </c>
      <c r="E199" s="69" t="s">
        <v>1820</v>
      </c>
      <c r="F199" s="71">
        <v>7703038061038</v>
      </c>
      <c r="G199" s="71"/>
      <c r="H199" s="71"/>
      <c r="I199" s="71"/>
      <c r="J199" s="71"/>
      <c r="K199" s="71"/>
      <c r="L199" s="71"/>
      <c r="M199" s="71"/>
      <c r="N199" s="71"/>
      <c r="O199" s="71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 spans="1:26" ht="15">
      <c r="A200" s="69" t="s">
        <v>264</v>
      </c>
      <c r="B200" s="14">
        <v>1</v>
      </c>
      <c r="C200" s="55">
        <v>0</v>
      </c>
      <c r="D200" s="225" t="s">
        <v>214</v>
      </c>
      <c r="E200" s="12" t="s">
        <v>265</v>
      </c>
      <c r="F200" s="71">
        <v>7702870071502</v>
      </c>
    </row>
    <row r="201" spans="1:26" ht="30">
      <c r="A201" s="32" t="s">
        <v>370</v>
      </c>
      <c r="B201" s="30">
        <v>4</v>
      </c>
      <c r="C201" s="31">
        <v>0</v>
      </c>
      <c r="D201" s="98" t="s">
        <v>1270</v>
      </c>
      <c r="E201" s="73" t="s">
        <v>165</v>
      </c>
      <c r="F201" s="32">
        <v>7501033957376</v>
      </c>
    </row>
    <row r="202" spans="1:26">
      <c r="A202" s="8" t="s">
        <v>2503</v>
      </c>
      <c r="B202" s="30">
        <v>1</v>
      </c>
      <c r="C202" s="31">
        <v>0</v>
      </c>
      <c r="D202" s="98" t="s">
        <v>2504</v>
      </c>
      <c r="E202" s="8" t="s">
        <v>2505</v>
      </c>
      <c r="F202" s="8">
        <v>7703153032906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71" t="s">
        <v>2229</v>
      </c>
      <c r="B203" s="12">
        <v>1</v>
      </c>
      <c r="C203" s="59">
        <v>0.19</v>
      </c>
      <c r="D203" s="12" t="s">
        <v>1075</v>
      </c>
      <c r="E203" s="71" t="s">
        <v>2230</v>
      </c>
      <c r="F203" s="71">
        <v>7702057082130</v>
      </c>
      <c r="G203" s="71"/>
    </row>
    <row r="204" spans="1:26">
      <c r="A204" s="71" t="s">
        <v>1047</v>
      </c>
      <c r="B204" s="14">
        <v>1</v>
      </c>
      <c r="C204" s="105">
        <v>0.19</v>
      </c>
      <c r="D204" s="14" t="s">
        <v>26</v>
      </c>
      <c r="E204" s="71" t="s">
        <v>1048</v>
      </c>
      <c r="F204" s="71">
        <v>7702057089290</v>
      </c>
      <c r="G204" s="71"/>
      <c r="H204" s="71"/>
      <c r="I204" s="71"/>
      <c r="J204" s="71"/>
      <c r="K204" s="71"/>
      <c r="L204" s="71"/>
      <c r="M204" s="71"/>
      <c r="N204" s="71"/>
      <c r="O204" s="71"/>
    </row>
    <row r="205" spans="1:26" s="304" customFormat="1">
      <c r="C205" s="344"/>
    </row>
    <row r="206" spans="1:26">
      <c r="A206" t="s">
        <v>1930</v>
      </c>
      <c r="B206">
        <v>6</v>
      </c>
      <c r="C206" s="133">
        <v>0</v>
      </c>
      <c r="D206" s="23" t="s">
        <v>1477</v>
      </c>
      <c r="E206" t="s">
        <v>1473</v>
      </c>
      <c r="F206">
        <v>8903726176696</v>
      </c>
    </row>
    <row r="207" spans="1:26">
      <c r="A207" t="s">
        <v>1930</v>
      </c>
      <c r="B207">
        <v>2</v>
      </c>
      <c r="C207" s="133">
        <v>0</v>
      </c>
      <c r="D207" s="23" t="s">
        <v>1477</v>
      </c>
      <c r="E207" t="s">
        <v>1473</v>
      </c>
      <c r="F207">
        <v>8903726176696</v>
      </c>
    </row>
    <row r="208" spans="1:26" ht="28.5">
      <c r="A208" s="64" t="s">
        <v>1058</v>
      </c>
      <c r="B208" s="102">
        <v>2</v>
      </c>
      <c r="C208" s="101">
        <v>0</v>
      </c>
      <c r="D208" s="102" t="s">
        <v>1777</v>
      </c>
      <c r="E208" s="64" t="s">
        <v>1060</v>
      </c>
      <c r="F208" s="103">
        <v>7709225183033</v>
      </c>
      <c r="G208" s="28"/>
    </row>
    <row r="209" spans="1:26" ht="30">
      <c r="A209" s="16" t="s">
        <v>735</v>
      </c>
      <c r="B209" s="17">
        <v>10</v>
      </c>
      <c r="C209" s="124">
        <v>0</v>
      </c>
      <c r="D209" s="204" t="s">
        <v>80</v>
      </c>
      <c r="E209" s="16" t="s">
        <v>81</v>
      </c>
      <c r="F209" s="20">
        <v>7501125132056</v>
      </c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 spans="1:26" ht="28.5">
      <c r="A210" t="s">
        <v>2506</v>
      </c>
      <c r="B210">
        <v>2</v>
      </c>
      <c r="C210" s="133">
        <v>0.19</v>
      </c>
      <c r="D210" t="s">
        <v>74</v>
      </c>
      <c r="E210" s="22" t="s">
        <v>2507</v>
      </c>
      <c r="F210">
        <v>7891024123362</v>
      </c>
    </row>
    <row r="211" spans="1:26" ht="42.75">
      <c r="A211" s="22" t="s">
        <v>205</v>
      </c>
      <c r="B211">
        <v>1</v>
      </c>
      <c r="C211" s="133">
        <v>0.19</v>
      </c>
      <c r="D211" t="s">
        <v>888</v>
      </c>
      <c r="E211" s="22" t="s">
        <v>207</v>
      </c>
      <c r="F211">
        <v>7708636936016</v>
      </c>
    </row>
    <row r="212" spans="1:26" ht="28.5">
      <c r="A212" s="22" t="s">
        <v>2508</v>
      </c>
      <c r="B212">
        <v>1</v>
      </c>
      <c r="C212" s="133">
        <v>0</v>
      </c>
      <c r="D212" s="50" t="s">
        <v>348</v>
      </c>
      <c r="E212" s="22" t="s">
        <v>75</v>
      </c>
      <c r="F212">
        <v>7703445210012</v>
      </c>
    </row>
    <row r="213" spans="1:26">
      <c r="A213" s="22" t="s">
        <v>2509</v>
      </c>
      <c r="B213">
        <v>3</v>
      </c>
      <c r="C213" s="133">
        <v>0</v>
      </c>
      <c r="D213" s="183" t="s">
        <v>85</v>
      </c>
      <c r="E213" t="s">
        <v>2510</v>
      </c>
      <c r="F213">
        <v>7706569000682</v>
      </c>
    </row>
    <row r="214" spans="1:26">
      <c r="A214" s="22" t="s">
        <v>2509</v>
      </c>
      <c r="B214">
        <v>2</v>
      </c>
      <c r="C214" s="133">
        <v>0</v>
      </c>
      <c r="D214" s="183" t="s">
        <v>85</v>
      </c>
      <c r="E214" t="s">
        <v>2510</v>
      </c>
      <c r="F214">
        <v>7706569000682</v>
      </c>
    </row>
    <row r="215" spans="1:26">
      <c r="A215" s="41" t="s">
        <v>2414</v>
      </c>
      <c r="B215" s="23">
        <v>5</v>
      </c>
      <c r="C215" s="51">
        <v>0</v>
      </c>
      <c r="D215" s="23" t="s">
        <v>103</v>
      </c>
      <c r="E215" s="23" t="s">
        <v>2415</v>
      </c>
      <c r="F215" s="23">
        <v>7703712036376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28.5">
      <c r="A216" s="64" t="s">
        <v>197</v>
      </c>
      <c r="B216" s="102">
        <v>7</v>
      </c>
      <c r="C216" s="101">
        <v>0</v>
      </c>
      <c r="D216" s="102" t="s">
        <v>88</v>
      </c>
      <c r="E216" s="64" t="s">
        <v>198</v>
      </c>
      <c r="F216" s="68">
        <v>7709695236871</v>
      </c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23"/>
    </row>
    <row r="217" spans="1:26" ht="28.5">
      <c r="A217" s="22" t="s">
        <v>2511</v>
      </c>
      <c r="B217" s="23">
        <v>2</v>
      </c>
      <c r="C217" s="51">
        <v>0.19</v>
      </c>
      <c r="D217" s="238" t="s">
        <v>2512</v>
      </c>
      <c r="E217" s="22" t="s">
        <v>2513</v>
      </c>
      <c r="F217" s="42">
        <v>7702027440175</v>
      </c>
    </row>
    <row r="218" spans="1:26" ht="28.5">
      <c r="A218" t="s">
        <v>2514</v>
      </c>
      <c r="B218">
        <v>1</v>
      </c>
      <c r="C218" s="133">
        <v>0</v>
      </c>
      <c r="D218" t="s">
        <v>2222</v>
      </c>
      <c r="E218" s="22" t="s">
        <v>2515</v>
      </c>
      <c r="F218">
        <v>7703712036505</v>
      </c>
    </row>
    <row r="219" spans="1:26" s="304" customFormat="1">
      <c r="C219" s="344"/>
    </row>
    <row r="220" spans="1:26" ht="15">
      <c r="A220" s="74" t="s">
        <v>2190</v>
      </c>
      <c r="B220" s="36">
        <v>10</v>
      </c>
      <c r="C220" s="164">
        <v>0</v>
      </c>
      <c r="D220" s="36" t="s">
        <v>2516</v>
      </c>
      <c r="E220" s="36" t="s">
        <v>1773</v>
      </c>
      <c r="F220" s="36">
        <v>7707177972286</v>
      </c>
      <c r="G220" s="37"/>
      <c r="H220" s="37"/>
      <c r="I220" s="37"/>
      <c r="J220" s="37"/>
      <c r="K220" s="37"/>
      <c r="L220" s="37"/>
      <c r="M220" s="37"/>
      <c r="N220" s="37"/>
      <c r="O220" s="37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s="304" customFormat="1">
      <c r="C221" s="344"/>
    </row>
    <row r="222" spans="1:26" ht="15">
      <c r="A222" s="73" t="s">
        <v>2027</v>
      </c>
      <c r="B222" s="35">
        <v>1</v>
      </c>
      <c r="C222" s="307">
        <v>0</v>
      </c>
      <c r="D222" s="34" t="s">
        <v>188</v>
      </c>
      <c r="E222" s="73" t="s">
        <v>11</v>
      </c>
      <c r="F222" s="73">
        <v>7702870002766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 spans="1:26" ht="15">
      <c r="A223" s="45" t="s">
        <v>1982</v>
      </c>
      <c r="B223" s="74">
        <v>2</v>
      </c>
      <c r="C223" s="75">
        <v>0</v>
      </c>
      <c r="D223" s="74" t="s">
        <v>818</v>
      </c>
      <c r="E223" s="74" t="s">
        <v>1248</v>
      </c>
      <c r="F223" s="21">
        <v>7703712035362</v>
      </c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19"/>
    </row>
    <row r="224" spans="1:26">
      <c r="A224" s="24" t="s">
        <v>1388</v>
      </c>
      <c r="B224" s="28">
        <v>1</v>
      </c>
      <c r="C224" s="9">
        <v>0.19</v>
      </c>
      <c r="D224" s="99" t="s">
        <v>676</v>
      </c>
      <c r="E224" s="28" t="s">
        <v>1389</v>
      </c>
      <c r="F224" s="28">
        <v>7705471700390</v>
      </c>
    </row>
    <row r="225" spans="1:26">
      <c r="A225" s="24" t="s">
        <v>2517</v>
      </c>
      <c r="B225" s="8">
        <v>2</v>
      </c>
      <c r="C225" s="9">
        <v>0.19</v>
      </c>
      <c r="D225" s="10" t="s">
        <v>32</v>
      </c>
      <c r="E225" s="8" t="s">
        <v>2518</v>
      </c>
      <c r="F225" s="28">
        <v>7705471700383</v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 spans="1:26" ht="28.5">
      <c r="A226" s="22" t="s">
        <v>980</v>
      </c>
      <c r="B226" s="23">
        <v>3</v>
      </c>
      <c r="C226" s="51">
        <v>0</v>
      </c>
      <c r="D226" s="23" t="s">
        <v>355</v>
      </c>
      <c r="E226" s="41" t="s">
        <v>982</v>
      </c>
      <c r="F226" s="42">
        <v>7702605101801</v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28.5">
      <c r="A227" s="146" t="s">
        <v>1365</v>
      </c>
      <c r="B227" s="147">
        <v>2</v>
      </c>
      <c r="C227" s="148">
        <v>0</v>
      </c>
      <c r="D227" s="158" t="s">
        <v>88</v>
      </c>
      <c r="E227" s="159" t="s">
        <v>1367</v>
      </c>
      <c r="F227" s="160">
        <v>7703712010000</v>
      </c>
    </row>
    <row r="228" spans="1:26" ht="30">
      <c r="A228" s="18" t="s">
        <v>1074</v>
      </c>
      <c r="B228" s="18">
        <v>2</v>
      </c>
      <c r="C228" s="184">
        <v>0.19</v>
      </c>
      <c r="D228" s="184" t="s">
        <v>2474</v>
      </c>
      <c r="E228" s="16" t="s">
        <v>1076</v>
      </c>
      <c r="F228" s="20">
        <v>7702123013891</v>
      </c>
    </row>
    <row r="229" spans="1:26" ht="30">
      <c r="A229" s="18" t="s">
        <v>2492</v>
      </c>
      <c r="B229" s="32">
        <v>1</v>
      </c>
      <c r="C229" s="72">
        <v>0.19</v>
      </c>
      <c r="D229" s="290" t="s">
        <v>497</v>
      </c>
      <c r="E229" s="16" t="s">
        <v>2493</v>
      </c>
      <c r="F229" s="20">
        <v>7702123013846</v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 spans="1:26" ht="28.5">
      <c r="A230" t="s">
        <v>2519</v>
      </c>
      <c r="B230">
        <v>5</v>
      </c>
      <c r="C230" s="133">
        <v>0</v>
      </c>
      <c r="D230" t="s">
        <v>59</v>
      </c>
      <c r="E230" s="22" t="s">
        <v>2520</v>
      </c>
      <c r="F230">
        <v>7707364804246</v>
      </c>
    </row>
    <row r="231" spans="1:26" s="304" customFormat="1">
      <c r="C231" s="344"/>
    </row>
    <row r="232" spans="1:26" ht="28.5">
      <c r="A232" s="12" t="s">
        <v>1850</v>
      </c>
      <c r="B232" s="12">
        <v>8</v>
      </c>
      <c r="C232" s="70">
        <v>0</v>
      </c>
      <c r="D232" s="161" t="s">
        <v>10</v>
      </c>
      <c r="E232" s="13" t="s">
        <v>1851</v>
      </c>
      <c r="F232" s="12">
        <v>7703038859246</v>
      </c>
    </row>
    <row r="233" spans="1:26">
      <c r="A233" s="146" t="s">
        <v>852</v>
      </c>
      <c r="B233" s="147">
        <v>1</v>
      </c>
      <c r="C233" s="148">
        <v>0</v>
      </c>
      <c r="D233" s="147" t="s">
        <v>2222</v>
      </c>
      <c r="E233" s="159" t="s">
        <v>854</v>
      </c>
      <c r="F233" s="160">
        <v>7703153024796</v>
      </c>
    </row>
    <row r="234" spans="1:26" ht="28.5">
      <c r="A234" t="s">
        <v>2521</v>
      </c>
      <c r="B234">
        <v>3</v>
      </c>
      <c r="C234" s="133">
        <v>0</v>
      </c>
      <c r="D234" t="s">
        <v>103</v>
      </c>
      <c r="E234" s="22" t="s">
        <v>2522</v>
      </c>
      <c r="F234">
        <v>7707274724139</v>
      </c>
    </row>
    <row r="235" spans="1:26" s="304" customFormat="1">
      <c r="C235" s="344"/>
    </row>
    <row r="236" spans="1:26" ht="28.5">
      <c r="A236" t="s">
        <v>1903</v>
      </c>
      <c r="B236">
        <v>2</v>
      </c>
      <c r="C236" s="133">
        <v>0</v>
      </c>
      <c r="D236" t="s">
        <v>112</v>
      </c>
      <c r="E236" s="22" t="s">
        <v>1904</v>
      </c>
      <c r="F236">
        <v>7709258997706</v>
      </c>
    </row>
    <row r="237" spans="1:26" s="304" customFormat="1">
      <c r="C237" s="344"/>
    </row>
    <row r="238" spans="1:26">
      <c r="A238" s="28" t="s">
        <v>1476</v>
      </c>
      <c r="B238" s="28"/>
      <c r="C238" s="318">
        <v>0</v>
      </c>
      <c r="D238" s="254" t="s">
        <v>2523</v>
      </c>
      <c r="E238" s="28" t="s">
        <v>1478</v>
      </c>
      <c r="F238" s="28">
        <v>7702057709037</v>
      </c>
    </row>
    <row r="239" spans="1:26">
      <c r="A239" s="24" t="s">
        <v>2524</v>
      </c>
      <c r="B239" s="28">
        <v>1</v>
      </c>
      <c r="C239" s="192">
        <v>0</v>
      </c>
      <c r="D239" s="30" t="s">
        <v>38</v>
      </c>
      <c r="E239" s="24" t="s">
        <v>2355</v>
      </c>
      <c r="F239" s="63">
        <v>7702605337606</v>
      </c>
    </row>
    <row r="240" spans="1:26">
      <c r="A240" s="8" t="s">
        <v>780</v>
      </c>
      <c r="B240" s="8">
        <v>2</v>
      </c>
      <c r="C240" s="9">
        <v>0</v>
      </c>
      <c r="D240" s="203" t="s">
        <v>740</v>
      </c>
      <c r="E240" s="7" t="s">
        <v>431</v>
      </c>
      <c r="F240" s="63">
        <v>7702057712938</v>
      </c>
    </row>
    <row r="241" spans="1:26">
      <c r="A241" s="24" t="s">
        <v>2525</v>
      </c>
      <c r="B241" s="30">
        <v>3</v>
      </c>
      <c r="C241" s="31">
        <v>0.19</v>
      </c>
      <c r="D241" s="98" t="s">
        <v>293</v>
      </c>
      <c r="E241" s="24" t="s">
        <v>2526</v>
      </c>
      <c r="F241" s="28">
        <v>7705471700154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>
      <c r="A242" s="24" t="s">
        <v>2527</v>
      </c>
      <c r="B242" s="30">
        <v>3</v>
      </c>
      <c r="C242" s="31">
        <v>0.19</v>
      </c>
      <c r="D242" s="98" t="s">
        <v>293</v>
      </c>
      <c r="E242" s="24" t="s">
        <v>2526</v>
      </c>
      <c r="F242" s="28">
        <v>7705471700161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28.5">
      <c r="A243" s="24" t="s">
        <v>2528</v>
      </c>
      <c r="B243" s="30">
        <v>3</v>
      </c>
      <c r="C243" s="31">
        <v>0.19</v>
      </c>
      <c r="D243" s="98" t="s">
        <v>293</v>
      </c>
      <c r="E243" s="24" t="s">
        <v>2529</v>
      </c>
      <c r="F243" s="142">
        <v>7705471206526</v>
      </c>
    </row>
    <row r="244" spans="1:26">
      <c r="A244" s="24" t="s">
        <v>2530</v>
      </c>
      <c r="B244" s="30">
        <v>3</v>
      </c>
      <c r="C244" s="31">
        <v>0.19</v>
      </c>
      <c r="D244" s="98" t="s">
        <v>293</v>
      </c>
      <c r="E244" s="24" t="s">
        <v>2526</v>
      </c>
      <c r="F244" s="28">
        <v>7705471700079</v>
      </c>
    </row>
    <row r="245" spans="1:26">
      <c r="A245" s="71" t="s">
        <v>1064</v>
      </c>
      <c r="B245" s="71">
        <v>1</v>
      </c>
      <c r="C245" s="105">
        <v>0</v>
      </c>
      <c r="D245" s="137" t="s">
        <v>2222</v>
      </c>
      <c r="E245" s="13" t="s">
        <v>1065</v>
      </c>
      <c r="F245" s="71">
        <v>7703153032111</v>
      </c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28.5">
      <c r="A246" s="64" t="s">
        <v>1163</v>
      </c>
      <c r="B246" s="102">
        <v>1</v>
      </c>
      <c r="C246" s="101">
        <v>0</v>
      </c>
      <c r="D246" s="109" t="s">
        <v>2531</v>
      </c>
      <c r="E246" s="64" t="s">
        <v>889</v>
      </c>
      <c r="F246" s="68">
        <v>7707239276215</v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 spans="1:26" ht="28.5">
      <c r="A247" s="64" t="s">
        <v>887</v>
      </c>
      <c r="B247" s="102">
        <v>1</v>
      </c>
      <c r="C247" s="101">
        <v>0</v>
      </c>
      <c r="D247" s="109" t="s">
        <v>2532</v>
      </c>
      <c r="E247" s="64" t="s">
        <v>889</v>
      </c>
      <c r="F247" s="68">
        <v>7707239276291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 spans="1:26" ht="30">
      <c r="A248" s="16" t="s">
        <v>2533</v>
      </c>
      <c r="B248" s="39">
        <v>1</v>
      </c>
      <c r="C248" s="40">
        <v>0</v>
      </c>
      <c r="D248" s="39" t="s">
        <v>59</v>
      </c>
      <c r="E248" s="16" t="s">
        <v>1606</v>
      </c>
      <c r="F248" s="18">
        <v>7730969301797</v>
      </c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26">
      <c r="A249" s="146" t="s">
        <v>577</v>
      </c>
      <c r="B249" s="168">
        <v>1</v>
      </c>
      <c r="C249" s="319">
        <v>0</v>
      </c>
      <c r="D249" s="320" t="s">
        <v>578</v>
      </c>
      <c r="E249" s="146" t="s">
        <v>579</v>
      </c>
      <c r="F249" s="141">
        <v>7702057079642</v>
      </c>
    </row>
    <row r="250" spans="1:26">
      <c r="A250" s="146" t="s">
        <v>1619</v>
      </c>
      <c r="B250" s="168">
        <v>1</v>
      </c>
      <c r="C250" s="319">
        <v>0</v>
      </c>
      <c r="D250" s="320" t="s">
        <v>1886</v>
      </c>
      <c r="E250" s="146" t="s">
        <v>579</v>
      </c>
      <c r="F250" s="141">
        <v>7702057079598</v>
      </c>
    </row>
    <row r="251" spans="1:26" s="304" customFormat="1">
      <c r="C251" s="344"/>
    </row>
    <row r="252" spans="1:26">
      <c r="A252" s="22" t="s">
        <v>2534</v>
      </c>
      <c r="B252" s="39">
        <v>20</v>
      </c>
      <c r="C252" s="40">
        <v>0</v>
      </c>
      <c r="D252" s="310" t="s">
        <v>10</v>
      </c>
      <c r="E252" s="39" t="s">
        <v>2535</v>
      </c>
      <c r="F252">
        <v>7704412265776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 spans="1:26" ht="28.5">
      <c r="A253" t="s">
        <v>2536</v>
      </c>
      <c r="B253">
        <v>30</v>
      </c>
      <c r="C253" s="133">
        <v>0</v>
      </c>
      <c r="D253" t="s">
        <v>10</v>
      </c>
      <c r="E253" s="22" t="s">
        <v>2535</v>
      </c>
      <c r="F253">
        <v>7702184020661</v>
      </c>
    </row>
    <row r="254" spans="1:26" ht="28.5">
      <c r="A254" s="13" t="s">
        <v>2537</v>
      </c>
      <c r="B254" s="12">
        <v>20</v>
      </c>
      <c r="C254" s="59">
        <v>0</v>
      </c>
      <c r="D254" s="111" t="s">
        <v>10</v>
      </c>
      <c r="E254" s="13" t="s">
        <v>2538</v>
      </c>
      <c r="F254" s="61">
        <v>267703432421605</v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 spans="1:26" ht="28.5">
      <c r="A255" s="13" t="s">
        <v>2537</v>
      </c>
      <c r="B255" s="12">
        <v>30</v>
      </c>
      <c r="C255" s="59">
        <v>0</v>
      </c>
      <c r="D255" s="111" t="s">
        <v>10</v>
      </c>
      <c r="E255" s="13" t="s">
        <v>2538</v>
      </c>
      <c r="F255" s="61">
        <v>267703432421605</v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 spans="1:26" s="304" customFormat="1">
      <c r="C256" s="344"/>
    </row>
    <row r="257" spans="1:26" ht="15">
      <c r="A257" s="16" t="s">
        <v>2539</v>
      </c>
      <c r="B257" s="73">
        <v>3</v>
      </c>
      <c r="C257" s="290">
        <v>0.19</v>
      </c>
      <c r="D257" s="291" t="s">
        <v>1450</v>
      </c>
      <c r="E257" s="35" t="s">
        <v>2540</v>
      </c>
      <c r="F257" s="110">
        <v>36600813719</v>
      </c>
    </row>
    <row r="258" spans="1:26" ht="15">
      <c r="A258" s="16" t="s">
        <v>2541</v>
      </c>
      <c r="B258" s="73">
        <v>3</v>
      </c>
      <c r="C258" s="290">
        <v>0.19</v>
      </c>
      <c r="D258" s="291" t="s">
        <v>14</v>
      </c>
      <c r="E258" s="35" t="s">
        <v>2540</v>
      </c>
      <c r="F258" s="110">
        <v>36600814013</v>
      </c>
    </row>
    <row r="259" spans="1:26" ht="28.5">
      <c r="A259" s="13" t="s">
        <v>1524</v>
      </c>
      <c r="B259" s="12">
        <v>3</v>
      </c>
      <c r="C259" s="290">
        <v>0.19</v>
      </c>
      <c r="D259" s="291" t="s">
        <v>74</v>
      </c>
      <c r="E259" s="13" t="s">
        <v>1525</v>
      </c>
      <c r="F259" s="12">
        <v>7702132004606</v>
      </c>
    </row>
    <row r="260" spans="1:26">
      <c r="A260" t="s">
        <v>2542</v>
      </c>
      <c r="B260">
        <v>2</v>
      </c>
      <c r="C260" s="133">
        <v>0</v>
      </c>
      <c r="D260" t="s">
        <v>222</v>
      </c>
      <c r="E260" t="s">
        <v>2543</v>
      </c>
      <c r="F260">
        <v>7707282990939</v>
      </c>
    </row>
    <row r="261" spans="1:26">
      <c r="A261" t="s">
        <v>2544</v>
      </c>
      <c r="B261">
        <v>3</v>
      </c>
      <c r="C261" s="133">
        <v>0</v>
      </c>
      <c r="D261" t="s">
        <v>2545</v>
      </c>
      <c r="E261" t="s">
        <v>2543</v>
      </c>
      <c r="F261">
        <v>7707282990076</v>
      </c>
    </row>
    <row r="262" spans="1:26" s="304" customFormat="1">
      <c r="C262" s="344"/>
    </row>
    <row r="263" spans="1:26">
      <c r="A263" s="7" t="s">
        <v>178</v>
      </c>
      <c r="B263" s="30">
        <v>6</v>
      </c>
      <c r="C263" s="31">
        <v>0</v>
      </c>
      <c r="D263" s="30" t="s">
        <v>10</v>
      </c>
      <c r="E263" s="8" t="s">
        <v>179</v>
      </c>
      <c r="F263" s="63">
        <v>7730766003375</v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2" t="s">
        <v>686</v>
      </c>
      <c r="B264">
        <v>4</v>
      </c>
      <c r="C264" s="133">
        <v>0</v>
      </c>
      <c r="D264" s="23" t="s">
        <v>10</v>
      </c>
      <c r="E264" t="s">
        <v>687</v>
      </c>
      <c r="F264">
        <v>7702184020258</v>
      </c>
    </row>
    <row r="265" spans="1:26" ht="42.75">
      <c r="A265" t="s">
        <v>2546</v>
      </c>
      <c r="B265">
        <v>3</v>
      </c>
      <c r="C265" s="133">
        <v>0</v>
      </c>
      <c r="D265" t="s">
        <v>14</v>
      </c>
      <c r="E265" s="22" t="s">
        <v>2547</v>
      </c>
      <c r="F265">
        <v>7704412142916</v>
      </c>
    </row>
    <row r="266" spans="1:26" ht="28.5">
      <c r="A266" t="s">
        <v>2548</v>
      </c>
      <c r="B266">
        <v>3</v>
      </c>
      <c r="C266" s="133">
        <v>0.19</v>
      </c>
      <c r="D266" t="s">
        <v>747</v>
      </c>
      <c r="E266" s="22" t="s">
        <v>2549</v>
      </c>
      <c r="F266">
        <v>7709997867865</v>
      </c>
    </row>
    <row r="267" spans="1:26" ht="28.5">
      <c r="A267" t="s">
        <v>2548</v>
      </c>
      <c r="B267">
        <v>1</v>
      </c>
      <c r="C267" s="133">
        <v>0.19</v>
      </c>
      <c r="D267" t="s">
        <v>747</v>
      </c>
      <c r="E267" s="22" t="s">
        <v>2549</v>
      </c>
      <c r="F267">
        <v>7709997867865</v>
      </c>
    </row>
    <row r="268" spans="1:26" ht="28.5">
      <c r="A268" s="69" t="s">
        <v>2550</v>
      </c>
      <c r="B268" s="14">
        <v>1</v>
      </c>
      <c r="C268" s="105">
        <v>0</v>
      </c>
      <c r="D268" s="137" t="s">
        <v>381</v>
      </c>
      <c r="E268" s="69" t="s">
        <v>2551</v>
      </c>
      <c r="F268" s="71">
        <v>7500435120050</v>
      </c>
      <c r="G268" s="28"/>
    </row>
    <row r="269" spans="1:26" s="304" customFormat="1">
      <c r="C269" s="344"/>
    </row>
    <row r="270" spans="1:26" ht="28.5">
      <c r="A270" s="24" t="s">
        <v>2552</v>
      </c>
      <c r="B270" s="24">
        <v>1</v>
      </c>
      <c r="C270" s="311">
        <v>0</v>
      </c>
      <c r="D270" s="26" t="s">
        <v>2209</v>
      </c>
      <c r="E270" s="24" t="s">
        <v>2553</v>
      </c>
      <c r="F270" s="129">
        <v>736085414615</v>
      </c>
    </row>
    <row r="271" spans="1:26" s="304" customFormat="1">
      <c r="C271" s="344"/>
    </row>
    <row r="272" spans="1:26" ht="28.5">
      <c r="A272" s="13" t="s">
        <v>84</v>
      </c>
      <c r="B272" s="14">
        <v>6</v>
      </c>
      <c r="C272" s="105">
        <v>0</v>
      </c>
      <c r="D272" s="137" t="s">
        <v>85</v>
      </c>
      <c r="E272" s="13" t="s">
        <v>86</v>
      </c>
      <c r="F272" s="61">
        <v>7709990383621</v>
      </c>
    </row>
    <row r="273" spans="1:26" ht="28.5">
      <c r="A273" s="64" t="s">
        <v>1597</v>
      </c>
      <c r="B273" s="102">
        <v>1</v>
      </c>
      <c r="C273" s="101">
        <v>0</v>
      </c>
      <c r="D273" s="125" t="s">
        <v>1366</v>
      </c>
      <c r="E273" s="64" t="s">
        <v>1599</v>
      </c>
      <c r="F273" s="68">
        <v>7706849110865</v>
      </c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28.5">
      <c r="A274" s="13" t="s">
        <v>1600</v>
      </c>
      <c r="B274" s="12">
        <v>1</v>
      </c>
      <c r="C274" s="59">
        <v>0</v>
      </c>
      <c r="D274" s="59" t="s">
        <v>68</v>
      </c>
      <c r="E274" s="13" t="s">
        <v>1601</v>
      </c>
      <c r="F274" s="61">
        <v>7706849110889</v>
      </c>
      <c r="G274" s="1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19"/>
    </row>
    <row r="275" spans="1:26" ht="28.5">
      <c r="A275" t="s">
        <v>2554</v>
      </c>
      <c r="B275">
        <v>1</v>
      </c>
      <c r="C275" s="133">
        <v>0</v>
      </c>
      <c r="D275" t="s">
        <v>222</v>
      </c>
      <c r="E275" s="22" t="s">
        <v>2555</v>
      </c>
      <c r="F275">
        <v>7709358082456</v>
      </c>
    </row>
    <row r="276" spans="1:26" ht="28.5">
      <c r="A276" t="s">
        <v>2556</v>
      </c>
      <c r="B276">
        <v>1</v>
      </c>
      <c r="C276" s="133">
        <v>0</v>
      </c>
      <c r="D276" t="s">
        <v>262</v>
      </c>
      <c r="E276" s="22" t="s">
        <v>2477</v>
      </c>
      <c r="F276">
        <v>7702184013991</v>
      </c>
    </row>
    <row r="277" spans="1:26">
      <c r="A277" s="7" t="s">
        <v>439</v>
      </c>
      <c r="B277" s="8">
        <v>6</v>
      </c>
      <c r="C277" s="9">
        <v>0</v>
      </c>
      <c r="D277" s="173" t="s">
        <v>80</v>
      </c>
      <c r="E277" s="8" t="s">
        <v>332</v>
      </c>
      <c r="F277" s="8">
        <v>7705451000069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28" t="s">
        <v>93</v>
      </c>
      <c r="B278" s="28">
        <v>2</v>
      </c>
      <c r="C278" s="192">
        <v>0</v>
      </c>
      <c r="D278" s="193" t="s">
        <v>94</v>
      </c>
      <c r="E278" s="28" t="s">
        <v>95</v>
      </c>
      <c r="F278" s="63">
        <v>7702184011430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>
      <c r="A279" s="28" t="s">
        <v>2072</v>
      </c>
      <c r="B279" s="28">
        <v>5</v>
      </c>
      <c r="C279" s="192">
        <v>0</v>
      </c>
      <c r="D279" s="98" t="s">
        <v>80</v>
      </c>
      <c r="E279" s="28" t="s">
        <v>2073</v>
      </c>
      <c r="F279" s="28">
        <v>7704412170896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6" s="304" customFormat="1">
      <c r="C280" s="344"/>
    </row>
    <row r="281" spans="1:26" ht="15">
      <c r="A281" s="45" t="s">
        <v>907</v>
      </c>
      <c r="B281" s="228">
        <v>6</v>
      </c>
      <c r="C281" s="229">
        <v>0</v>
      </c>
      <c r="D281" s="44" t="s">
        <v>902</v>
      </c>
      <c r="E281" s="76" t="s">
        <v>909</v>
      </c>
      <c r="F281" s="45">
        <v>7706569020659</v>
      </c>
      <c r="G281" s="21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">
      <c r="A282" s="45" t="s">
        <v>907</v>
      </c>
      <c r="B282" s="228">
        <v>8</v>
      </c>
      <c r="C282" s="229">
        <v>0</v>
      </c>
      <c r="D282" s="44" t="s">
        <v>902</v>
      </c>
      <c r="E282" s="76" t="s">
        <v>909</v>
      </c>
      <c r="F282" s="45">
        <v>7706569020659</v>
      </c>
      <c r="G282" s="21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">
      <c r="A283" s="96" t="s">
        <v>1584</v>
      </c>
      <c r="B283" s="153">
        <v>1</v>
      </c>
      <c r="C283" s="55">
        <v>0</v>
      </c>
      <c r="D283" s="55" t="s">
        <v>222</v>
      </c>
      <c r="E283" s="303" t="s">
        <v>1585</v>
      </c>
      <c r="F283" s="155">
        <v>7707355055626</v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4" t="s">
        <v>714</v>
      </c>
      <c r="B284" s="30">
        <v>2</v>
      </c>
      <c r="C284" s="31">
        <v>0</v>
      </c>
      <c r="D284" s="30" t="s">
        <v>715</v>
      </c>
      <c r="E284" s="8" t="s">
        <v>716</v>
      </c>
      <c r="F284" s="63">
        <v>650240069932</v>
      </c>
    </row>
    <row r="285" spans="1:26" s="304" customFormat="1">
      <c r="C285" s="344"/>
    </row>
    <row r="286" spans="1:26" ht="28.5">
      <c r="A286" t="s">
        <v>2557</v>
      </c>
      <c r="B286">
        <v>3</v>
      </c>
      <c r="C286" s="133">
        <v>0</v>
      </c>
      <c r="D286" t="s">
        <v>227</v>
      </c>
      <c r="E286" s="22" t="s">
        <v>2558</v>
      </c>
      <c r="F286">
        <v>7703546269315</v>
      </c>
    </row>
    <row r="287" spans="1:26" ht="28.5">
      <c r="A287" t="s">
        <v>838</v>
      </c>
      <c r="B287">
        <v>4</v>
      </c>
      <c r="C287" s="133">
        <v>0</v>
      </c>
      <c r="D287" s="134" t="s">
        <v>2280</v>
      </c>
      <c r="E287" s="22" t="s">
        <v>839</v>
      </c>
      <c r="F287">
        <v>7702870002636</v>
      </c>
    </row>
    <row r="288" spans="1:26" ht="28.5">
      <c r="A288" t="s">
        <v>9</v>
      </c>
      <c r="B288" s="28">
        <v>8</v>
      </c>
      <c r="C288" s="31">
        <v>0</v>
      </c>
      <c r="D288" s="98" t="s">
        <v>10</v>
      </c>
      <c r="E288" s="7" t="s">
        <v>11</v>
      </c>
      <c r="F288" s="28">
        <v>7703689317386</v>
      </c>
      <c r="G288" s="28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 spans="1:26" ht="28.5">
      <c r="A289" s="28" t="s">
        <v>1902</v>
      </c>
      <c r="B289" s="28">
        <v>1</v>
      </c>
      <c r="C289" s="192">
        <v>0</v>
      </c>
      <c r="D289" s="193" t="s">
        <v>2559</v>
      </c>
      <c r="E289" s="24" t="s">
        <v>1263</v>
      </c>
      <c r="F289" s="63">
        <v>7702057168070</v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s="304" customFormat="1">
      <c r="C290" s="344"/>
    </row>
    <row r="291" spans="1:26">
      <c r="A291" s="24" t="s">
        <v>1982</v>
      </c>
      <c r="B291" s="30">
        <v>4</v>
      </c>
      <c r="C291" s="31">
        <v>0</v>
      </c>
      <c r="D291" s="30" t="s">
        <v>818</v>
      </c>
      <c r="E291" s="8" t="s">
        <v>1248</v>
      </c>
      <c r="F291" s="28">
        <v>7703712035362</v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28.5">
      <c r="A292" t="s">
        <v>2560</v>
      </c>
      <c r="B292">
        <v>2</v>
      </c>
      <c r="C292" s="133">
        <v>0</v>
      </c>
      <c r="D292" s="133" t="s">
        <v>2561</v>
      </c>
      <c r="E292" s="22" t="s">
        <v>2562</v>
      </c>
      <c r="F292">
        <v>7707355054322</v>
      </c>
    </row>
    <row r="293" spans="1:26">
      <c r="A293" s="304"/>
      <c r="B293" s="304"/>
      <c r="C293" s="344"/>
      <c r="D293" s="304"/>
      <c r="E293" s="304"/>
      <c r="F293" s="304"/>
      <c r="G293" s="304"/>
      <c r="H293" s="304"/>
      <c r="I293" s="304"/>
      <c r="J293" s="304"/>
      <c r="K293" s="304"/>
      <c r="L293" s="304"/>
      <c r="M293" s="304"/>
      <c r="N293" s="304"/>
      <c r="O293" s="304"/>
      <c r="P293" s="304"/>
      <c r="Q293" s="304"/>
      <c r="R293" s="304"/>
      <c r="S293" s="304"/>
      <c r="T293" s="304"/>
      <c r="U293" s="304"/>
      <c r="V293" s="304"/>
      <c r="W293" s="304"/>
      <c r="X293" s="304"/>
      <c r="Y293" s="304"/>
      <c r="Z293" s="304"/>
    </row>
    <row r="294" spans="1:26" ht="28.5">
      <c r="A294" s="146" t="s">
        <v>468</v>
      </c>
      <c r="B294" s="147">
        <v>6</v>
      </c>
      <c r="C294" s="148">
        <v>0</v>
      </c>
      <c r="D294" s="149" t="s">
        <v>214</v>
      </c>
      <c r="E294" s="146" t="s">
        <v>469</v>
      </c>
      <c r="F294" s="141">
        <v>7702208146032</v>
      </c>
    </row>
    <row r="295" spans="1:26" ht="28.5">
      <c r="A295" s="24" t="s">
        <v>401</v>
      </c>
      <c r="B295" s="28">
        <v>2</v>
      </c>
      <c r="C295" s="192">
        <v>0</v>
      </c>
      <c r="D295" s="104" t="s">
        <v>402</v>
      </c>
      <c r="E295" s="24" t="s">
        <v>403</v>
      </c>
      <c r="F295" s="63">
        <v>7707019334302</v>
      </c>
    </row>
    <row r="296" spans="1:26" s="304" customFormat="1">
      <c r="C296" s="344"/>
    </row>
    <row r="297" spans="1:26" ht="28.5">
      <c r="A297" s="7" t="s">
        <v>61</v>
      </c>
      <c r="B297" s="28">
        <v>6</v>
      </c>
      <c r="C297" s="31">
        <v>0</v>
      </c>
      <c r="D297" s="98" t="s">
        <v>62</v>
      </c>
      <c r="E297" s="7" t="s">
        <v>63</v>
      </c>
      <c r="F297" s="142">
        <v>7703153031251</v>
      </c>
      <c r="G297" s="28"/>
      <c r="H297" s="28"/>
      <c r="I297" s="28"/>
      <c r="J297" s="28"/>
      <c r="K297" s="28"/>
      <c r="L297" s="28"/>
      <c r="M297" s="28"/>
      <c r="N297" s="28"/>
      <c r="O297" s="28"/>
    </row>
    <row r="298" spans="1:26" s="304" customFormat="1">
      <c r="C298" s="344"/>
    </row>
    <row r="299" spans="1:26" ht="42.75">
      <c r="A299" s="69" t="s">
        <v>2248</v>
      </c>
      <c r="B299" s="14">
        <v>6</v>
      </c>
      <c r="C299" s="105">
        <v>0</v>
      </c>
      <c r="D299" s="14" t="s">
        <v>91</v>
      </c>
      <c r="E299" s="13" t="s">
        <v>1177</v>
      </c>
      <c r="F299" s="71">
        <v>7702184130162</v>
      </c>
      <c r="Z299" s="23"/>
    </row>
    <row r="300" spans="1:26" ht="30">
      <c r="A300" s="73" t="s">
        <v>466</v>
      </c>
      <c r="B300" s="32">
        <v>12</v>
      </c>
      <c r="C300" s="72">
        <v>0</v>
      </c>
      <c r="D300" s="32" t="s">
        <v>23</v>
      </c>
      <c r="E300" s="73" t="s">
        <v>467</v>
      </c>
      <c r="F300" s="321">
        <v>7702184030196</v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 spans="1:26" s="304" customFormat="1">
      <c r="C301" s="344"/>
    </row>
    <row r="302" spans="1:26" ht="30">
      <c r="A302" s="73" t="s">
        <v>287</v>
      </c>
      <c r="B302" s="32">
        <v>8</v>
      </c>
      <c r="C302" s="89">
        <v>0</v>
      </c>
      <c r="D302" s="90" t="s">
        <v>10</v>
      </c>
      <c r="E302" s="73" t="s">
        <v>288</v>
      </c>
      <c r="F302" s="20">
        <v>7730766003382</v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 spans="1:26">
      <c r="A303" t="s">
        <v>2563</v>
      </c>
      <c r="B303">
        <v>2</v>
      </c>
      <c r="C303" s="133">
        <v>0</v>
      </c>
      <c r="D303" t="s">
        <v>10</v>
      </c>
      <c r="E303" t="s">
        <v>2564</v>
      </c>
      <c r="F303">
        <v>7702896001231</v>
      </c>
    </row>
    <row r="304" spans="1:26">
      <c r="A304" s="24" t="s">
        <v>533</v>
      </c>
      <c r="B304" s="30">
        <v>3</v>
      </c>
      <c r="C304" s="31">
        <v>0</v>
      </c>
      <c r="D304" s="98" t="s">
        <v>534</v>
      </c>
      <c r="E304" s="8" t="s">
        <v>535</v>
      </c>
      <c r="F304" s="28">
        <v>7703038594116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s="304" customFormat="1">
      <c r="C305" s="344"/>
    </row>
    <row r="306" spans="1:26">
      <c r="A306" t="s">
        <v>2565</v>
      </c>
      <c r="B306">
        <v>6</v>
      </c>
      <c r="C306" s="133">
        <v>0</v>
      </c>
      <c r="D306" t="s">
        <v>697</v>
      </c>
      <c r="E306" t="s">
        <v>2566</v>
      </c>
      <c r="F306">
        <v>7709122432425</v>
      </c>
    </row>
    <row r="307" spans="1:26" ht="42.75">
      <c r="A307" t="s">
        <v>2567</v>
      </c>
      <c r="B307">
        <v>3</v>
      </c>
      <c r="C307" s="133">
        <v>0.19</v>
      </c>
      <c r="D307" t="s">
        <v>2568</v>
      </c>
      <c r="E307" s="22" t="s">
        <v>2569</v>
      </c>
      <c r="F307">
        <v>7702037510974</v>
      </c>
    </row>
    <row r="308" spans="1:26" ht="28.5">
      <c r="A308" s="24" t="s">
        <v>1316</v>
      </c>
      <c r="B308" s="25">
        <v>2</v>
      </c>
      <c r="C308" s="322">
        <v>0.05</v>
      </c>
      <c r="D308" s="323" t="s">
        <v>1317</v>
      </c>
      <c r="E308" s="7" t="s">
        <v>523</v>
      </c>
      <c r="F308" s="129">
        <v>7703006283332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3"/>
    </row>
    <row r="309" spans="1:26" ht="30">
      <c r="A309" s="73" t="s">
        <v>2262</v>
      </c>
      <c r="B309" s="17">
        <v>2</v>
      </c>
      <c r="C309" s="124">
        <v>0</v>
      </c>
      <c r="D309" s="17" t="s">
        <v>747</v>
      </c>
      <c r="E309" s="73" t="s">
        <v>2263</v>
      </c>
      <c r="F309" s="32">
        <v>7707177970022</v>
      </c>
      <c r="Z309" s="23"/>
    </row>
    <row r="310" spans="1:26" ht="30">
      <c r="A310" s="32" t="s">
        <v>370</v>
      </c>
      <c r="B310" s="30">
        <v>9</v>
      </c>
      <c r="C310" s="31">
        <v>0</v>
      </c>
      <c r="D310" s="98" t="s">
        <v>85</v>
      </c>
      <c r="E310" s="73" t="s">
        <v>165</v>
      </c>
      <c r="F310" s="32">
        <v>7501033957376</v>
      </c>
    </row>
    <row r="311" spans="1:26" ht="28.5">
      <c r="A311" s="141" t="s">
        <v>1256</v>
      </c>
      <c r="B311" s="141">
        <v>1</v>
      </c>
      <c r="C311" s="236">
        <v>0</v>
      </c>
      <c r="D311" s="237" t="s">
        <v>464</v>
      </c>
      <c r="E311" s="146" t="s">
        <v>1258</v>
      </c>
      <c r="F311" s="160">
        <v>7707239270022</v>
      </c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28.5">
      <c r="A312" s="141" t="s">
        <v>1259</v>
      </c>
      <c r="B312" s="141">
        <v>1</v>
      </c>
      <c r="C312" s="236">
        <v>0</v>
      </c>
      <c r="D312" s="237" t="s">
        <v>458</v>
      </c>
      <c r="E312" s="146" t="s">
        <v>1260</v>
      </c>
      <c r="F312" s="160">
        <v>7707239275829</v>
      </c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s="304" customFormat="1">
      <c r="C313" s="344"/>
    </row>
    <row r="314" spans="1:26" ht="42.75">
      <c r="A314" t="s">
        <v>1961</v>
      </c>
      <c r="B314" s="28">
        <v>1</v>
      </c>
      <c r="C314" s="192">
        <v>0</v>
      </c>
      <c r="D314" s="193" t="s">
        <v>408</v>
      </c>
      <c r="E314" s="24" t="s">
        <v>1963</v>
      </c>
      <c r="F314" s="28">
        <v>7707397791483</v>
      </c>
    </row>
    <row r="315" spans="1:26">
      <c r="A315" s="7" t="s">
        <v>1664</v>
      </c>
      <c r="B315" s="8">
        <v>5</v>
      </c>
      <c r="C315" s="9">
        <v>0</v>
      </c>
      <c r="D315" s="10" t="s">
        <v>118</v>
      </c>
      <c r="E315" s="7" t="s">
        <v>1665</v>
      </c>
      <c r="F315" s="213">
        <v>7705366910019</v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 spans="1:26" ht="28.5">
      <c r="A316" s="69" t="s">
        <v>79</v>
      </c>
      <c r="B316" s="14">
        <v>8</v>
      </c>
      <c r="C316" s="136">
        <v>0</v>
      </c>
      <c r="D316" s="136" t="s">
        <v>80</v>
      </c>
      <c r="E316" s="13" t="s">
        <v>81</v>
      </c>
      <c r="F316" s="61">
        <v>7705366100014</v>
      </c>
      <c r="G316" s="23"/>
      <c r="H316" s="23"/>
      <c r="I316" s="23"/>
      <c r="J316" s="23"/>
      <c r="K316" s="23"/>
      <c r="L316" s="23"/>
      <c r="M316" s="23"/>
      <c r="N316" s="23"/>
      <c r="O316" s="23"/>
    </row>
    <row r="317" spans="1:26">
      <c r="A317" s="12" t="s">
        <v>1125</v>
      </c>
      <c r="B317" s="14">
        <v>2</v>
      </c>
      <c r="C317" s="105">
        <v>0</v>
      </c>
      <c r="D317" s="137" t="s">
        <v>697</v>
      </c>
      <c r="E317" s="12" t="s">
        <v>985</v>
      </c>
      <c r="F317" s="12">
        <v>7707184609793</v>
      </c>
    </row>
    <row r="318" spans="1:26" s="304" customFormat="1">
      <c r="C318" s="344"/>
    </row>
    <row r="319" spans="1:26">
      <c r="A319" t="s">
        <v>2570</v>
      </c>
      <c r="B319">
        <v>1</v>
      </c>
      <c r="C319" s="133">
        <v>0</v>
      </c>
      <c r="D319" t="s">
        <v>1032</v>
      </c>
      <c r="E319" t="s">
        <v>2571</v>
      </c>
      <c r="F319">
        <v>7702132001384</v>
      </c>
    </row>
    <row r="320" spans="1:26" ht="28.5">
      <c r="A320" s="71" t="s">
        <v>2572</v>
      </c>
      <c r="B320" s="14">
        <v>3</v>
      </c>
      <c r="C320" s="105">
        <v>0</v>
      </c>
      <c r="D320" s="137" t="s">
        <v>10</v>
      </c>
      <c r="E320" s="69" t="s">
        <v>2573</v>
      </c>
      <c r="F320" s="71">
        <v>7703038010050</v>
      </c>
      <c r="G320" s="71"/>
      <c r="H320" s="71"/>
      <c r="I320" s="71"/>
      <c r="J320" s="71"/>
      <c r="K320" s="71"/>
      <c r="L320" s="71"/>
      <c r="M320" s="71"/>
      <c r="N320" s="71"/>
      <c r="O320" s="71"/>
    </row>
    <row r="321" spans="1:26" ht="28.5">
      <c r="A321" s="146" t="s">
        <v>2574</v>
      </c>
      <c r="B321" s="147">
        <v>1</v>
      </c>
      <c r="C321" s="148">
        <v>0</v>
      </c>
      <c r="D321" s="147" t="s">
        <v>805</v>
      </c>
      <c r="E321" s="146" t="s">
        <v>2575</v>
      </c>
      <c r="F321" s="169">
        <v>7891317103507</v>
      </c>
      <c r="G321" s="141"/>
    </row>
    <row r="322" spans="1:26">
      <c r="A322" s="64" t="s">
        <v>224</v>
      </c>
      <c r="B322" s="102">
        <v>1</v>
      </c>
      <c r="C322" s="101">
        <v>0</v>
      </c>
      <c r="D322" s="109" t="s">
        <v>156</v>
      </c>
      <c r="E322" s="64" t="s">
        <v>225</v>
      </c>
      <c r="F322" s="68">
        <v>7703038067092</v>
      </c>
    </row>
    <row r="323" spans="1:26" ht="42.75">
      <c r="A323" t="s">
        <v>1250</v>
      </c>
      <c r="B323">
        <v>2</v>
      </c>
      <c r="C323" s="133">
        <v>0</v>
      </c>
      <c r="D323" t="s">
        <v>68</v>
      </c>
      <c r="E323" s="22" t="s">
        <v>1251</v>
      </c>
      <c r="F323">
        <v>7703381000463</v>
      </c>
    </row>
    <row r="324" spans="1:26" ht="28.5">
      <c r="A324" s="22" t="s">
        <v>2576</v>
      </c>
      <c r="B324" s="23">
        <v>1</v>
      </c>
      <c r="C324" s="51">
        <v>0</v>
      </c>
      <c r="D324" s="50" t="s">
        <v>29</v>
      </c>
      <c r="E324" t="s">
        <v>2577</v>
      </c>
      <c r="F324">
        <v>7702605111404</v>
      </c>
    </row>
    <row r="325" spans="1:26">
      <c r="A325" s="24" t="s">
        <v>426</v>
      </c>
      <c r="B325" s="30">
        <v>1</v>
      </c>
      <c r="C325" s="31">
        <v>0</v>
      </c>
      <c r="D325" s="98" t="s">
        <v>427</v>
      </c>
      <c r="E325" s="7" t="s">
        <v>428</v>
      </c>
      <c r="F325" s="28">
        <v>7703038050360</v>
      </c>
      <c r="G325" s="28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28.5">
      <c r="A326" t="s">
        <v>2578</v>
      </c>
      <c r="B326">
        <v>2</v>
      </c>
      <c r="C326" s="133">
        <v>0</v>
      </c>
      <c r="D326" t="s">
        <v>123</v>
      </c>
      <c r="E326" s="22" t="s">
        <v>2558</v>
      </c>
      <c r="F326">
        <v>7703283404529</v>
      </c>
    </row>
    <row r="327" spans="1:26" ht="28.5">
      <c r="A327" t="s">
        <v>2579</v>
      </c>
      <c r="B327">
        <v>1</v>
      </c>
      <c r="C327" s="133">
        <v>0</v>
      </c>
      <c r="D327" s="23" t="s">
        <v>546</v>
      </c>
      <c r="E327" s="22" t="s">
        <v>2580</v>
      </c>
      <c r="F327">
        <v>7702057557171</v>
      </c>
    </row>
    <row r="328" spans="1:26" s="304" customFormat="1">
      <c r="C328" s="344"/>
    </row>
    <row r="329" spans="1:26" ht="28.5">
      <c r="A329" t="s">
        <v>2581</v>
      </c>
      <c r="B329">
        <v>2</v>
      </c>
      <c r="C329" s="133">
        <v>0.19</v>
      </c>
      <c r="D329" t="s">
        <v>2582</v>
      </c>
      <c r="E329" s="22" t="s">
        <v>2583</v>
      </c>
      <c r="F329">
        <v>7707228361038</v>
      </c>
    </row>
    <row r="330" spans="1:26" ht="28.5">
      <c r="A330" s="146" t="s">
        <v>2584</v>
      </c>
      <c r="B330" s="168">
        <v>1</v>
      </c>
      <c r="C330" s="170">
        <v>0</v>
      </c>
      <c r="D330" s="157" t="s">
        <v>200</v>
      </c>
      <c r="E330" s="159" t="s">
        <v>1606</v>
      </c>
      <c r="F330" s="169">
        <v>7703202221312</v>
      </c>
    </row>
    <row r="331" spans="1:26" ht="42.75">
      <c r="A331" t="s">
        <v>2546</v>
      </c>
      <c r="B331">
        <v>2</v>
      </c>
      <c r="C331" s="133">
        <v>0</v>
      </c>
      <c r="D331" t="s">
        <v>14</v>
      </c>
      <c r="E331" s="22" t="s">
        <v>2547</v>
      </c>
      <c r="F331">
        <v>7704412142916</v>
      </c>
    </row>
    <row r="332" spans="1:26" ht="28.5">
      <c r="A332" s="64" t="s">
        <v>499</v>
      </c>
      <c r="B332" s="102">
        <v>2</v>
      </c>
      <c r="C332" s="101">
        <v>0</v>
      </c>
      <c r="D332" s="102" t="s">
        <v>2479</v>
      </c>
      <c r="E332" s="64" t="s">
        <v>501</v>
      </c>
      <c r="F332" s="103">
        <v>8437009433584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 spans="1:26" ht="28.5">
      <c r="A333" s="22" t="s">
        <v>1145</v>
      </c>
      <c r="B333">
        <v>1</v>
      </c>
      <c r="C333" s="133">
        <v>0</v>
      </c>
      <c r="D333" s="23" t="s">
        <v>638</v>
      </c>
      <c r="E333" s="22" t="s">
        <v>1146</v>
      </c>
      <c r="F333" s="42">
        <v>7704232000946</v>
      </c>
    </row>
    <row r="334" spans="1:26" ht="28.5">
      <c r="A334" s="22" t="s">
        <v>582</v>
      </c>
      <c r="B334" s="23">
        <v>1</v>
      </c>
      <c r="C334" s="51">
        <v>0.19</v>
      </c>
      <c r="D334" s="23" t="s">
        <v>14</v>
      </c>
      <c r="E334" s="22" t="s">
        <v>583</v>
      </c>
      <c r="F334">
        <v>650240035401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57">
      <c r="A335" t="s">
        <v>1686</v>
      </c>
      <c r="B335">
        <v>2</v>
      </c>
      <c r="C335" s="133">
        <v>0.19</v>
      </c>
      <c r="D335" t="s">
        <v>1687</v>
      </c>
      <c r="E335" s="22" t="s">
        <v>1688</v>
      </c>
      <c r="F335">
        <v>7702057707729</v>
      </c>
    </row>
    <row r="336" spans="1:26">
      <c r="A336" t="s">
        <v>1776</v>
      </c>
      <c r="B336">
        <v>2</v>
      </c>
      <c r="C336" s="133">
        <v>0</v>
      </c>
      <c r="D336" t="s">
        <v>740</v>
      </c>
      <c r="E336" t="s">
        <v>116</v>
      </c>
      <c r="F336">
        <v>7703432421353</v>
      </c>
    </row>
    <row r="337" spans="1:28" ht="28.5">
      <c r="A337" t="s">
        <v>2585</v>
      </c>
      <c r="B337">
        <v>1</v>
      </c>
      <c r="C337" s="133">
        <v>0</v>
      </c>
      <c r="D337" t="s">
        <v>2586</v>
      </c>
      <c r="E337" s="22" t="s">
        <v>2587</v>
      </c>
      <c r="F337">
        <v>7702057079369</v>
      </c>
    </row>
    <row r="338" spans="1:28" s="304" customFormat="1">
      <c r="C338" s="344"/>
    </row>
    <row r="339" spans="1:28">
      <c r="A339" s="28" t="s">
        <v>2588</v>
      </c>
      <c r="B339" s="30">
        <v>1</v>
      </c>
      <c r="C339" s="31">
        <v>0</v>
      </c>
      <c r="D339" s="30" t="s">
        <v>702</v>
      </c>
      <c r="E339" s="28" t="s">
        <v>75</v>
      </c>
      <c r="F339" s="28">
        <v>7707355052014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8">
      <c r="A340" s="28" t="s">
        <v>2588</v>
      </c>
      <c r="B340" s="30">
        <v>2</v>
      </c>
      <c r="C340" s="31">
        <v>0</v>
      </c>
      <c r="D340" s="30" t="s">
        <v>702</v>
      </c>
      <c r="E340" s="28" t="s">
        <v>75</v>
      </c>
      <c r="F340" s="28">
        <v>7707355052014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8">
      <c r="A341" s="22" t="s">
        <v>944</v>
      </c>
      <c r="B341" s="23">
        <v>1</v>
      </c>
      <c r="C341" s="107">
        <v>0</v>
      </c>
      <c r="D341" s="107" t="s">
        <v>2589</v>
      </c>
      <c r="E341" t="s">
        <v>946</v>
      </c>
      <c r="F341" s="42">
        <v>7702057091439</v>
      </c>
    </row>
    <row r="342" spans="1:28" ht="28.5">
      <c r="A342" s="69" t="s">
        <v>2372</v>
      </c>
      <c r="B342" s="14">
        <v>1</v>
      </c>
      <c r="C342" s="105">
        <v>0.19</v>
      </c>
      <c r="D342" s="14" t="s">
        <v>32</v>
      </c>
      <c r="E342" s="69" t="s">
        <v>2373</v>
      </c>
      <c r="F342" s="15">
        <v>7703377776693</v>
      </c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8">
      <c r="A343" s="71" t="s">
        <v>169</v>
      </c>
      <c r="B343" s="14">
        <v>2</v>
      </c>
      <c r="C343" s="105">
        <v>0</v>
      </c>
      <c r="D343" s="14" t="s">
        <v>94</v>
      </c>
      <c r="E343" s="69" t="s">
        <v>171</v>
      </c>
      <c r="F343" s="71">
        <v>7709071926723</v>
      </c>
      <c r="G343" s="71"/>
      <c r="H343" s="71"/>
      <c r="I343" s="71"/>
      <c r="J343" s="71"/>
      <c r="K343" s="71"/>
      <c r="L343" s="71"/>
      <c r="M343" s="71"/>
      <c r="N343" s="71"/>
      <c r="O343" s="71"/>
    </row>
    <row r="344" spans="1:28" ht="42.75">
      <c r="A344" s="28" t="s">
        <v>1530</v>
      </c>
      <c r="B344" s="28">
        <v>50</v>
      </c>
      <c r="C344" s="192">
        <v>0.19</v>
      </c>
      <c r="D344" s="30" t="s">
        <v>298</v>
      </c>
      <c r="E344" s="24" t="s">
        <v>1531</v>
      </c>
      <c r="F344" s="28">
        <v>7707346260039</v>
      </c>
      <c r="G344" s="28"/>
    </row>
    <row r="345" spans="1:28">
      <c r="A345" s="304"/>
      <c r="B345" s="304"/>
      <c r="C345" s="344"/>
      <c r="D345" s="304"/>
      <c r="E345" s="304"/>
      <c r="F345" s="304"/>
      <c r="G345" s="304"/>
      <c r="H345" s="304"/>
      <c r="I345" s="304"/>
      <c r="J345" s="304"/>
      <c r="K345" s="304"/>
      <c r="L345" s="304"/>
      <c r="M345" s="304"/>
      <c r="N345" s="304"/>
      <c r="O345" s="304"/>
      <c r="P345" s="304"/>
      <c r="Q345" s="304"/>
      <c r="R345" s="304"/>
      <c r="S345" s="304"/>
      <c r="T345" s="304"/>
      <c r="U345" s="304"/>
      <c r="V345" s="304"/>
      <c r="W345" s="304"/>
      <c r="X345" s="304"/>
      <c r="Y345" s="304"/>
      <c r="Z345" s="304"/>
      <c r="AA345" s="304"/>
      <c r="AB345" s="304"/>
    </row>
    <row r="346" spans="1:28" ht="28.5">
      <c r="A346" t="s">
        <v>1016</v>
      </c>
      <c r="B346">
        <v>1</v>
      </c>
      <c r="C346" s="133">
        <v>0</v>
      </c>
      <c r="D346" s="140" t="s">
        <v>1507</v>
      </c>
      <c r="E346" s="22" t="s">
        <v>779</v>
      </c>
      <c r="F346" s="42">
        <v>7702870070888</v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8" ht="30">
      <c r="A347" s="73" t="s">
        <v>978</v>
      </c>
      <c r="B347" s="17">
        <v>2</v>
      </c>
      <c r="C347" s="33">
        <v>0</v>
      </c>
      <c r="D347" s="202" t="s">
        <v>118</v>
      </c>
      <c r="E347" s="73" t="s">
        <v>979</v>
      </c>
      <c r="F347" s="32">
        <v>7702896425853</v>
      </c>
    </row>
    <row r="348" spans="1:28">
      <c r="A348" s="304"/>
      <c r="B348" s="304"/>
      <c r="C348" s="344"/>
      <c r="D348" s="304"/>
      <c r="E348" s="304"/>
      <c r="F348" s="304"/>
      <c r="G348" s="304"/>
      <c r="H348" s="304"/>
      <c r="I348" s="304"/>
      <c r="J348" s="304"/>
      <c r="K348" s="304"/>
      <c r="L348" s="304"/>
      <c r="M348" s="304"/>
      <c r="N348" s="304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  <c r="Y348" s="304"/>
      <c r="Z348" s="304"/>
      <c r="AA348" s="304"/>
      <c r="AB348" s="304"/>
    </row>
    <row r="349" spans="1:28">
      <c r="A349" s="24" t="s">
        <v>1937</v>
      </c>
      <c r="B349" s="30">
        <v>1</v>
      </c>
      <c r="C349" s="31">
        <v>0</v>
      </c>
      <c r="D349" s="193" t="s">
        <v>1032</v>
      </c>
      <c r="E349" s="24" t="s">
        <v>1323</v>
      </c>
      <c r="F349" s="142">
        <v>7702132008529</v>
      </c>
    </row>
    <row r="350" spans="1:28" ht="30">
      <c r="A350" s="112" t="s">
        <v>2590</v>
      </c>
      <c r="B350" s="162">
        <v>2</v>
      </c>
      <c r="C350" s="324">
        <v>0</v>
      </c>
      <c r="D350" s="162" t="s">
        <v>750</v>
      </c>
      <c r="E350" s="112" t="s">
        <v>2591</v>
      </c>
      <c r="F350" s="325">
        <v>7702896000982</v>
      </c>
      <c r="G350" s="21"/>
      <c r="H350" s="21"/>
      <c r="I350" s="21"/>
      <c r="J350" s="21"/>
      <c r="K350" s="21"/>
      <c r="L350" s="21"/>
      <c r="M350" s="21"/>
      <c r="N350" s="21"/>
      <c r="O350" s="21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8">
      <c r="A351" t="s">
        <v>2565</v>
      </c>
      <c r="B351">
        <v>8</v>
      </c>
      <c r="C351" s="133">
        <v>0</v>
      </c>
      <c r="D351" t="s">
        <v>697</v>
      </c>
      <c r="E351" t="s">
        <v>2566</v>
      </c>
      <c r="F351">
        <v>7709122432425</v>
      </c>
    </row>
    <row r="352" spans="1:28" ht="42.75">
      <c r="A352" t="s">
        <v>2592</v>
      </c>
      <c r="B352">
        <v>2</v>
      </c>
      <c r="C352" s="133">
        <v>0</v>
      </c>
      <c r="D352" t="s">
        <v>1777</v>
      </c>
      <c r="E352" s="22" t="s">
        <v>2593</v>
      </c>
      <c r="F352">
        <v>8903726313855</v>
      </c>
    </row>
    <row r="353" spans="1:28">
      <c r="A353" s="7" t="s">
        <v>1557</v>
      </c>
      <c r="B353" s="8">
        <v>5</v>
      </c>
      <c r="C353" s="9">
        <v>0</v>
      </c>
      <c r="D353" s="98" t="s">
        <v>109</v>
      </c>
      <c r="E353" s="8" t="s">
        <v>1558</v>
      </c>
      <c r="F353" s="63">
        <v>7709141546059</v>
      </c>
    </row>
    <row r="354" spans="1:28">
      <c r="A354" s="7" t="s">
        <v>1557</v>
      </c>
      <c r="B354" s="8">
        <v>5</v>
      </c>
      <c r="C354" s="9">
        <v>0</v>
      </c>
      <c r="D354" s="98" t="s">
        <v>109</v>
      </c>
      <c r="E354" s="8" t="s">
        <v>1558</v>
      </c>
      <c r="F354" s="63">
        <v>7709141546059</v>
      </c>
    </row>
    <row r="355" spans="1:28">
      <c r="A355" s="22" t="s">
        <v>699</v>
      </c>
      <c r="B355">
        <v>1</v>
      </c>
      <c r="C355" s="133">
        <v>0</v>
      </c>
      <c r="D355" s="134" t="s">
        <v>262</v>
      </c>
      <c r="E355" t="s">
        <v>700</v>
      </c>
      <c r="F355" s="42">
        <v>7703712035317</v>
      </c>
    </row>
    <row r="356" spans="1:28" ht="29.25">
      <c r="A356" s="7" t="s">
        <v>1254</v>
      </c>
      <c r="B356" s="30">
        <v>3</v>
      </c>
      <c r="C356" s="31">
        <v>0</v>
      </c>
      <c r="D356" s="99" t="s">
        <v>74</v>
      </c>
      <c r="E356" s="25" t="s">
        <v>1255</v>
      </c>
      <c r="F356" s="30">
        <v>7707172685778</v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19"/>
    </row>
    <row r="357" spans="1:28" ht="28.5">
      <c r="A357" t="s">
        <v>1330</v>
      </c>
      <c r="B357">
        <v>6</v>
      </c>
      <c r="C357" s="133">
        <v>0</v>
      </c>
      <c r="D357" t="s">
        <v>109</v>
      </c>
      <c r="E357" s="22" t="s">
        <v>1332</v>
      </c>
      <c r="F357">
        <v>7708636936061</v>
      </c>
    </row>
    <row r="358" spans="1:28" ht="28.5">
      <c r="A358" t="s">
        <v>2594</v>
      </c>
      <c r="B358">
        <v>1</v>
      </c>
      <c r="C358" s="133">
        <v>0</v>
      </c>
      <c r="D358" t="s">
        <v>80</v>
      </c>
      <c r="E358" s="22" t="s">
        <v>2595</v>
      </c>
      <c r="F358">
        <v>6921875051376</v>
      </c>
    </row>
    <row r="359" spans="1:28" ht="28.5">
      <c r="A359" t="s">
        <v>2596</v>
      </c>
      <c r="B359">
        <v>2</v>
      </c>
      <c r="C359" s="133">
        <v>0</v>
      </c>
      <c r="D359" t="s">
        <v>2597</v>
      </c>
      <c r="E359" s="22" t="s">
        <v>2598</v>
      </c>
      <c r="F359">
        <v>7702031580010</v>
      </c>
    </row>
    <row r="360" spans="1:28" ht="28.5">
      <c r="A360" t="s">
        <v>2599</v>
      </c>
      <c r="B360">
        <v>2</v>
      </c>
      <c r="C360" s="133">
        <v>0</v>
      </c>
      <c r="D360" t="s">
        <v>2446</v>
      </c>
      <c r="E360" s="22" t="s">
        <v>2600</v>
      </c>
      <c r="F360">
        <v>7702031800682</v>
      </c>
    </row>
    <row r="361" spans="1:28" ht="42.75">
      <c r="A361" t="s">
        <v>2601</v>
      </c>
      <c r="B361">
        <v>2</v>
      </c>
      <c r="C361" s="133">
        <v>0</v>
      </c>
      <c r="D361" t="s">
        <v>103</v>
      </c>
      <c r="E361" s="22" t="s">
        <v>2602</v>
      </c>
      <c r="F361">
        <v>7702425800779</v>
      </c>
    </row>
    <row r="362" spans="1:28" ht="42.75">
      <c r="A362" t="s">
        <v>2603</v>
      </c>
      <c r="B362">
        <v>1</v>
      </c>
      <c r="C362" s="133">
        <v>0</v>
      </c>
      <c r="D362" t="s">
        <v>652</v>
      </c>
      <c r="E362" s="22" t="s">
        <v>2602</v>
      </c>
      <c r="F362">
        <v>7861078301931</v>
      </c>
    </row>
    <row r="363" spans="1:28" ht="28.5">
      <c r="A363" s="7" t="s">
        <v>1327</v>
      </c>
      <c r="B363" s="8">
        <v>2</v>
      </c>
      <c r="C363" s="9">
        <v>0</v>
      </c>
      <c r="D363" s="203" t="s">
        <v>103</v>
      </c>
      <c r="E363" s="7" t="s">
        <v>1328</v>
      </c>
      <c r="F363" s="8">
        <v>7702027041662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>
      <c r="A364" s="141" t="s">
        <v>473</v>
      </c>
      <c r="B364" s="147">
        <v>1</v>
      </c>
      <c r="C364" s="148">
        <v>0</v>
      </c>
      <c r="D364" s="147" t="s">
        <v>156</v>
      </c>
      <c r="E364" s="146" t="s">
        <v>474</v>
      </c>
      <c r="F364" s="141">
        <v>7702195090479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8" ht="28.5">
      <c r="A365" s="24" t="s">
        <v>2419</v>
      </c>
      <c r="B365" s="8">
        <v>2</v>
      </c>
      <c r="C365" s="209">
        <v>0</v>
      </c>
      <c r="D365" s="210" t="s">
        <v>1116</v>
      </c>
      <c r="E365" s="7" t="s">
        <v>2420</v>
      </c>
      <c r="F365" s="129">
        <v>7707229970291</v>
      </c>
    </row>
    <row r="366" spans="1:28">
      <c r="A366" s="304"/>
      <c r="B366" s="304"/>
      <c r="C366" s="344"/>
      <c r="D366" s="304"/>
      <c r="E366" s="304"/>
      <c r="F366" s="304"/>
      <c r="G366" s="304"/>
      <c r="H366" s="304"/>
      <c r="I366" s="304"/>
      <c r="J366" s="304"/>
      <c r="K366" s="304"/>
      <c r="L366" s="304"/>
      <c r="M366" s="304"/>
      <c r="N366" s="304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</row>
    <row r="367" spans="1:28" ht="28.5">
      <c r="A367" s="24" t="s">
        <v>2419</v>
      </c>
      <c r="B367" s="8">
        <v>12</v>
      </c>
      <c r="C367" s="209">
        <v>0</v>
      </c>
      <c r="D367" s="210" t="s">
        <v>1116</v>
      </c>
      <c r="E367" s="7" t="s">
        <v>2420</v>
      </c>
      <c r="F367" s="129">
        <v>7707229970291</v>
      </c>
    </row>
    <row r="368" spans="1:28">
      <c r="A368" s="304"/>
      <c r="B368" s="304"/>
      <c r="C368" s="344"/>
      <c r="D368" s="304"/>
      <c r="E368" s="304"/>
      <c r="F368" s="304"/>
      <c r="G368" s="304"/>
      <c r="H368" s="304"/>
      <c r="I368" s="304"/>
      <c r="J368" s="304"/>
      <c r="K368" s="304"/>
      <c r="L368" s="304"/>
      <c r="M368" s="304"/>
      <c r="N368" s="304"/>
      <c r="O368" s="304"/>
      <c r="P368" s="304"/>
      <c r="Q368" s="304"/>
      <c r="R368" s="304"/>
      <c r="S368" s="304"/>
      <c r="T368" s="304"/>
      <c r="U368" s="304"/>
      <c r="V368" s="304"/>
      <c r="W368" s="304"/>
      <c r="X368" s="304"/>
      <c r="Y368" s="304"/>
      <c r="Z368" s="304"/>
      <c r="AA368" s="304"/>
      <c r="AB368" s="304"/>
    </row>
    <row r="369" spans="1:26" ht="28.5">
      <c r="A369" s="69" t="s">
        <v>2325</v>
      </c>
      <c r="B369" s="12">
        <v>1</v>
      </c>
      <c r="C369" s="59">
        <v>0</v>
      </c>
      <c r="D369" s="12" t="s">
        <v>497</v>
      </c>
      <c r="E369" s="69" t="s">
        <v>2326</v>
      </c>
      <c r="F369" s="71">
        <v>7704190038913</v>
      </c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1:26">
      <c r="A370" t="s">
        <v>775</v>
      </c>
      <c r="B370" s="39">
        <v>1</v>
      </c>
      <c r="C370" s="40">
        <v>0</v>
      </c>
      <c r="D370" s="39" t="s">
        <v>103</v>
      </c>
      <c r="E370" t="s">
        <v>776</v>
      </c>
      <c r="F370">
        <v>7703038862031</v>
      </c>
    </row>
    <row r="371" spans="1:26" ht="28.5">
      <c r="A371" s="13" t="s">
        <v>1320</v>
      </c>
      <c r="B371" s="14">
        <v>1</v>
      </c>
      <c r="C371" s="105">
        <v>0</v>
      </c>
      <c r="D371" s="14" t="s">
        <v>348</v>
      </c>
      <c r="E371" s="13" t="s">
        <v>184</v>
      </c>
      <c r="F371" s="12">
        <v>7709990384949</v>
      </c>
    </row>
    <row r="372" spans="1:26" ht="42.75">
      <c r="A372" t="s">
        <v>2604</v>
      </c>
      <c r="B372">
        <v>1</v>
      </c>
      <c r="C372" s="133">
        <v>0.19</v>
      </c>
      <c r="D372" t="s">
        <v>430</v>
      </c>
      <c r="E372" s="22" t="s">
        <v>2605</v>
      </c>
      <c r="F372">
        <v>17707710160139</v>
      </c>
    </row>
    <row r="373" spans="1:26">
      <c r="A373" s="24" t="s">
        <v>455</v>
      </c>
      <c r="B373" s="28">
        <v>3</v>
      </c>
      <c r="C373" s="192">
        <v>0</v>
      </c>
      <c r="D373" s="99" t="s">
        <v>7</v>
      </c>
      <c r="E373" s="28" t="s">
        <v>456</v>
      </c>
      <c r="F373" s="28">
        <v>7706659501709</v>
      </c>
    </row>
    <row r="374" spans="1:26">
      <c r="A374" t="s">
        <v>1631</v>
      </c>
      <c r="B374" s="39">
        <v>2</v>
      </c>
      <c r="C374" s="40">
        <v>0</v>
      </c>
      <c r="D374" s="39" t="s">
        <v>1409</v>
      </c>
      <c r="E374" t="s">
        <v>1473</v>
      </c>
      <c r="F374">
        <v>7704412308428</v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 spans="1:26" ht="28.5">
      <c r="A375" s="12" t="s">
        <v>722</v>
      </c>
      <c r="B375" s="12">
        <v>1</v>
      </c>
      <c r="C375" s="59">
        <v>0</v>
      </c>
      <c r="D375" s="14" t="s">
        <v>638</v>
      </c>
      <c r="E375" s="13" t="s">
        <v>724</v>
      </c>
      <c r="F375" s="308">
        <v>300651431483</v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28.5">
      <c r="A376" t="s">
        <v>2606</v>
      </c>
      <c r="B376">
        <v>2</v>
      </c>
      <c r="C376" s="133">
        <v>0</v>
      </c>
      <c r="D376" s="23" t="s">
        <v>109</v>
      </c>
      <c r="E376" s="22" t="s">
        <v>2607</v>
      </c>
      <c r="F376">
        <v>7709530287617</v>
      </c>
    </row>
    <row r="377" spans="1:26" s="304" customFormat="1">
      <c r="C377" s="344"/>
    </row>
    <row r="378" spans="1:26">
      <c r="A378" s="39" t="s">
        <v>2423</v>
      </c>
      <c r="B378" s="23">
        <v>1</v>
      </c>
      <c r="C378" s="133">
        <v>0</v>
      </c>
      <c r="D378" s="134" t="s">
        <v>2608</v>
      </c>
      <c r="E378" s="39" t="s">
        <v>2425</v>
      </c>
      <c r="F378" s="39">
        <v>7795345123226</v>
      </c>
    </row>
    <row r="379" spans="1:26">
      <c r="A379" s="39" t="s">
        <v>2423</v>
      </c>
      <c r="B379" s="23">
        <v>1</v>
      </c>
      <c r="C379" s="133">
        <v>0</v>
      </c>
      <c r="D379" s="134" t="s">
        <v>2608</v>
      </c>
      <c r="E379" s="39" t="s">
        <v>2425</v>
      </c>
      <c r="F379" s="39">
        <v>7795345123226</v>
      </c>
    </row>
    <row r="380" spans="1:26">
      <c r="A380" s="22" t="s">
        <v>686</v>
      </c>
      <c r="B380">
        <v>3</v>
      </c>
      <c r="C380" s="133">
        <v>0</v>
      </c>
      <c r="D380" s="23" t="s">
        <v>10</v>
      </c>
      <c r="E380" t="s">
        <v>687</v>
      </c>
      <c r="F380">
        <v>7702184020258</v>
      </c>
    </row>
    <row r="381" spans="1:26" ht="45">
      <c r="A381" s="43" t="s">
        <v>2609</v>
      </c>
      <c r="B381" s="19">
        <v>1</v>
      </c>
      <c r="C381" s="126">
        <v>0</v>
      </c>
      <c r="D381" s="19" t="s">
        <v>676</v>
      </c>
      <c r="E381" s="43" t="s">
        <v>2610</v>
      </c>
      <c r="F381" s="19">
        <v>7709347563751</v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28.5">
      <c r="A382" s="7" t="s">
        <v>1402</v>
      </c>
      <c r="B382" s="24">
        <v>1</v>
      </c>
      <c r="C382" s="26">
        <v>0</v>
      </c>
      <c r="D382" s="30" t="s">
        <v>888</v>
      </c>
      <c r="E382" s="7" t="s">
        <v>1403</v>
      </c>
      <c r="F382" s="7">
        <v>7706310000039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3"/>
    </row>
    <row r="383" spans="1:26" ht="28.5">
      <c r="A383" t="s">
        <v>955</v>
      </c>
      <c r="B383" s="23">
        <v>1</v>
      </c>
      <c r="C383" s="51">
        <v>0</v>
      </c>
      <c r="D383" s="172" t="s">
        <v>310</v>
      </c>
      <c r="E383" s="22" t="s">
        <v>956</v>
      </c>
      <c r="F383" s="52">
        <v>7702184020388</v>
      </c>
    </row>
    <row r="384" spans="1:26" ht="15">
      <c r="A384" s="146" t="s">
        <v>828</v>
      </c>
      <c r="B384" s="147">
        <v>1</v>
      </c>
      <c r="C384" s="148">
        <v>0</v>
      </c>
      <c r="D384" s="149" t="s">
        <v>829</v>
      </c>
      <c r="E384" s="159" t="s">
        <v>830</v>
      </c>
      <c r="F384">
        <v>7709233974463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t="s">
        <v>2611</v>
      </c>
      <c r="B385" s="39">
        <v>2</v>
      </c>
      <c r="C385" s="40">
        <v>0</v>
      </c>
      <c r="D385" s="39" t="s">
        <v>2612</v>
      </c>
      <c r="E385" t="s">
        <v>721</v>
      </c>
      <c r="F385">
        <v>8904159617589</v>
      </c>
    </row>
    <row r="386" spans="1:26" ht="28.5">
      <c r="A386" s="69" t="s">
        <v>831</v>
      </c>
      <c r="B386" s="14">
        <v>4</v>
      </c>
      <c r="C386" s="105">
        <v>0.19</v>
      </c>
      <c r="D386" s="14" t="s">
        <v>10</v>
      </c>
      <c r="E386" s="13" t="s">
        <v>832</v>
      </c>
      <c r="F386" s="61">
        <v>7702057080075</v>
      </c>
    </row>
    <row r="387" spans="1:26" ht="28.5">
      <c r="A387" s="22" t="s">
        <v>2613</v>
      </c>
      <c r="B387" s="22">
        <v>1</v>
      </c>
      <c r="C387" s="175">
        <v>0</v>
      </c>
      <c r="D387" s="326" t="s">
        <v>458</v>
      </c>
      <c r="E387" s="22" t="s">
        <v>2614</v>
      </c>
      <c r="F387" s="22">
        <v>650240030581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6">
      <c r="A388" s="304"/>
      <c r="B388" s="304"/>
      <c r="C388" s="344"/>
      <c r="D388" s="304"/>
      <c r="E388" s="304"/>
      <c r="F388" s="304"/>
      <c r="G388" s="304"/>
      <c r="H388" s="304"/>
      <c r="I388" s="304"/>
      <c r="J388" s="304"/>
      <c r="K388" s="304"/>
      <c r="L388" s="304"/>
      <c r="M388" s="304"/>
      <c r="N388" s="304"/>
      <c r="O388" s="304"/>
      <c r="P388" s="304"/>
      <c r="Q388" s="304"/>
      <c r="R388" s="304"/>
      <c r="S388" s="304"/>
      <c r="T388" s="304"/>
      <c r="U388" s="304"/>
      <c r="V388" s="304"/>
      <c r="W388" s="304"/>
      <c r="X388" s="304"/>
      <c r="Y388" s="304"/>
      <c r="Z388" s="304"/>
    </row>
    <row r="389" spans="1:26" ht="28.5">
      <c r="A389" s="28" t="s">
        <v>635</v>
      </c>
      <c r="B389" s="30">
        <v>3</v>
      </c>
      <c r="C389" s="31">
        <v>0</v>
      </c>
      <c r="D389" s="30" t="s">
        <v>153</v>
      </c>
      <c r="E389" s="24" t="s">
        <v>636</v>
      </c>
      <c r="F389" s="63">
        <v>7703038062431</v>
      </c>
    </row>
    <row r="390" spans="1:26">
      <c r="A390" s="304"/>
      <c r="B390" s="304"/>
      <c r="C390" s="344"/>
      <c r="D390" s="304"/>
      <c r="E390" s="304"/>
      <c r="F390" s="304"/>
      <c r="G390" s="304"/>
      <c r="H390" s="304"/>
      <c r="I390" s="304"/>
      <c r="J390" s="304"/>
      <c r="K390" s="304"/>
      <c r="L390" s="304"/>
      <c r="M390" s="304"/>
      <c r="N390" s="304"/>
      <c r="O390" s="304"/>
      <c r="P390" s="304"/>
      <c r="Q390" s="304"/>
      <c r="R390" s="304"/>
      <c r="S390" s="304"/>
      <c r="T390" s="304"/>
      <c r="U390" s="304"/>
      <c r="V390" s="304"/>
      <c r="W390" s="304"/>
      <c r="X390" s="304"/>
      <c r="Y390" s="304"/>
      <c r="Z390" s="304"/>
    </row>
    <row r="391" spans="1:26" ht="30">
      <c r="A391" s="263" t="s">
        <v>992</v>
      </c>
      <c r="B391" s="267">
        <v>2</v>
      </c>
      <c r="C391" s="327">
        <v>0</v>
      </c>
      <c r="D391" s="328" t="s">
        <v>442</v>
      </c>
      <c r="E391" s="267" t="s">
        <v>477</v>
      </c>
      <c r="F391" s="268">
        <v>7703546083225</v>
      </c>
    </row>
    <row r="392" spans="1:26">
      <c r="A392" s="8" t="s">
        <v>1848</v>
      </c>
      <c r="B392" s="30">
        <v>6</v>
      </c>
      <c r="C392" s="31">
        <v>0.19</v>
      </c>
      <c r="D392" s="98" t="s">
        <v>153</v>
      </c>
      <c r="E392" s="8" t="s">
        <v>1849</v>
      </c>
      <c r="F392" s="8">
        <v>7709469175238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28.5">
      <c r="A393" s="22" t="s">
        <v>297</v>
      </c>
      <c r="B393" s="22">
        <v>30</v>
      </c>
      <c r="C393" s="175">
        <v>0.19</v>
      </c>
      <c r="D393" s="326" t="s">
        <v>298</v>
      </c>
      <c r="E393" s="22" t="s">
        <v>299</v>
      </c>
      <c r="F393" s="22">
        <v>7707346260053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6" ht="28.5">
      <c r="A394" s="71" t="s">
        <v>2337</v>
      </c>
      <c r="B394" s="14">
        <v>1</v>
      </c>
      <c r="C394" s="105">
        <v>0.19</v>
      </c>
      <c r="D394" s="137" t="s">
        <v>697</v>
      </c>
      <c r="E394" s="69" t="s">
        <v>2338</v>
      </c>
      <c r="F394" s="71">
        <v>7709812676504</v>
      </c>
      <c r="G394" s="28"/>
      <c r="H394" s="28"/>
      <c r="I394" s="28"/>
      <c r="J394" s="28"/>
      <c r="K394" s="28"/>
      <c r="L394" s="28"/>
      <c r="M394" s="28"/>
      <c r="N394" s="28"/>
      <c r="O394" s="28"/>
    </row>
    <row r="395" spans="1:26" s="304" customFormat="1">
      <c r="C395" s="344"/>
    </row>
    <row r="396" spans="1:26" ht="30">
      <c r="A396" s="73" t="s">
        <v>287</v>
      </c>
      <c r="B396" s="17">
        <v>8</v>
      </c>
      <c r="C396" s="33">
        <v>0</v>
      </c>
      <c r="D396" s="202" t="s">
        <v>10</v>
      </c>
      <c r="E396" s="73" t="s">
        <v>288</v>
      </c>
      <c r="F396" s="20">
        <v>7730766003382</v>
      </c>
    </row>
    <row r="397" spans="1:26">
      <c r="A397" s="12" t="s">
        <v>640</v>
      </c>
      <c r="B397" s="12">
        <v>1</v>
      </c>
      <c r="C397" s="59">
        <v>0</v>
      </c>
      <c r="D397" s="137" t="s">
        <v>293</v>
      </c>
      <c r="E397" s="12" t="s">
        <v>641</v>
      </c>
      <c r="F397">
        <v>7702560026577</v>
      </c>
    </row>
    <row r="398" spans="1:26">
      <c r="A398" s="12" t="s">
        <v>1466</v>
      </c>
      <c r="B398" s="12">
        <v>6</v>
      </c>
      <c r="C398" s="59">
        <v>0</v>
      </c>
      <c r="D398" s="137" t="s">
        <v>80</v>
      </c>
      <c r="E398" s="12" t="s">
        <v>648</v>
      </c>
      <c r="F398" s="12">
        <v>7702560009532</v>
      </c>
    </row>
    <row r="399" spans="1:26" ht="28.5">
      <c r="A399" s="69" t="s">
        <v>484</v>
      </c>
      <c r="B399" s="14">
        <v>2</v>
      </c>
      <c r="C399" s="105">
        <v>0</v>
      </c>
      <c r="D399" s="137" t="s">
        <v>485</v>
      </c>
      <c r="E399" s="13" t="s">
        <v>486</v>
      </c>
      <c r="F399" s="71">
        <v>7702208146018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28.5">
      <c r="A400" s="146" t="s">
        <v>487</v>
      </c>
      <c r="B400" s="147">
        <v>6</v>
      </c>
      <c r="C400" s="148">
        <v>0</v>
      </c>
      <c r="D400" s="288" t="s">
        <v>488</v>
      </c>
      <c r="E400" s="146" t="s">
        <v>489</v>
      </c>
      <c r="F400" s="141">
        <v>7702208146001</v>
      </c>
    </row>
    <row r="401" spans="1:28">
      <c r="A401" t="s">
        <v>2615</v>
      </c>
      <c r="B401">
        <v>2</v>
      </c>
      <c r="C401" s="133">
        <v>0</v>
      </c>
      <c r="D401" t="s">
        <v>10</v>
      </c>
      <c r="E401" t="s">
        <v>2564</v>
      </c>
      <c r="F401">
        <v>7702896001231</v>
      </c>
    </row>
    <row r="402" spans="1:28" ht="15">
      <c r="A402" s="16" t="s">
        <v>2616</v>
      </c>
      <c r="B402" s="17">
        <v>6</v>
      </c>
      <c r="C402" s="124">
        <v>0</v>
      </c>
      <c r="D402" s="17" t="s">
        <v>2446</v>
      </c>
      <c r="E402" s="16" t="s">
        <v>975</v>
      </c>
      <c r="F402" s="18">
        <v>7705366100021</v>
      </c>
      <c r="G402" s="28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8" ht="30">
      <c r="A403" s="45" t="s">
        <v>399</v>
      </c>
      <c r="B403" s="21">
        <v>1</v>
      </c>
      <c r="C403" s="177">
        <v>0</v>
      </c>
      <c r="D403" s="329" t="s">
        <v>91</v>
      </c>
      <c r="E403" s="45" t="s">
        <v>400</v>
      </c>
      <c r="F403" s="46">
        <v>7707019334203</v>
      </c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8" ht="28.5">
      <c r="A404" s="22" t="s">
        <v>1581</v>
      </c>
      <c r="B404" s="23">
        <v>1</v>
      </c>
      <c r="C404" s="51">
        <v>0</v>
      </c>
      <c r="D404" s="50" t="s">
        <v>2617</v>
      </c>
      <c r="E404" t="s">
        <v>1583</v>
      </c>
      <c r="F404">
        <v>751273765119</v>
      </c>
    </row>
    <row r="405" spans="1:28" ht="28.5">
      <c r="A405" s="69" t="s">
        <v>79</v>
      </c>
      <c r="B405" s="14">
        <v>12</v>
      </c>
      <c r="C405" s="136">
        <v>0</v>
      </c>
      <c r="D405" s="136" t="s">
        <v>80</v>
      </c>
      <c r="E405" s="13" t="s">
        <v>81</v>
      </c>
      <c r="F405" s="61">
        <v>7705366100014</v>
      </c>
      <c r="G405" s="23"/>
      <c r="H405" s="23"/>
      <c r="I405" s="23"/>
      <c r="J405" s="23"/>
      <c r="K405" s="23"/>
      <c r="L405" s="23"/>
      <c r="M405" s="23"/>
      <c r="N405" s="23"/>
      <c r="O405" s="23"/>
    </row>
    <row r="406" spans="1:28">
      <c r="A406" s="24" t="s">
        <v>2618</v>
      </c>
      <c r="B406" s="30">
        <v>2</v>
      </c>
      <c r="C406" s="31">
        <v>0</v>
      </c>
      <c r="D406" s="98" t="s">
        <v>2619</v>
      </c>
      <c r="E406" s="24" t="s">
        <v>1043</v>
      </c>
      <c r="F406" s="28">
        <v>7891010254797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spans="1:28">
      <c r="A407" s="24" t="s">
        <v>2620</v>
      </c>
      <c r="B407" s="30">
        <v>2</v>
      </c>
      <c r="C407" s="31">
        <v>0</v>
      </c>
      <c r="D407" s="98" t="s">
        <v>2621</v>
      </c>
      <c r="E407" s="24" t="s">
        <v>1043</v>
      </c>
      <c r="F407" s="28">
        <v>7702031536567</v>
      </c>
    </row>
    <row r="408" spans="1:28">
      <c r="A408" s="24" t="s">
        <v>1041</v>
      </c>
      <c r="B408" s="8">
        <v>3</v>
      </c>
      <c r="C408" s="59">
        <v>0</v>
      </c>
      <c r="D408" s="59" t="s">
        <v>1042</v>
      </c>
      <c r="E408" s="24" t="s">
        <v>1043</v>
      </c>
      <c r="F408" s="28">
        <v>7891010254773</v>
      </c>
    </row>
    <row r="409" spans="1:28">
      <c r="A409" s="24" t="s">
        <v>1041</v>
      </c>
      <c r="B409" s="8">
        <v>1</v>
      </c>
      <c r="C409" s="59">
        <v>0</v>
      </c>
      <c r="D409" s="59" t="s">
        <v>1042</v>
      </c>
      <c r="E409" s="24" t="s">
        <v>1043</v>
      </c>
      <c r="F409" s="28">
        <v>7891010254773</v>
      </c>
    </row>
    <row r="410" spans="1:28">
      <c r="A410" s="24" t="s">
        <v>533</v>
      </c>
      <c r="B410" s="30">
        <v>3</v>
      </c>
      <c r="C410" s="31">
        <v>0</v>
      </c>
      <c r="D410" s="98" t="s">
        <v>534</v>
      </c>
      <c r="E410" s="8" t="s">
        <v>535</v>
      </c>
      <c r="F410" s="28">
        <v>7703038594116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8" s="304" customFormat="1">
      <c r="C411" s="344"/>
    </row>
    <row r="412" spans="1:28" ht="28.5">
      <c r="A412" s="65" t="s">
        <v>1061</v>
      </c>
      <c r="B412" s="100">
        <v>2</v>
      </c>
      <c r="C412" s="101">
        <v>0</v>
      </c>
      <c r="D412" s="102" t="s">
        <v>1062</v>
      </c>
      <c r="E412" s="64" t="s">
        <v>1063</v>
      </c>
      <c r="F412" s="103">
        <v>7702195086748</v>
      </c>
    </row>
    <row r="413" spans="1:28">
      <c r="A413" s="28" t="s">
        <v>221</v>
      </c>
      <c r="B413" s="8">
        <v>1</v>
      </c>
      <c r="C413" s="9">
        <v>0</v>
      </c>
      <c r="D413" s="8" t="s">
        <v>222</v>
      </c>
      <c r="E413" s="24" t="s">
        <v>223</v>
      </c>
      <c r="F413" s="28">
        <v>7704412152847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8" ht="15">
      <c r="A414" s="16" t="s">
        <v>538</v>
      </c>
      <c r="B414" s="17">
        <v>2</v>
      </c>
      <c r="C414" s="124">
        <v>0</v>
      </c>
      <c r="D414" s="17" t="s">
        <v>7</v>
      </c>
      <c r="E414" s="35" t="s">
        <v>539</v>
      </c>
      <c r="F414" s="110">
        <v>7702896001774</v>
      </c>
    </row>
    <row r="415" spans="1:28">
      <c r="A415" s="71" t="s">
        <v>90</v>
      </c>
      <c r="B415" s="14">
        <v>3</v>
      </c>
      <c r="C415" s="105">
        <v>0.19</v>
      </c>
      <c r="D415" s="137" t="s">
        <v>91</v>
      </c>
      <c r="E415" s="12" t="s">
        <v>92</v>
      </c>
      <c r="F415" s="61">
        <v>7707277580459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8">
      <c r="A416" s="24" t="s">
        <v>1209</v>
      </c>
      <c r="B416" s="28">
        <v>2</v>
      </c>
      <c r="C416" s="192">
        <v>0</v>
      </c>
      <c r="D416" s="30" t="s">
        <v>222</v>
      </c>
      <c r="E416" s="24" t="s">
        <v>872</v>
      </c>
      <c r="F416" s="63">
        <v>7896006202516</v>
      </c>
      <c r="G416" s="28"/>
    </row>
    <row r="417" spans="1:28" ht="42.75">
      <c r="A417" t="s">
        <v>732</v>
      </c>
      <c r="B417">
        <v>2</v>
      </c>
      <c r="C417" s="133">
        <v>19</v>
      </c>
      <c r="D417" t="s">
        <v>911</v>
      </c>
      <c r="E417" s="22" t="s">
        <v>734</v>
      </c>
      <c r="F417">
        <v>7707336091131</v>
      </c>
    </row>
    <row r="418" spans="1:28" s="304" customFormat="1">
      <c r="C418" s="344"/>
    </row>
    <row r="419" spans="1:28" ht="28.5">
      <c r="A419" s="64" t="s">
        <v>610</v>
      </c>
      <c r="B419" s="330">
        <v>3</v>
      </c>
      <c r="C419" s="331">
        <v>0</v>
      </c>
      <c r="D419" s="332" t="s">
        <v>491</v>
      </c>
      <c r="E419" s="64" t="s">
        <v>611</v>
      </c>
      <c r="F419" s="333">
        <v>8901117251175</v>
      </c>
    </row>
    <row r="420" spans="1:28" ht="28.5">
      <c r="A420" t="s">
        <v>2622</v>
      </c>
      <c r="B420">
        <v>3</v>
      </c>
      <c r="C420" s="133">
        <v>0</v>
      </c>
      <c r="D420" t="s">
        <v>355</v>
      </c>
      <c r="E420" s="22" t="s">
        <v>2623</v>
      </c>
      <c r="F420">
        <v>7707232096537</v>
      </c>
    </row>
    <row r="421" spans="1:28" ht="15">
      <c r="A421" s="73" t="s">
        <v>1898</v>
      </c>
      <c r="B421" s="18">
        <v>1</v>
      </c>
      <c r="C421" s="124">
        <v>0</v>
      </c>
      <c r="D421" s="17" t="s">
        <v>222</v>
      </c>
      <c r="E421" s="73" t="s">
        <v>909</v>
      </c>
      <c r="F421" s="32">
        <v>7451079001529</v>
      </c>
      <c r="G421" s="21"/>
      <c r="H421" s="21"/>
      <c r="I421" s="21"/>
      <c r="J421" s="21"/>
      <c r="K421" s="21"/>
      <c r="L421" s="21"/>
      <c r="M421" s="21"/>
      <c r="N421" s="21"/>
      <c r="O421" s="21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8" ht="30">
      <c r="A422" s="32" t="s">
        <v>175</v>
      </c>
      <c r="B422" s="17">
        <v>5</v>
      </c>
      <c r="C422" s="124">
        <v>0</v>
      </c>
      <c r="D422" s="124" t="s">
        <v>38</v>
      </c>
      <c r="E422" s="76" t="s">
        <v>121</v>
      </c>
      <c r="F422" s="20">
        <v>7501125176470</v>
      </c>
    </row>
    <row r="423" spans="1:28" ht="30">
      <c r="A423" s="18" t="s">
        <v>120</v>
      </c>
      <c r="B423" s="17">
        <v>5</v>
      </c>
      <c r="C423" s="124">
        <v>0</v>
      </c>
      <c r="D423" s="124" t="s">
        <v>38</v>
      </c>
      <c r="E423" s="16" t="s">
        <v>121</v>
      </c>
      <c r="F423" s="18">
        <v>7501125176548</v>
      </c>
    </row>
    <row r="424" spans="1:28">
      <c r="A424" s="13" t="s">
        <v>252</v>
      </c>
      <c r="B424" s="12">
        <v>1</v>
      </c>
      <c r="C424" s="59">
        <v>0</v>
      </c>
      <c r="D424" s="12" t="s">
        <v>250</v>
      </c>
      <c r="E424" s="12" t="s">
        <v>253</v>
      </c>
      <c r="F424" s="12">
        <v>7702057013585</v>
      </c>
    </row>
    <row r="425" spans="1:28">
      <c r="A425" t="s">
        <v>2006</v>
      </c>
      <c r="B425">
        <v>3</v>
      </c>
      <c r="C425" s="133">
        <v>0</v>
      </c>
      <c r="D425" s="23" t="s">
        <v>408</v>
      </c>
      <c r="E425" t="s">
        <v>2008</v>
      </c>
      <c r="F425">
        <v>8904159624150</v>
      </c>
    </row>
    <row r="426" spans="1:28">
      <c r="A426" s="69" t="s">
        <v>249</v>
      </c>
      <c r="B426" s="14">
        <v>1</v>
      </c>
      <c r="C426" s="105">
        <v>0</v>
      </c>
      <c r="D426" s="14" t="s">
        <v>250</v>
      </c>
      <c r="E426" s="71" t="s">
        <v>251</v>
      </c>
      <c r="F426" s="71">
        <v>7702057015336</v>
      </c>
    </row>
    <row r="427" spans="1:28" ht="15">
      <c r="A427" s="73" t="s">
        <v>1912</v>
      </c>
      <c r="B427" s="17">
        <v>1</v>
      </c>
      <c r="C427" s="124">
        <v>0</v>
      </c>
      <c r="D427" s="204" t="s">
        <v>1409</v>
      </c>
      <c r="E427" s="32" t="s">
        <v>1734</v>
      </c>
      <c r="F427" s="20">
        <v>7707177972705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spans="1:28" ht="42.75">
      <c r="A428" s="22" t="s">
        <v>744</v>
      </c>
      <c r="B428">
        <v>7</v>
      </c>
      <c r="C428" s="133">
        <v>0.19</v>
      </c>
      <c r="D428" s="183" t="s">
        <v>293</v>
      </c>
      <c r="E428" s="22" t="s">
        <v>745</v>
      </c>
      <c r="F428">
        <v>7705471701212</v>
      </c>
    </row>
    <row r="429" spans="1:28" ht="28.5">
      <c r="A429" t="s">
        <v>2624</v>
      </c>
      <c r="B429">
        <v>5</v>
      </c>
      <c r="C429" s="133">
        <v>0</v>
      </c>
      <c r="D429" t="s">
        <v>109</v>
      </c>
      <c r="E429" s="22" t="s">
        <v>2625</v>
      </c>
      <c r="F429">
        <v>7703712033511</v>
      </c>
    </row>
    <row r="430" spans="1:28" s="304" customFormat="1">
      <c r="C430" s="344"/>
    </row>
    <row r="431" spans="1:28">
      <c r="A431" t="s">
        <v>926</v>
      </c>
      <c r="B431">
        <v>5</v>
      </c>
      <c r="C431" s="218">
        <v>0.19</v>
      </c>
      <c r="D431" s="219" t="s">
        <v>927</v>
      </c>
      <c r="E431" t="s">
        <v>928</v>
      </c>
      <c r="F431">
        <v>7702026174897</v>
      </c>
      <c r="G431" s="28"/>
    </row>
    <row r="432" spans="1:28">
      <c r="A432" s="24" t="s">
        <v>654</v>
      </c>
      <c r="B432" s="28">
        <v>1</v>
      </c>
      <c r="C432" s="192">
        <v>0.19</v>
      </c>
      <c r="D432" s="193" t="s">
        <v>787</v>
      </c>
      <c r="E432" s="28" t="s">
        <v>656</v>
      </c>
      <c r="F432" s="63">
        <v>7702026174156</v>
      </c>
      <c r="G432" s="28"/>
    </row>
    <row r="433" spans="1:26">
      <c r="A433" s="22" t="s">
        <v>2626</v>
      </c>
      <c r="B433">
        <v>6</v>
      </c>
      <c r="C433" s="105">
        <v>0.19</v>
      </c>
      <c r="D433" s="14" t="s">
        <v>80</v>
      </c>
      <c r="E433" t="s">
        <v>928</v>
      </c>
      <c r="F433">
        <v>7702026174675</v>
      </c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 spans="1:26">
      <c r="A434" s="22" t="s">
        <v>2627</v>
      </c>
      <c r="B434">
        <v>1</v>
      </c>
      <c r="C434" s="105">
        <v>0.19</v>
      </c>
      <c r="D434" s="14" t="s">
        <v>655</v>
      </c>
      <c r="E434" t="s">
        <v>2628</v>
      </c>
      <c r="F434">
        <v>7702026174149</v>
      </c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 spans="1:26" ht="15">
      <c r="A435" s="64" t="s">
        <v>2629</v>
      </c>
      <c r="B435" s="102">
        <v>2</v>
      </c>
      <c r="C435" s="101">
        <v>0.19</v>
      </c>
      <c r="D435" s="125" t="s">
        <v>2630</v>
      </c>
      <c r="E435" s="64" t="s">
        <v>2631</v>
      </c>
      <c r="F435" s="19">
        <v>7702026179380</v>
      </c>
      <c r="G435" s="68"/>
      <c r="H435" s="65"/>
      <c r="I435" s="65"/>
      <c r="J435" s="65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24" t="s">
        <v>2632</v>
      </c>
      <c r="B436" s="28">
        <v>6</v>
      </c>
      <c r="C436" s="31">
        <v>0.19</v>
      </c>
      <c r="D436" s="30" t="s">
        <v>366</v>
      </c>
      <c r="E436" s="28" t="s">
        <v>2131</v>
      </c>
      <c r="F436" s="28">
        <v>7702027479755</v>
      </c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4" t="s">
        <v>2129</v>
      </c>
      <c r="B437" s="28">
        <v>1</v>
      </c>
      <c r="C437" s="31">
        <v>0.19</v>
      </c>
      <c r="D437" s="30" t="s">
        <v>2633</v>
      </c>
      <c r="E437" s="28" t="s">
        <v>2131</v>
      </c>
      <c r="F437" s="28">
        <v>7702027479731</v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 spans="1:26">
      <c r="A438" s="28" t="s">
        <v>786</v>
      </c>
      <c r="B438" s="30">
        <v>1</v>
      </c>
      <c r="C438" s="31">
        <v>0.19</v>
      </c>
      <c r="D438" s="98" t="s">
        <v>1427</v>
      </c>
      <c r="E438" s="28" t="s">
        <v>210</v>
      </c>
      <c r="F438" s="28">
        <v>7702027479724</v>
      </c>
      <c r="G438" s="28"/>
      <c r="H438" s="28"/>
      <c r="I438" s="28"/>
      <c r="J438" s="28"/>
      <c r="K438" s="28"/>
      <c r="L438" s="28"/>
      <c r="M438" s="28"/>
      <c r="N438" s="28"/>
      <c r="O438" s="28"/>
    </row>
    <row r="439" spans="1:26">
      <c r="A439" s="22" t="s">
        <v>2634</v>
      </c>
      <c r="B439">
        <v>6</v>
      </c>
      <c r="C439" s="133">
        <v>0.19</v>
      </c>
      <c r="D439" s="23" t="s">
        <v>366</v>
      </c>
      <c r="E439" t="s">
        <v>928</v>
      </c>
      <c r="F439">
        <v>7702027479656</v>
      </c>
    </row>
    <row r="440" spans="1:26">
      <c r="A440" s="24" t="s">
        <v>2327</v>
      </c>
      <c r="B440" s="28">
        <v>1</v>
      </c>
      <c r="C440" s="31">
        <v>0.19</v>
      </c>
      <c r="D440" s="30" t="s">
        <v>2635</v>
      </c>
      <c r="E440" s="28" t="s">
        <v>2328</v>
      </c>
      <c r="F440" s="28">
        <v>7702027479632</v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 spans="1:26" ht="15">
      <c r="A441" s="24" t="s">
        <v>1428</v>
      </c>
      <c r="B441" s="37">
        <v>1</v>
      </c>
      <c r="C441" s="177">
        <v>0.19</v>
      </c>
      <c r="D441" s="292" t="s">
        <v>1429</v>
      </c>
      <c r="E441" s="28" t="s">
        <v>210</v>
      </c>
      <c r="F441" s="21">
        <v>7702027479625</v>
      </c>
      <c r="G441" s="21"/>
      <c r="H441" s="21"/>
      <c r="I441" s="21"/>
      <c r="J441" s="21"/>
      <c r="K441" s="21"/>
      <c r="L441" s="21"/>
      <c r="M441" s="21"/>
      <c r="N441" s="21"/>
      <c r="O441" s="21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6" ht="15">
      <c r="A442" s="24" t="s">
        <v>208</v>
      </c>
      <c r="B442" s="37">
        <v>1</v>
      </c>
      <c r="C442" s="177">
        <v>0.19</v>
      </c>
      <c r="D442" s="292" t="s">
        <v>2636</v>
      </c>
      <c r="E442" s="28" t="s">
        <v>210</v>
      </c>
      <c r="F442" s="21">
        <v>7702027478024</v>
      </c>
      <c r="G442" s="21"/>
      <c r="H442" s="21"/>
      <c r="I442" s="21"/>
      <c r="J442" s="21"/>
      <c r="K442" s="21"/>
      <c r="L442" s="21"/>
      <c r="M442" s="21"/>
      <c r="N442" s="21"/>
      <c r="O442" s="21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6" s="304" customFormat="1">
      <c r="C443" s="344"/>
    </row>
    <row r="444" spans="1:26" ht="30">
      <c r="A444" s="16" t="s">
        <v>1541</v>
      </c>
      <c r="B444" s="17">
        <v>1</v>
      </c>
      <c r="C444" s="124">
        <v>0</v>
      </c>
      <c r="D444" s="17" t="s">
        <v>638</v>
      </c>
      <c r="E444" s="16" t="s">
        <v>1542</v>
      </c>
      <c r="F444" s="139">
        <v>7703281000679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6" s="304" customFormat="1">
      <c r="C445" s="344"/>
    </row>
    <row r="446" spans="1:26">
      <c r="A446" t="s">
        <v>1333</v>
      </c>
      <c r="B446" s="23">
        <v>1</v>
      </c>
      <c r="C446" s="51">
        <v>0</v>
      </c>
      <c r="D446" s="23" t="s">
        <v>366</v>
      </c>
      <c r="E446" t="s">
        <v>1334</v>
      </c>
      <c r="F446">
        <v>6921875009193</v>
      </c>
    </row>
    <row r="447" spans="1:26" ht="42.75">
      <c r="A447" t="s">
        <v>2637</v>
      </c>
      <c r="B447">
        <v>1</v>
      </c>
      <c r="C447" s="133">
        <v>0</v>
      </c>
      <c r="D447" t="s">
        <v>80</v>
      </c>
      <c r="E447" s="22" t="s">
        <v>2638</v>
      </c>
      <c r="F447">
        <v>7702605890200</v>
      </c>
    </row>
    <row r="448" spans="1:26" ht="30">
      <c r="A448" s="19" t="s">
        <v>1586</v>
      </c>
      <c r="B448" s="19">
        <v>2</v>
      </c>
      <c r="C448" s="126">
        <v>0</v>
      </c>
      <c r="D448" s="19" t="s">
        <v>476</v>
      </c>
      <c r="E448" s="43" t="s">
        <v>1587</v>
      </c>
      <c r="F448" s="19">
        <v>6921875005546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30">
      <c r="A449" s="73" t="s">
        <v>2262</v>
      </c>
      <c r="B449" s="17">
        <v>6</v>
      </c>
      <c r="C449" s="124">
        <v>0</v>
      </c>
      <c r="D449" s="17" t="s">
        <v>23</v>
      </c>
      <c r="E449" s="73" t="s">
        <v>2263</v>
      </c>
      <c r="F449" s="32">
        <v>7707177970022</v>
      </c>
      <c r="Z449" s="23"/>
    </row>
    <row r="450" spans="1:26" ht="30">
      <c r="A450" s="16" t="s">
        <v>2264</v>
      </c>
      <c r="B450" s="18">
        <v>1</v>
      </c>
      <c r="C450" s="184">
        <v>0</v>
      </c>
      <c r="D450" s="17" t="s">
        <v>91</v>
      </c>
      <c r="E450" s="16" t="s">
        <v>2263</v>
      </c>
      <c r="F450" s="18">
        <v>7707177972910</v>
      </c>
    </row>
    <row r="451" spans="1:26" s="304" customFormat="1">
      <c r="C451" s="344"/>
    </row>
    <row r="452" spans="1:26">
      <c r="A452" s="13" t="s">
        <v>595</v>
      </c>
      <c r="B452" s="14">
        <v>6</v>
      </c>
      <c r="C452" s="105">
        <v>0</v>
      </c>
      <c r="D452" s="14" t="s">
        <v>596</v>
      </c>
      <c r="E452" s="13" t="s">
        <v>597</v>
      </c>
      <c r="F452" s="61">
        <v>8027950200245</v>
      </c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1:26" ht="28.5">
      <c r="A453" s="41" t="s">
        <v>690</v>
      </c>
      <c r="B453" s="23">
        <v>10</v>
      </c>
      <c r="C453" s="51">
        <v>0</v>
      </c>
      <c r="D453" s="23" t="s">
        <v>14</v>
      </c>
      <c r="E453" s="41" t="s">
        <v>692</v>
      </c>
      <c r="F453" s="273">
        <v>7707274721206</v>
      </c>
    </row>
    <row r="454" spans="1:26" ht="28.5">
      <c r="A454" s="41" t="s">
        <v>690</v>
      </c>
      <c r="B454" s="23">
        <v>5</v>
      </c>
      <c r="C454" s="51">
        <v>0</v>
      </c>
      <c r="D454" s="23" t="s">
        <v>14</v>
      </c>
      <c r="E454" s="41" t="s">
        <v>692</v>
      </c>
      <c r="F454" s="273">
        <v>7707274721206</v>
      </c>
    </row>
    <row r="455" spans="1:26" s="304" customFormat="1">
      <c r="C455" s="344"/>
    </row>
    <row r="456" spans="1:26" ht="28.5">
      <c r="A456" t="s">
        <v>1903</v>
      </c>
      <c r="B456">
        <v>3</v>
      </c>
      <c r="C456" s="133">
        <v>0</v>
      </c>
      <c r="D456" t="s">
        <v>26</v>
      </c>
      <c r="E456" s="22" t="s">
        <v>1904</v>
      </c>
      <c r="F456">
        <v>7709258997706</v>
      </c>
    </row>
    <row r="457" spans="1:26">
      <c r="A457" t="s">
        <v>2639</v>
      </c>
      <c r="B457">
        <v>1</v>
      </c>
      <c r="C457" s="133">
        <v>0</v>
      </c>
      <c r="D457" t="s">
        <v>293</v>
      </c>
      <c r="E457" t="s">
        <v>2640</v>
      </c>
      <c r="F457">
        <v>7707184160232</v>
      </c>
    </row>
    <row r="458" spans="1:26" s="304" customFormat="1">
      <c r="C458" s="344"/>
    </row>
    <row r="459" spans="1:26" ht="28.5">
      <c r="A459" s="69" t="s">
        <v>155</v>
      </c>
      <c r="B459">
        <v>1</v>
      </c>
      <c r="C459" s="59">
        <v>0</v>
      </c>
      <c r="D459" s="137" t="s">
        <v>156</v>
      </c>
      <c r="E459" s="121" t="s">
        <v>54</v>
      </c>
      <c r="F459" s="211">
        <v>7703038066606</v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13" t="s">
        <v>2161</v>
      </c>
      <c r="B460" s="71">
        <v>3</v>
      </c>
      <c r="C460" s="105">
        <v>0</v>
      </c>
      <c r="D460" s="137" t="s">
        <v>527</v>
      </c>
      <c r="E460" s="13" t="s">
        <v>431</v>
      </c>
      <c r="F460" s="12">
        <v>7703038067511</v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 spans="1:26" s="304" customFormat="1">
      <c r="C461" s="344"/>
    </row>
    <row r="462" spans="1:26" ht="28.5">
      <c r="A462" t="s">
        <v>2641</v>
      </c>
      <c r="B462">
        <v>1</v>
      </c>
      <c r="C462" s="133">
        <v>0.19</v>
      </c>
      <c r="D462" t="s">
        <v>948</v>
      </c>
      <c r="E462" s="22" t="s">
        <v>2642</v>
      </c>
      <c r="F462">
        <v>7707280393626</v>
      </c>
    </row>
    <row r="463" spans="1:26" ht="28.5">
      <c r="A463" s="24" t="s">
        <v>2643</v>
      </c>
      <c r="B463" s="14">
        <v>2</v>
      </c>
      <c r="C463" s="105">
        <v>0.19</v>
      </c>
      <c r="D463" s="14" t="s">
        <v>7</v>
      </c>
      <c r="E463" s="28" t="s">
        <v>2644</v>
      </c>
      <c r="F463" s="28">
        <v>7709696714897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6" ht="28.5">
      <c r="A464" s="69" t="s">
        <v>2645</v>
      </c>
      <c r="B464" s="53">
        <v>12</v>
      </c>
      <c r="C464" s="206">
        <v>0.19</v>
      </c>
      <c r="D464" s="137" t="s">
        <v>156</v>
      </c>
      <c r="E464" s="69" t="s">
        <v>1826</v>
      </c>
      <c r="F464" s="61">
        <v>7707280392926</v>
      </c>
    </row>
    <row r="465" spans="1:26" s="304" customFormat="1">
      <c r="C465" s="344"/>
    </row>
    <row r="466" spans="1:26" ht="28.5">
      <c r="A466" t="s">
        <v>2646</v>
      </c>
      <c r="B466">
        <v>2</v>
      </c>
      <c r="C466" s="133">
        <v>0</v>
      </c>
      <c r="D466" t="s">
        <v>38</v>
      </c>
      <c r="E466" s="22" t="s">
        <v>2647</v>
      </c>
      <c r="F466">
        <v>7703712080065</v>
      </c>
    </row>
    <row r="467" spans="1:26" ht="28.5">
      <c r="A467" s="13" t="s">
        <v>246</v>
      </c>
      <c r="B467" s="14">
        <v>1</v>
      </c>
      <c r="C467" s="105">
        <v>0.19</v>
      </c>
      <c r="D467" s="137" t="s">
        <v>1395</v>
      </c>
      <c r="E467" s="13" t="s">
        <v>248</v>
      </c>
      <c r="F467" s="211">
        <v>7703286115101</v>
      </c>
    </row>
    <row r="468" spans="1:26">
      <c r="A468" s="24" t="s">
        <v>2517</v>
      </c>
      <c r="B468" s="30">
        <v>1</v>
      </c>
      <c r="C468" s="31">
        <v>0.19</v>
      </c>
      <c r="D468" s="98" t="s">
        <v>1035</v>
      </c>
      <c r="E468" s="8" t="s">
        <v>2518</v>
      </c>
      <c r="F468" s="28">
        <v>7705471700383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>
      <c r="A469" s="24" t="s">
        <v>1388</v>
      </c>
      <c r="B469" s="30">
        <v>1</v>
      </c>
      <c r="C469" s="192">
        <v>0.19</v>
      </c>
      <c r="D469" s="193" t="s">
        <v>2648</v>
      </c>
      <c r="E469" s="28" t="s">
        <v>1389</v>
      </c>
      <c r="F469" s="28">
        <v>7705471700390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">
      <c r="A470" s="152" t="s">
        <v>1623</v>
      </c>
      <c r="B470" s="153">
        <v>1</v>
      </c>
      <c r="C470" s="55">
        <v>0</v>
      </c>
      <c r="D470" s="154" t="s">
        <v>1624</v>
      </c>
      <c r="E470" s="152" t="s">
        <v>1625</v>
      </c>
      <c r="F470" s="96">
        <v>7703038050322</v>
      </c>
    </row>
    <row r="471" spans="1:26">
      <c r="A471" s="69" t="s">
        <v>2649</v>
      </c>
      <c r="B471" s="14">
        <v>1</v>
      </c>
      <c r="C471" s="105">
        <v>0</v>
      </c>
      <c r="D471" s="105" t="s">
        <v>697</v>
      </c>
      <c r="E471" s="13" t="s">
        <v>2650</v>
      </c>
      <c r="F471" s="71">
        <v>7702057017361</v>
      </c>
      <c r="G471" s="28"/>
    </row>
    <row r="472" spans="1:26" ht="28.5">
      <c r="A472" s="12" t="s">
        <v>347</v>
      </c>
      <c r="B472" s="12">
        <v>1</v>
      </c>
      <c r="C472" s="59">
        <v>0</v>
      </c>
      <c r="D472" s="14" t="s">
        <v>348</v>
      </c>
      <c r="E472" s="13" t="s">
        <v>349</v>
      </c>
      <c r="F472" s="12">
        <v>650240029141</v>
      </c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1:26" ht="28.5">
      <c r="A473" t="s">
        <v>1869</v>
      </c>
      <c r="B473">
        <v>2</v>
      </c>
      <c r="C473" s="133">
        <v>0</v>
      </c>
      <c r="D473" t="s">
        <v>676</v>
      </c>
      <c r="E473" s="22" t="s">
        <v>1870</v>
      </c>
      <c r="F473">
        <v>7707313280152</v>
      </c>
    </row>
    <row r="474" spans="1:26" ht="28.5">
      <c r="A474" s="65" t="s">
        <v>2651</v>
      </c>
      <c r="B474" s="102">
        <v>1</v>
      </c>
      <c r="C474" s="101">
        <v>0</v>
      </c>
      <c r="D474" s="125" t="s">
        <v>262</v>
      </c>
      <c r="E474" s="64" t="s">
        <v>2652</v>
      </c>
      <c r="F474" s="65">
        <v>7702057700119</v>
      </c>
      <c r="G474" s="68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</row>
    <row r="475" spans="1:26">
      <c r="A475" s="71" t="s">
        <v>2229</v>
      </c>
      <c r="B475" s="12">
        <v>1</v>
      </c>
      <c r="C475" s="59">
        <v>0.19</v>
      </c>
      <c r="D475" s="12" t="s">
        <v>1075</v>
      </c>
      <c r="E475" s="71" t="s">
        <v>2230</v>
      </c>
      <c r="F475" s="71">
        <v>7702057082130</v>
      </c>
      <c r="G475" s="71"/>
    </row>
    <row r="476" spans="1:26">
      <c r="A476" s="12" t="s">
        <v>965</v>
      </c>
      <c r="B476" s="12">
        <v>6</v>
      </c>
      <c r="C476" s="70">
        <v>0</v>
      </c>
      <c r="D476" s="227" t="s">
        <v>118</v>
      </c>
      <c r="E476" s="13" t="s">
        <v>966</v>
      </c>
      <c r="F476" s="12">
        <v>7707177971616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 spans="1:26">
      <c r="A477" s="12" t="s">
        <v>2653</v>
      </c>
      <c r="B477" s="12">
        <v>1</v>
      </c>
      <c r="C477" s="59">
        <v>0</v>
      </c>
      <c r="D477" s="111" t="s">
        <v>227</v>
      </c>
      <c r="E477" s="12" t="s">
        <v>2654</v>
      </c>
      <c r="F477" s="12">
        <v>7703038066736</v>
      </c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>
      <c r="A478" s="304"/>
      <c r="B478" s="304"/>
      <c r="C478" s="344"/>
      <c r="D478" s="304"/>
      <c r="E478" s="304"/>
      <c r="F478" s="304"/>
      <c r="G478" s="304"/>
      <c r="H478" s="304"/>
      <c r="I478" s="304"/>
      <c r="J478" s="304"/>
      <c r="K478" s="304"/>
      <c r="L478" s="304"/>
      <c r="M478" s="304"/>
      <c r="N478" s="304"/>
      <c r="O478" s="304"/>
      <c r="P478" s="304"/>
      <c r="Q478" s="304"/>
      <c r="R478" s="304"/>
      <c r="S478" s="304"/>
      <c r="T478" s="304"/>
      <c r="U478" s="304"/>
      <c r="V478" s="304"/>
      <c r="W478" s="304"/>
      <c r="X478" s="304"/>
      <c r="Y478" s="304"/>
      <c r="Z478" s="304"/>
    </row>
    <row r="479" spans="1:26">
      <c r="A479" s="24" t="s">
        <v>524</v>
      </c>
      <c r="B479" s="25">
        <v>3</v>
      </c>
      <c r="C479" s="26">
        <v>0</v>
      </c>
      <c r="D479" s="27" t="s">
        <v>222</v>
      </c>
      <c r="E479" s="7" t="s">
        <v>525</v>
      </c>
      <c r="F479" s="24">
        <v>7707336090585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 spans="1:26" ht="28.5">
      <c r="A480" s="146" t="s">
        <v>229</v>
      </c>
      <c r="B480" s="147">
        <v>2</v>
      </c>
      <c r="C480" s="148">
        <v>0.19</v>
      </c>
      <c r="D480" s="158" t="s">
        <v>1888</v>
      </c>
      <c r="E480" s="146" t="s">
        <v>230</v>
      </c>
      <c r="F480" s="169">
        <v>7707210530909</v>
      </c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</row>
    <row r="481" spans="1:26">
      <c r="A481" t="s">
        <v>152</v>
      </c>
      <c r="B481" s="39">
        <v>10</v>
      </c>
      <c r="C481" s="40">
        <v>0</v>
      </c>
      <c r="D481" s="39" t="s">
        <v>2655</v>
      </c>
      <c r="E481" t="s">
        <v>154</v>
      </c>
      <c r="F481" s="52">
        <v>7706569000958</v>
      </c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 spans="1:26" ht="15">
      <c r="A482" s="130" t="s">
        <v>1034</v>
      </c>
      <c r="B482" s="130">
        <v>6</v>
      </c>
      <c r="C482" s="131">
        <v>0.19</v>
      </c>
      <c r="D482" s="215" t="s">
        <v>1035</v>
      </c>
      <c r="E482" s="130" t="s">
        <v>1036</v>
      </c>
      <c r="F482" s="130">
        <v>7707336092497</v>
      </c>
    </row>
    <row r="483" spans="1:26">
      <c r="A483" s="304"/>
      <c r="B483" s="304"/>
      <c r="C483" s="344"/>
      <c r="D483" s="304"/>
      <c r="E483" s="304"/>
      <c r="F483" s="304"/>
      <c r="G483" s="304"/>
      <c r="H483" s="304"/>
      <c r="I483" s="304"/>
      <c r="J483" s="304"/>
      <c r="K483" s="304"/>
      <c r="L483" s="304"/>
      <c r="M483" s="304"/>
      <c r="N483" s="304"/>
      <c r="O483" s="304"/>
      <c r="P483" s="304"/>
      <c r="Q483" s="304"/>
      <c r="R483" s="304"/>
      <c r="S483" s="304"/>
      <c r="T483" s="304"/>
      <c r="U483" s="304"/>
      <c r="V483" s="304"/>
      <c r="W483" s="304"/>
      <c r="X483" s="304"/>
      <c r="Y483" s="304"/>
      <c r="Z483" s="304"/>
    </row>
    <row r="484" spans="1:26">
      <c r="A484" t="s">
        <v>2656</v>
      </c>
      <c r="B484">
        <v>7</v>
      </c>
      <c r="C484" s="133">
        <v>0</v>
      </c>
      <c r="D484" t="s">
        <v>53</v>
      </c>
      <c r="E484" t="s">
        <v>721</v>
      </c>
    </row>
    <row r="485" spans="1:26">
      <c r="A485" s="8" t="s">
        <v>2657</v>
      </c>
      <c r="B485" s="30">
        <v>6</v>
      </c>
      <c r="C485" s="31">
        <v>0.19</v>
      </c>
      <c r="D485" s="98" t="s">
        <v>366</v>
      </c>
      <c r="E485" s="8" t="s">
        <v>2658</v>
      </c>
      <c r="F485" s="8">
        <v>7705471500013</v>
      </c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304"/>
      <c r="B486" s="304"/>
      <c r="C486" s="344"/>
      <c r="D486" s="304"/>
      <c r="E486" s="304"/>
      <c r="F486" s="304"/>
      <c r="G486" s="304"/>
      <c r="H486" s="304"/>
      <c r="I486" s="304"/>
      <c r="J486" s="304"/>
      <c r="K486" s="304"/>
      <c r="L486" s="304"/>
      <c r="M486" s="304"/>
      <c r="N486" s="304"/>
      <c r="O486" s="304"/>
      <c r="P486" s="304"/>
      <c r="Q486" s="304"/>
      <c r="R486" s="304"/>
      <c r="S486" s="304"/>
      <c r="T486" s="304"/>
      <c r="U486" s="304"/>
      <c r="V486" s="304"/>
      <c r="W486" s="304"/>
      <c r="X486" s="304"/>
      <c r="Y486" s="304"/>
      <c r="Z486" s="304"/>
    </row>
    <row r="487" spans="1:26">
      <c r="A487" s="64" t="s">
        <v>2144</v>
      </c>
      <c r="B487" s="102">
        <v>1</v>
      </c>
      <c r="C487" s="101">
        <v>0</v>
      </c>
      <c r="D487" s="125" t="s">
        <v>103</v>
      </c>
      <c r="E487" s="64" t="s">
        <v>2145</v>
      </c>
      <c r="F487" s="68">
        <v>7703153039752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>
      <c r="A488" s="304"/>
      <c r="B488" s="304"/>
      <c r="C488" s="344"/>
      <c r="D488" s="304"/>
      <c r="E488" s="304"/>
      <c r="F488" s="304"/>
      <c r="G488" s="304"/>
      <c r="H488" s="304"/>
      <c r="I488" s="304"/>
      <c r="J488" s="304"/>
      <c r="K488" s="304"/>
      <c r="L488" s="304"/>
      <c r="M488" s="304"/>
      <c r="N488" s="304"/>
      <c r="O488" s="304"/>
      <c r="P488" s="304"/>
      <c r="Q488" s="304"/>
      <c r="R488" s="304"/>
      <c r="S488" s="304"/>
      <c r="T488" s="304"/>
      <c r="U488" s="304"/>
      <c r="V488" s="304"/>
      <c r="W488" s="304"/>
      <c r="X488" s="304"/>
      <c r="Y488" s="304"/>
      <c r="Z488" s="304"/>
    </row>
    <row r="489" spans="1:26">
      <c r="A489" s="24" t="s">
        <v>1017</v>
      </c>
      <c r="B489" s="28">
        <v>1</v>
      </c>
      <c r="C489" s="31">
        <v>0</v>
      </c>
      <c r="D489" s="98" t="s">
        <v>1018</v>
      </c>
      <c r="E489" s="8" t="s">
        <v>75</v>
      </c>
      <c r="F489" s="63">
        <v>7707067620655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6">
      <c r="A490" t="s">
        <v>2659</v>
      </c>
      <c r="B490">
        <v>3</v>
      </c>
      <c r="C490" s="133">
        <v>0</v>
      </c>
      <c r="D490" t="s">
        <v>509</v>
      </c>
      <c r="E490" t="s">
        <v>228</v>
      </c>
      <c r="F490">
        <v>7702184010518</v>
      </c>
    </row>
    <row r="491" spans="1:26">
      <c r="A491" s="304"/>
      <c r="B491" s="304"/>
      <c r="C491" s="344"/>
      <c r="D491" s="304"/>
      <c r="E491" s="304"/>
      <c r="F491" s="304"/>
      <c r="G491" s="304"/>
      <c r="H491" s="304"/>
      <c r="I491" s="304"/>
      <c r="J491" s="304"/>
      <c r="K491" s="304"/>
      <c r="L491" s="304"/>
      <c r="M491" s="304"/>
      <c r="N491" s="304"/>
      <c r="O491" s="304"/>
      <c r="P491" s="304"/>
      <c r="Q491" s="304"/>
      <c r="R491" s="304"/>
      <c r="S491" s="304"/>
      <c r="T491" s="304"/>
      <c r="U491" s="304"/>
      <c r="V491" s="304"/>
      <c r="W491" s="304"/>
      <c r="X491" s="304"/>
      <c r="Y491" s="304"/>
      <c r="Z491" s="304"/>
    </row>
    <row r="492" spans="1:26">
      <c r="A492" s="13" t="s">
        <v>137</v>
      </c>
      <c r="B492" s="13">
        <v>2</v>
      </c>
      <c r="C492" s="334">
        <v>0</v>
      </c>
      <c r="D492" s="14" t="s">
        <v>7</v>
      </c>
      <c r="E492" s="13" t="s">
        <v>138</v>
      </c>
      <c r="F492" s="13">
        <v>7705451023198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6" ht="28.5">
      <c r="A493" s="146" t="s">
        <v>2660</v>
      </c>
      <c r="B493" s="168">
        <v>1</v>
      </c>
      <c r="C493" s="170">
        <v>0</v>
      </c>
      <c r="D493" s="157" t="s">
        <v>293</v>
      </c>
      <c r="E493" s="146" t="s">
        <v>2661</v>
      </c>
      <c r="F493" s="141">
        <v>7702057016142</v>
      </c>
      <c r="G493" s="141"/>
      <c r="H493" s="141"/>
      <c r="I493" s="141"/>
      <c r="J493" s="141"/>
      <c r="K493" s="141"/>
      <c r="L493" s="141"/>
      <c r="M493" s="141"/>
      <c r="N493" s="141"/>
      <c r="O493" s="141"/>
    </row>
    <row r="494" spans="1:26" ht="15">
      <c r="A494" s="16" t="s">
        <v>2180</v>
      </c>
      <c r="B494" s="17">
        <v>1</v>
      </c>
      <c r="C494" s="124">
        <v>0</v>
      </c>
      <c r="D494" s="17" t="s">
        <v>85</v>
      </c>
      <c r="E494" s="18" t="s">
        <v>251</v>
      </c>
      <c r="F494" s="18">
        <v>7702057015428</v>
      </c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">
      <c r="A495" s="16" t="s">
        <v>712</v>
      </c>
      <c r="B495" s="37">
        <v>1</v>
      </c>
      <c r="C495" s="33">
        <v>0.19</v>
      </c>
      <c r="D495" s="34" t="s">
        <v>32</v>
      </c>
      <c r="E495" s="16" t="s">
        <v>713</v>
      </c>
      <c r="F495" s="20">
        <v>7707165900178</v>
      </c>
      <c r="G495" s="21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304"/>
      <c r="B496" s="304"/>
      <c r="C496" s="344"/>
      <c r="D496" s="304"/>
      <c r="E496" s="304"/>
      <c r="F496" s="304"/>
      <c r="G496" s="304"/>
      <c r="H496" s="304"/>
      <c r="I496" s="304"/>
      <c r="J496" s="304"/>
      <c r="K496" s="304"/>
      <c r="L496" s="304"/>
      <c r="M496" s="304"/>
      <c r="N496" s="304"/>
      <c r="O496" s="304"/>
      <c r="P496" s="304"/>
      <c r="Q496" s="304"/>
      <c r="R496" s="304"/>
      <c r="S496" s="304"/>
      <c r="T496" s="304"/>
      <c r="U496" s="304"/>
      <c r="V496" s="304"/>
      <c r="W496" s="304"/>
      <c r="X496" s="304"/>
      <c r="Y496" s="304"/>
      <c r="Z496" s="304"/>
    </row>
    <row r="497" spans="1:26" ht="15">
      <c r="A497" s="28" t="s">
        <v>990</v>
      </c>
      <c r="B497" s="28">
        <v>1</v>
      </c>
      <c r="C497" s="192">
        <v>0</v>
      </c>
      <c r="D497" s="30" t="s">
        <v>991</v>
      </c>
      <c r="E497" s="28" t="s">
        <v>558</v>
      </c>
      <c r="F497" s="63">
        <v>7702132009731</v>
      </c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28.5">
      <c r="A498" s="64" t="s">
        <v>616</v>
      </c>
      <c r="B498" s="65">
        <v>5</v>
      </c>
      <c r="C498" s="66">
        <v>0</v>
      </c>
      <c r="D498" s="64" t="s">
        <v>2662</v>
      </c>
      <c r="E498" s="330" t="s">
        <v>618</v>
      </c>
      <c r="F498" s="103">
        <v>7702870071465</v>
      </c>
      <c r="G498" s="102"/>
      <c r="H498" s="102"/>
      <c r="I498" s="102"/>
      <c r="J498" s="102"/>
      <c r="K498" s="102"/>
      <c r="L498" s="102"/>
      <c r="M498" s="102"/>
      <c r="N498" s="102"/>
      <c r="O498" s="102"/>
    </row>
    <row r="499" spans="1:26" ht="28.5">
      <c r="A499" s="24" t="s">
        <v>2663</v>
      </c>
      <c r="B499" s="30">
        <v>1</v>
      </c>
      <c r="C499" s="31">
        <v>0</v>
      </c>
      <c r="D499" s="99" t="s">
        <v>2664</v>
      </c>
      <c r="E499" s="7" t="s">
        <v>2665</v>
      </c>
      <c r="F499" s="63">
        <v>7702057736217</v>
      </c>
    </row>
    <row r="500" spans="1:26">
      <c r="A500" s="24" t="s">
        <v>2666</v>
      </c>
      <c r="B500" s="28">
        <v>1</v>
      </c>
      <c r="C500" s="192">
        <v>0</v>
      </c>
      <c r="D500" s="98" t="s">
        <v>123</v>
      </c>
      <c r="E500" s="28" t="s">
        <v>795</v>
      </c>
      <c r="F500" s="28">
        <v>7703153007225</v>
      </c>
      <c r="G500" s="28"/>
    </row>
    <row r="503" spans="1:26" ht="28.5">
      <c r="A503" s="24" t="s">
        <v>1276</v>
      </c>
      <c r="B503" s="30">
        <v>1</v>
      </c>
      <c r="C503" s="31">
        <v>0</v>
      </c>
      <c r="D503" s="98" t="s">
        <v>10</v>
      </c>
      <c r="E503" s="25" t="s">
        <v>1277</v>
      </c>
      <c r="F503" s="129">
        <v>3582910009900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28.5">
      <c r="A504" s="12" t="s">
        <v>234</v>
      </c>
      <c r="B504" s="14">
        <v>2</v>
      </c>
      <c r="C504" s="105">
        <v>0</v>
      </c>
      <c r="D504" s="105" t="s">
        <v>2667</v>
      </c>
      <c r="E504" s="13" t="s">
        <v>236</v>
      </c>
      <c r="F504" s="61">
        <v>7702057092344</v>
      </c>
    </row>
    <row r="505" spans="1:26" ht="28.5">
      <c r="A505" s="22" t="s">
        <v>52</v>
      </c>
      <c r="B505">
        <v>1</v>
      </c>
      <c r="C505" s="133">
        <v>0</v>
      </c>
      <c r="D505" t="s">
        <v>53</v>
      </c>
      <c r="E505" s="22" t="s">
        <v>54</v>
      </c>
      <c r="F505" s="42">
        <v>7703038050346</v>
      </c>
    </row>
    <row r="506" spans="1:26">
      <c r="A506" s="304"/>
      <c r="B506" s="304"/>
      <c r="C506" s="344"/>
      <c r="D506" s="304"/>
      <c r="E506" s="304"/>
      <c r="F506" s="304"/>
      <c r="G506" s="304"/>
      <c r="H506" s="304"/>
      <c r="I506" s="304"/>
      <c r="J506" s="304"/>
      <c r="K506" s="304"/>
      <c r="L506" s="304"/>
      <c r="M506" s="304"/>
      <c r="N506" s="304"/>
      <c r="O506" s="304"/>
      <c r="P506" s="304"/>
      <c r="Q506" s="304"/>
      <c r="R506" s="304"/>
      <c r="S506" s="304"/>
      <c r="T506" s="304"/>
      <c r="U506" s="304"/>
      <c r="V506" s="304"/>
      <c r="W506" s="304"/>
      <c r="X506" s="304"/>
      <c r="Y506" s="304"/>
      <c r="Z506" s="304"/>
    </row>
    <row r="507" spans="1:26">
      <c r="A507" s="12" t="s">
        <v>640</v>
      </c>
      <c r="B507" s="12">
        <v>1</v>
      </c>
      <c r="C507" s="59">
        <v>0</v>
      </c>
      <c r="D507" s="137" t="s">
        <v>293</v>
      </c>
      <c r="E507" s="12" t="s">
        <v>641</v>
      </c>
      <c r="F507">
        <v>7702560026577</v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12" t="s">
        <v>640</v>
      </c>
      <c r="B508" s="12">
        <v>6</v>
      </c>
      <c r="C508" s="59">
        <v>0</v>
      </c>
      <c r="D508" s="137" t="s">
        <v>293</v>
      </c>
      <c r="E508" s="12" t="s">
        <v>641</v>
      </c>
      <c r="F508">
        <v>7702560026577</v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28.5">
      <c r="A509" s="141" t="s">
        <v>1273</v>
      </c>
      <c r="B509" s="147">
        <v>1</v>
      </c>
      <c r="C509" s="148">
        <v>0</v>
      </c>
      <c r="D509" s="147" t="s">
        <v>1274</v>
      </c>
      <c r="E509" s="146" t="s">
        <v>1275</v>
      </c>
      <c r="F509" s="141">
        <v>7702057077273</v>
      </c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</row>
    <row r="510" spans="1:26" ht="28.5">
      <c r="A510" s="64" t="s">
        <v>728</v>
      </c>
      <c r="B510" s="100">
        <v>1</v>
      </c>
      <c r="C510" s="101">
        <v>0</v>
      </c>
      <c r="D510" s="125" t="s">
        <v>343</v>
      </c>
      <c r="E510" s="64" t="s">
        <v>730</v>
      </c>
      <c r="F510" s="68">
        <v>7702896000562</v>
      </c>
      <c r="G510" s="65"/>
    </row>
    <row r="511" spans="1:26">
      <c r="A511" s="304"/>
      <c r="B511" s="304"/>
      <c r="C511" s="344"/>
      <c r="D511" s="304"/>
      <c r="E511" s="304"/>
      <c r="F511" s="304"/>
      <c r="G511" s="304"/>
      <c r="H511" s="304"/>
      <c r="I511" s="304"/>
      <c r="J511" s="304"/>
      <c r="K511" s="304"/>
      <c r="L511" s="304"/>
      <c r="M511" s="304"/>
      <c r="N511" s="304"/>
      <c r="O511" s="304"/>
      <c r="P511" s="304"/>
      <c r="Q511" s="304"/>
      <c r="R511" s="304"/>
      <c r="S511" s="304"/>
      <c r="T511" s="304"/>
      <c r="U511" s="304"/>
      <c r="V511" s="304"/>
      <c r="W511" s="304"/>
      <c r="X511" s="304"/>
      <c r="Y511" s="304"/>
      <c r="Z511" s="304"/>
    </row>
    <row r="512" spans="1:26">
      <c r="A512" s="64" t="s">
        <v>1408</v>
      </c>
      <c r="B512" s="102">
        <v>1</v>
      </c>
      <c r="C512" s="101">
        <v>0</v>
      </c>
      <c r="D512" s="125" t="s">
        <v>1409</v>
      </c>
      <c r="E512" s="64" t="s">
        <v>422</v>
      </c>
      <c r="F512" s="68">
        <v>7702057070748</v>
      </c>
      <c r="G512" s="65"/>
      <c r="H512" s="65"/>
      <c r="I512" s="65"/>
      <c r="J512" s="65"/>
      <c r="K512" s="65"/>
      <c r="L512" s="65"/>
      <c r="M512" s="65"/>
      <c r="N512" s="65"/>
      <c r="O512" s="65"/>
    </row>
    <row r="513" spans="1:26" ht="28.5">
      <c r="A513" t="s">
        <v>25</v>
      </c>
      <c r="B513">
        <v>1</v>
      </c>
      <c r="C513" s="133">
        <v>0</v>
      </c>
      <c r="D513" t="s">
        <v>56</v>
      </c>
      <c r="E513" s="22" t="s">
        <v>27</v>
      </c>
      <c r="F513">
        <v>7861051621902</v>
      </c>
    </row>
    <row r="514" spans="1:26" ht="15">
      <c r="A514" s="45" t="s">
        <v>1287</v>
      </c>
      <c r="B514" s="17">
        <v>5</v>
      </c>
      <c r="C514" s="33">
        <v>0</v>
      </c>
      <c r="D514" s="202" t="s">
        <v>625</v>
      </c>
      <c r="E514" s="74" t="s">
        <v>1288</v>
      </c>
      <c r="F514" s="21">
        <v>7707816987145</v>
      </c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28.5">
      <c r="A515" s="24" t="s">
        <v>2668</v>
      </c>
      <c r="B515" s="28">
        <v>1</v>
      </c>
      <c r="C515" s="192">
        <v>0.19</v>
      </c>
      <c r="D515" s="99" t="s">
        <v>2669</v>
      </c>
      <c r="E515" s="28" t="s">
        <v>2670</v>
      </c>
      <c r="F515" s="28">
        <v>7702277252184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6" ht="28.5">
      <c r="A516" t="s">
        <v>2671</v>
      </c>
      <c r="B516" s="39">
        <v>1</v>
      </c>
      <c r="C516" s="40">
        <v>0.19</v>
      </c>
      <c r="D516" s="39" t="s">
        <v>1366</v>
      </c>
      <c r="E516" s="22" t="s">
        <v>2672</v>
      </c>
      <c r="F516">
        <v>7891010037185</v>
      </c>
    </row>
    <row r="517" spans="1:26">
      <c r="A517" s="71" t="s">
        <v>2237</v>
      </c>
      <c r="B517" s="14">
        <v>1</v>
      </c>
      <c r="C517" s="105">
        <v>0</v>
      </c>
      <c r="D517" s="137" t="s">
        <v>1116</v>
      </c>
      <c r="E517" s="71" t="s">
        <v>2238</v>
      </c>
      <c r="F517" s="71">
        <v>7704190272102</v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71" t="s">
        <v>810</v>
      </c>
      <c r="B518" s="14">
        <v>1</v>
      </c>
      <c r="C518" s="105">
        <v>0</v>
      </c>
      <c r="D518" s="105" t="s">
        <v>91</v>
      </c>
      <c r="E518" s="71" t="s">
        <v>811</v>
      </c>
      <c r="F518" s="71">
        <v>7704190272119</v>
      </c>
    </row>
    <row r="519" spans="1:26">
      <c r="A519" s="22" t="s">
        <v>2626</v>
      </c>
      <c r="B519">
        <v>6</v>
      </c>
      <c r="C519" s="105">
        <v>0.19</v>
      </c>
      <c r="D519" s="14" t="s">
        <v>80</v>
      </c>
      <c r="E519" t="s">
        <v>928</v>
      </c>
      <c r="F519">
        <v>7702026174675</v>
      </c>
    </row>
    <row r="520" spans="1:26" ht="28.5">
      <c r="A520" s="7" t="s">
        <v>19</v>
      </c>
      <c r="B520" s="25">
        <v>2</v>
      </c>
      <c r="C520" s="26">
        <v>0</v>
      </c>
      <c r="D520" s="99" t="s">
        <v>20</v>
      </c>
      <c r="E520" s="7" t="s">
        <v>21</v>
      </c>
      <c r="F520" s="335">
        <v>7703038328797</v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 spans="1:26">
      <c r="A521" s="304"/>
      <c r="B521" s="304"/>
      <c r="C521" s="344"/>
      <c r="D521" s="304"/>
      <c r="E521" s="304"/>
      <c r="F521" s="304"/>
      <c r="G521" s="304"/>
      <c r="H521" s="304"/>
      <c r="I521" s="304"/>
      <c r="J521" s="304"/>
      <c r="K521" s="304"/>
      <c r="L521" s="304"/>
      <c r="M521" s="304"/>
      <c r="N521" s="304"/>
      <c r="O521" s="304"/>
      <c r="P521" s="304"/>
      <c r="Q521" s="304"/>
      <c r="R521" s="304"/>
      <c r="S521" s="304"/>
      <c r="T521" s="304"/>
      <c r="U521" s="304"/>
      <c r="V521" s="304"/>
      <c r="W521" s="304"/>
      <c r="X521" s="304"/>
      <c r="Y521" s="304"/>
      <c r="Z521" s="304"/>
    </row>
    <row r="522" spans="1:26">
      <c r="A522" s="64" t="s">
        <v>2144</v>
      </c>
      <c r="B522" s="102">
        <v>1</v>
      </c>
      <c r="C522" s="101">
        <v>0</v>
      </c>
      <c r="D522" s="125" t="s">
        <v>103</v>
      </c>
      <c r="E522" s="64" t="s">
        <v>2145</v>
      </c>
      <c r="F522" s="68">
        <v>7703153039752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42.75">
      <c r="A523" s="22" t="s">
        <v>2197</v>
      </c>
      <c r="B523" s="11">
        <v>1</v>
      </c>
      <c r="C523" s="194">
        <v>0</v>
      </c>
      <c r="D523" s="23" t="s">
        <v>343</v>
      </c>
      <c r="E523" s="41" t="s">
        <v>2673</v>
      </c>
      <c r="F523">
        <v>7702057061272</v>
      </c>
    </row>
    <row r="524" spans="1:26" ht="28.5">
      <c r="A524" s="22" t="s">
        <v>1029</v>
      </c>
      <c r="B524" s="23">
        <v>1</v>
      </c>
      <c r="C524" s="51">
        <v>0</v>
      </c>
      <c r="D524" s="172" t="s">
        <v>497</v>
      </c>
      <c r="E524" s="22" t="s">
        <v>1030</v>
      </c>
      <c r="F524">
        <v>7709990087000</v>
      </c>
    </row>
    <row r="525" spans="1:26">
      <c r="A525" s="304"/>
      <c r="B525" s="304"/>
      <c r="C525" s="344"/>
      <c r="D525" s="304"/>
      <c r="E525" s="304"/>
      <c r="F525" s="304"/>
      <c r="G525" s="304"/>
      <c r="H525" s="304"/>
      <c r="I525" s="304"/>
      <c r="J525" s="304"/>
      <c r="K525" s="304"/>
      <c r="L525" s="304"/>
      <c r="M525" s="304"/>
      <c r="N525" s="304"/>
      <c r="O525" s="304"/>
      <c r="P525" s="304"/>
      <c r="Q525" s="304"/>
      <c r="R525" s="304"/>
      <c r="S525" s="304"/>
      <c r="T525" s="304"/>
      <c r="U525" s="304"/>
      <c r="V525" s="304"/>
      <c r="W525" s="304"/>
      <c r="X525" s="304"/>
      <c r="Y525" s="304"/>
      <c r="Z525" s="304"/>
    </row>
    <row r="526" spans="1:26" ht="15">
      <c r="A526" s="19" t="s">
        <v>1353</v>
      </c>
      <c r="B526" s="37">
        <v>2</v>
      </c>
      <c r="C526" s="126">
        <v>0</v>
      </c>
      <c r="D526" s="127" t="s">
        <v>427</v>
      </c>
      <c r="E526" s="43" t="s">
        <v>1354</v>
      </c>
      <c r="F526" s="19">
        <v>7705959012397</v>
      </c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">
      <c r="A527" s="45" t="s">
        <v>2674</v>
      </c>
      <c r="B527" s="36">
        <v>5</v>
      </c>
      <c r="C527" s="164">
        <v>0</v>
      </c>
      <c r="D527" s="36" t="s">
        <v>59</v>
      </c>
      <c r="E527" s="74" t="s">
        <v>2089</v>
      </c>
      <c r="F527" s="21">
        <v>7705137100151</v>
      </c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28" t="s">
        <v>2675</v>
      </c>
      <c r="B528" s="28">
        <v>1</v>
      </c>
      <c r="C528" s="318">
        <v>0</v>
      </c>
      <c r="D528" s="220" t="s">
        <v>2676</v>
      </c>
      <c r="E528" s="28" t="s">
        <v>409</v>
      </c>
      <c r="F528" s="28">
        <v>7702123009535</v>
      </c>
    </row>
    <row r="529" spans="1:26">
      <c r="A529" t="s">
        <v>226</v>
      </c>
      <c r="B529">
        <v>6</v>
      </c>
      <c r="C529" s="133">
        <v>0</v>
      </c>
      <c r="D529" t="s">
        <v>227</v>
      </c>
      <c r="E529" t="s">
        <v>228</v>
      </c>
      <c r="F529">
        <v>7703038067023</v>
      </c>
    </row>
    <row r="530" spans="1:26">
      <c r="A530" s="28" t="s">
        <v>2377</v>
      </c>
      <c r="B530" s="28">
        <v>1</v>
      </c>
      <c r="C530" s="192">
        <v>0</v>
      </c>
      <c r="D530" s="193" t="s">
        <v>59</v>
      </c>
      <c r="E530" s="28" t="s">
        <v>2378</v>
      </c>
      <c r="F530" s="28">
        <v>7703546076036</v>
      </c>
    </row>
    <row r="531" spans="1:26">
      <c r="A531" s="28" t="s">
        <v>2377</v>
      </c>
      <c r="B531" s="28">
        <v>1</v>
      </c>
      <c r="C531" s="192">
        <v>0</v>
      </c>
      <c r="D531" s="193" t="s">
        <v>59</v>
      </c>
      <c r="E531" s="28" t="s">
        <v>2378</v>
      </c>
      <c r="F531" s="28">
        <v>7703546076036</v>
      </c>
    </row>
    <row r="532" spans="1:26" ht="15">
      <c r="A532" s="56" t="s">
        <v>360</v>
      </c>
      <c r="B532" s="153">
        <v>3</v>
      </c>
      <c r="C532" s="55">
        <v>0</v>
      </c>
      <c r="D532" s="153" t="s">
        <v>257</v>
      </c>
      <c r="E532" s="56" t="s">
        <v>361</v>
      </c>
      <c r="F532" s="226">
        <v>7703038067214</v>
      </c>
      <c r="G532" s="53"/>
      <c r="H532" s="53"/>
      <c r="I532" s="53"/>
      <c r="J532" s="53"/>
      <c r="K532" s="53"/>
      <c r="L532" s="53"/>
      <c r="M532" s="53"/>
      <c r="N532" s="53"/>
      <c r="O532" s="5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19"/>
    </row>
    <row r="533" spans="1:26" ht="42.75">
      <c r="A533" t="s">
        <v>2677</v>
      </c>
      <c r="B533">
        <v>1</v>
      </c>
      <c r="C533" s="133">
        <v>0</v>
      </c>
      <c r="D533" t="s">
        <v>56</v>
      </c>
      <c r="E533" s="22" t="s">
        <v>2678</v>
      </c>
      <c r="F533">
        <v>7707355058955</v>
      </c>
    </row>
    <row r="534" spans="1:26" ht="28.5">
      <c r="A534" s="24" t="s">
        <v>1720</v>
      </c>
      <c r="B534" s="8">
        <v>2</v>
      </c>
      <c r="C534" s="9">
        <v>0</v>
      </c>
      <c r="D534" s="10" t="s">
        <v>2679</v>
      </c>
      <c r="E534" s="24" t="s">
        <v>1721</v>
      </c>
      <c r="F534" s="63">
        <v>7704412004276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 spans="1:26" ht="28.5">
      <c r="A535" s="69" t="s">
        <v>362</v>
      </c>
      <c r="B535" s="12">
        <v>1</v>
      </c>
      <c r="C535" s="59">
        <v>0.19</v>
      </c>
      <c r="D535" s="111" t="s">
        <v>348</v>
      </c>
      <c r="E535" s="13" t="s">
        <v>364</v>
      </c>
      <c r="F535" s="211">
        <v>7794640170133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 spans="1:26" ht="15">
      <c r="A536" s="16" t="s">
        <v>1120</v>
      </c>
      <c r="B536" s="17">
        <v>1</v>
      </c>
      <c r="C536" s="124">
        <v>0</v>
      </c>
      <c r="D536" s="17" t="s">
        <v>7</v>
      </c>
      <c r="E536" s="16" t="s">
        <v>1121</v>
      </c>
      <c r="F536" s="139">
        <v>7500435107020</v>
      </c>
      <c r="G536" s="28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t="s">
        <v>2680</v>
      </c>
      <c r="B537">
        <v>3</v>
      </c>
      <c r="C537" s="133">
        <v>0</v>
      </c>
      <c r="D537" s="23" t="s">
        <v>408</v>
      </c>
      <c r="E537" t="s">
        <v>2681</v>
      </c>
      <c r="F537">
        <v>7702057075040</v>
      </c>
    </row>
    <row r="538" spans="1:26">
      <c r="A538" t="s">
        <v>2682</v>
      </c>
      <c r="B538">
        <v>3</v>
      </c>
      <c r="C538" s="133">
        <v>0</v>
      </c>
      <c r="D538" t="s">
        <v>2022</v>
      </c>
      <c r="E538" t="s">
        <v>2683</v>
      </c>
      <c r="F538">
        <v>7707348530017</v>
      </c>
    </row>
    <row r="539" spans="1:26" s="304" customFormat="1">
      <c r="C539" s="344"/>
    </row>
    <row r="540" spans="1:26">
      <c r="A540" s="22" t="s">
        <v>1472</v>
      </c>
      <c r="B540">
        <v>4</v>
      </c>
      <c r="C540" s="133">
        <v>0</v>
      </c>
      <c r="D540" s="23" t="s">
        <v>133</v>
      </c>
      <c r="E540" t="s">
        <v>1473</v>
      </c>
      <c r="F540">
        <v>8903726237687</v>
      </c>
    </row>
    <row r="541" spans="1:26" ht="28.5">
      <c r="A541" s="69" t="s">
        <v>132</v>
      </c>
      <c r="B541" s="14">
        <v>3</v>
      </c>
      <c r="C541" s="105">
        <v>0</v>
      </c>
      <c r="D541" s="28" t="s">
        <v>133</v>
      </c>
      <c r="E541" s="69" t="s">
        <v>134</v>
      </c>
      <c r="F541" s="61">
        <v>7705959881016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6">
      <c r="A542" s="304"/>
      <c r="B542" s="304"/>
      <c r="C542" s="344"/>
      <c r="D542" s="304"/>
      <c r="E542" s="304"/>
      <c r="F542" s="304"/>
      <c r="G542" s="304"/>
      <c r="H542" s="304"/>
      <c r="I542" s="304"/>
      <c r="J542" s="304"/>
      <c r="K542" s="304"/>
      <c r="L542" s="304"/>
      <c r="M542" s="304"/>
      <c r="N542" s="304"/>
      <c r="O542" s="304"/>
      <c r="P542" s="304"/>
      <c r="Q542" s="304"/>
      <c r="R542" s="304"/>
      <c r="S542" s="304"/>
      <c r="T542" s="304"/>
      <c r="U542" s="304"/>
      <c r="V542" s="304"/>
      <c r="W542" s="304"/>
      <c r="X542" s="304"/>
      <c r="Y542" s="304"/>
      <c r="Z542" s="304"/>
    </row>
    <row r="543" spans="1:26">
      <c r="A543" s="24" t="s">
        <v>1535</v>
      </c>
      <c r="B543" s="30">
        <v>2</v>
      </c>
      <c r="C543" s="31">
        <v>0.19</v>
      </c>
      <c r="D543" s="99" t="s">
        <v>829</v>
      </c>
      <c r="E543" s="8" t="s">
        <v>1536</v>
      </c>
      <c r="F543" s="28">
        <v>7702123014447</v>
      </c>
    </row>
    <row r="544" spans="1:26">
      <c r="A544" s="12" t="s">
        <v>640</v>
      </c>
      <c r="B544" s="12">
        <v>1</v>
      </c>
      <c r="C544" s="59">
        <v>0</v>
      </c>
      <c r="D544" s="137" t="s">
        <v>293</v>
      </c>
      <c r="E544" s="12" t="s">
        <v>641</v>
      </c>
      <c r="F544">
        <v>7702560026577</v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28.5">
      <c r="A545" t="s">
        <v>1173</v>
      </c>
      <c r="B545">
        <v>2</v>
      </c>
      <c r="C545" s="133">
        <v>0</v>
      </c>
      <c r="D545" t="s">
        <v>348</v>
      </c>
      <c r="E545" s="22" t="s">
        <v>1175</v>
      </c>
      <c r="F545">
        <v>7703234100968</v>
      </c>
    </row>
    <row r="546" spans="1:26" ht="28.5">
      <c r="A546" s="24" t="s">
        <v>2684</v>
      </c>
      <c r="B546" s="30">
        <v>2</v>
      </c>
      <c r="C546" s="31">
        <v>0.19</v>
      </c>
      <c r="D546" s="99" t="s">
        <v>747</v>
      </c>
      <c r="E546" s="24" t="s">
        <v>2685</v>
      </c>
      <c r="F546" s="63">
        <v>7702560043291</v>
      </c>
      <c r="G546" s="28"/>
      <c r="H546" s="28"/>
    </row>
    <row r="547" spans="1:26" s="304" customFormat="1">
      <c r="C547" s="344"/>
    </row>
    <row r="548" spans="1:26" ht="28.5">
      <c r="A548" s="12" t="s">
        <v>64</v>
      </c>
      <c r="B548" s="14">
        <v>6</v>
      </c>
      <c r="C548" s="105">
        <v>0</v>
      </c>
      <c r="D548" s="137" t="s">
        <v>65</v>
      </c>
      <c r="E548" s="121" t="s">
        <v>66</v>
      </c>
      <c r="F548" s="61">
        <v>7702870003596</v>
      </c>
      <c r="G548" s="14"/>
      <c r="H548" s="14"/>
      <c r="I548" s="14"/>
      <c r="J548" s="14"/>
      <c r="K548" s="14"/>
      <c r="L548" s="14"/>
      <c r="M548" s="14"/>
      <c r="N548" s="14"/>
      <c r="O548" s="14"/>
    </row>
    <row r="549" spans="1:26" ht="30">
      <c r="A549" s="16" t="s">
        <v>2686</v>
      </c>
      <c r="B549" s="17">
        <v>2</v>
      </c>
      <c r="C549" s="124">
        <v>0</v>
      </c>
      <c r="D549" s="204" t="s">
        <v>2687</v>
      </c>
      <c r="E549" s="16" t="s">
        <v>2140</v>
      </c>
      <c r="F549" s="18">
        <v>7707274721084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6">
      <c r="A550" t="s">
        <v>1843</v>
      </c>
      <c r="B550" s="39">
        <v>3</v>
      </c>
      <c r="C550" s="40">
        <v>0</v>
      </c>
      <c r="D550" s="39" t="s">
        <v>1550</v>
      </c>
      <c r="E550" t="s">
        <v>116</v>
      </c>
      <c r="F550">
        <v>8903726189955</v>
      </c>
    </row>
    <row r="551" spans="1:26">
      <c r="A551" s="304"/>
      <c r="B551" s="304"/>
      <c r="C551" s="344"/>
      <c r="D551" s="304"/>
      <c r="E551" s="304"/>
      <c r="F551" s="304"/>
      <c r="G551" s="304"/>
      <c r="H551" s="304"/>
      <c r="I551" s="304"/>
      <c r="J551" s="304"/>
      <c r="K551" s="304"/>
      <c r="L551" s="304"/>
      <c r="M551" s="304"/>
      <c r="N551" s="304"/>
      <c r="O551" s="304"/>
      <c r="P551" s="304"/>
      <c r="Q551" s="304"/>
      <c r="R551" s="304"/>
      <c r="S551" s="304"/>
      <c r="T551" s="304"/>
      <c r="U551" s="304"/>
      <c r="V551" s="304"/>
      <c r="W551" s="304"/>
      <c r="X551" s="304"/>
      <c r="Y551" s="304"/>
      <c r="Z551" s="304"/>
    </row>
    <row r="552" spans="1:26" ht="28.5">
      <c r="A552" s="13" t="s">
        <v>1677</v>
      </c>
      <c r="B552" s="14">
        <v>5</v>
      </c>
      <c r="C552" s="105">
        <v>0</v>
      </c>
      <c r="D552" s="137" t="s">
        <v>109</v>
      </c>
      <c r="E552" s="13" t="s">
        <v>1678</v>
      </c>
      <c r="F552" s="15">
        <v>7707184161420</v>
      </c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2" t="s">
        <v>2688</v>
      </c>
      <c r="B553" s="22">
        <v>12</v>
      </c>
      <c r="C553" s="175">
        <v>0</v>
      </c>
      <c r="D553" s="176" t="s">
        <v>23</v>
      </c>
      <c r="E553" s="22" t="s">
        <v>2689</v>
      </c>
      <c r="F553" s="273">
        <v>7702184030141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28.5">
      <c r="A554" t="s">
        <v>2690</v>
      </c>
      <c r="B554">
        <v>2</v>
      </c>
      <c r="C554" s="133">
        <v>0.19</v>
      </c>
      <c r="D554" t="s">
        <v>10</v>
      </c>
      <c r="E554" s="22" t="s">
        <v>2691</v>
      </c>
      <c r="F554">
        <v>7707336090783</v>
      </c>
    </row>
    <row r="555" spans="1:26" s="304" customFormat="1">
      <c r="C555" s="344"/>
    </row>
    <row r="556" spans="1:26">
      <c r="A556" s="22" t="s">
        <v>1013</v>
      </c>
      <c r="B556" s="23">
        <v>6</v>
      </c>
      <c r="C556" s="51">
        <v>0</v>
      </c>
      <c r="D556" s="172" t="s">
        <v>23</v>
      </c>
      <c r="E556" t="s">
        <v>75</v>
      </c>
      <c r="F556">
        <v>7707357200093</v>
      </c>
    </row>
    <row r="557" spans="1:26">
      <c r="A557" t="s">
        <v>1930</v>
      </c>
      <c r="B557" s="39">
        <v>6</v>
      </c>
      <c r="C557" s="40">
        <v>0</v>
      </c>
      <c r="D557" s="39" t="s">
        <v>1040</v>
      </c>
      <c r="E557" t="s">
        <v>1473</v>
      </c>
      <c r="F557">
        <v>8903726176696</v>
      </c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 spans="1:26" s="304" customFormat="1">
      <c r="C558" s="344"/>
    </row>
    <row r="559" spans="1:26" ht="30">
      <c r="A559" s="16" t="s">
        <v>510</v>
      </c>
      <c r="B559" s="17">
        <v>6</v>
      </c>
      <c r="C559" s="124">
        <v>0</v>
      </c>
      <c r="D559" s="204" t="s">
        <v>293</v>
      </c>
      <c r="E559" s="73" t="s">
        <v>511</v>
      </c>
      <c r="F559" s="28">
        <v>7703038060994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6" ht="42.75">
      <c r="A560" s="337" t="s">
        <v>2136</v>
      </c>
      <c r="B560" s="338">
        <v>6</v>
      </c>
      <c r="C560" s="346">
        <v>0</v>
      </c>
      <c r="D560" s="339" t="s">
        <v>109</v>
      </c>
      <c r="E560" s="340" t="s">
        <v>2137</v>
      </c>
      <c r="F560" s="341">
        <v>7703712033344</v>
      </c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 spans="1:26">
      <c r="A561" s="7" t="s">
        <v>778</v>
      </c>
      <c r="B561" s="8">
        <v>1</v>
      </c>
      <c r="C561" s="9">
        <v>0</v>
      </c>
      <c r="D561" s="10" t="s">
        <v>238</v>
      </c>
      <c r="E561" s="8" t="s">
        <v>779</v>
      </c>
      <c r="F561" s="8">
        <v>7703038131663</v>
      </c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6">
      <c r="A562" s="69" t="s">
        <v>249</v>
      </c>
      <c r="B562" s="14">
        <v>1</v>
      </c>
      <c r="C562" s="105">
        <v>0</v>
      </c>
      <c r="D562" s="14" t="s">
        <v>293</v>
      </c>
      <c r="E562" s="71" t="s">
        <v>251</v>
      </c>
      <c r="F562" s="71">
        <v>7702057015336</v>
      </c>
    </row>
    <row r="563" spans="1:26">
      <c r="A563" s="13" t="s">
        <v>252</v>
      </c>
      <c r="B563" s="12">
        <v>1</v>
      </c>
      <c r="C563" s="59">
        <v>0</v>
      </c>
      <c r="D563" s="12" t="s">
        <v>293</v>
      </c>
      <c r="E563" s="12" t="s">
        <v>253</v>
      </c>
      <c r="F563" s="12">
        <v>7702057013585</v>
      </c>
    </row>
    <row r="564" spans="1:26" ht="30">
      <c r="A564" s="16" t="s">
        <v>371</v>
      </c>
      <c r="B564" s="32">
        <v>1</v>
      </c>
      <c r="C564" s="72">
        <v>0</v>
      </c>
      <c r="D564" s="83" t="s">
        <v>85</v>
      </c>
      <c r="E564" s="16" t="s">
        <v>251</v>
      </c>
      <c r="F564" s="20">
        <v>7702057010874</v>
      </c>
      <c r="G564" s="18"/>
      <c r="H564" s="18"/>
      <c r="I564" s="18"/>
      <c r="J564" s="18"/>
      <c r="K564" s="18"/>
      <c r="L564" s="18"/>
      <c r="M564" s="18"/>
      <c r="N564" s="18"/>
      <c r="O564" s="18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">
      <c r="A565" s="53" t="s">
        <v>1706</v>
      </c>
      <c r="B565" s="96">
        <v>1</v>
      </c>
      <c r="C565" s="97">
        <v>0</v>
      </c>
      <c r="D565" s="120" t="s">
        <v>85</v>
      </c>
      <c r="E565" s="53" t="s">
        <v>251</v>
      </c>
      <c r="F565" s="53">
        <v>7702057010928</v>
      </c>
      <c r="G565" s="53"/>
      <c r="H565" s="53"/>
      <c r="I565" s="53"/>
      <c r="J565" s="53"/>
      <c r="K565" s="53"/>
      <c r="L565" s="53"/>
      <c r="M565" s="53"/>
      <c r="N565" s="53"/>
      <c r="O565" s="53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28.5">
      <c r="A566" s="69" t="s">
        <v>155</v>
      </c>
      <c r="B566">
        <v>1</v>
      </c>
      <c r="C566" s="59">
        <v>0</v>
      </c>
      <c r="D566" s="137" t="s">
        <v>156</v>
      </c>
      <c r="E566" s="121" t="s">
        <v>54</v>
      </c>
      <c r="F566" s="211">
        <v>7703038066606</v>
      </c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28.5">
      <c r="A567" s="71" t="s">
        <v>1819</v>
      </c>
      <c r="B567" s="14">
        <v>5</v>
      </c>
      <c r="C567" s="105">
        <v>0</v>
      </c>
      <c r="D567" s="14" t="s">
        <v>7</v>
      </c>
      <c r="E567" s="69" t="s">
        <v>1820</v>
      </c>
      <c r="F567" s="71">
        <v>7703038061038</v>
      </c>
      <c r="G567" s="71"/>
      <c r="H567" s="71"/>
      <c r="I567" s="71"/>
      <c r="J567" s="71"/>
      <c r="K567" s="71"/>
      <c r="L567" s="71"/>
      <c r="M567" s="71"/>
      <c r="N567" s="71"/>
      <c r="O567" s="71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 spans="1:26">
      <c r="A568" t="s">
        <v>395</v>
      </c>
      <c r="B568" s="39">
        <v>1</v>
      </c>
      <c r="C568" s="40">
        <v>0</v>
      </c>
      <c r="D568" s="40" t="s">
        <v>2003</v>
      </c>
      <c r="E568" t="s">
        <v>396</v>
      </c>
      <c r="F568">
        <v>7707355059686</v>
      </c>
    </row>
    <row r="569" spans="1:26">
      <c r="A569" t="s">
        <v>395</v>
      </c>
      <c r="B569" s="39">
        <v>2</v>
      </c>
      <c r="C569" s="40">
        <v>0</v>
      </c>
      <c r="D569" s="40" t="s">
        <v>2003</v>
      </c>
      <c r="E569" t="s">
        <v>396</v>
      </c>
      <c r="F569">
        <v>7707355059686</v>
      </c>
    </row>
    <row r="570" spans="1:26" ht="28.5">
      <c r="A570" t="s">
        <v>1132</v>
      </c>
      <c r="B570">
        <v>4</v>
      </c>
      <c r="C570" s="133">
        <v>0</v>
      </c>
      <c r="D570" s="134" t="s">
        <v>109</v>
      </c>
      <c r="E570" s="22" t="s">
        <v>1133</v>
      </c>
      <c r="F570">
        <v>7702195061400</v>
      </c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28.5">
      <c r="A571" s="28" t="s">
        <v>1230</v>
      </c>
      <c r="B571" s="8">
        <v>1</v>
      </c>
      <c r="C571" s="9">
        <v>0</v>
      </c>
      <c r="D571" s="30" t="s">
        <v>497</v>
      </c>
      <c r="E571" s="25" t="s">
        <v>1231</v>
      </c>
      <c r="F571" s="129">
        <v>7707232095608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6" ht="42.75">
      <c r="A572" t="s">
        <v>502</v>
      </c>
      <c r="B572" s="11">
        <v>1</v>
      </c>
      <c r="C572" s="194">
        <v>0</v>
      </c>
      <c r="D572" s="23" t="s">
        <v>381</v>
      </c>
      <c r="E572" s="22" t="s">
        <v>504</v>
      </c>
      <c r="F572" s="22">
        <v>7702132011369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6">
      <c r="A573" t="s">
        <v>861</v>
      </c>
      <c r="B573">
        <v>1</v>
      </c>
      <c r="C573" s="133">
        <v>0</v>
      </c>
      <c r="D573" s="172" t="s">
        <v>262</v>
      </c>
      <c r="E573" s="22" t="s">
        <v>863</v>
      </c>
      <c r="F573">
        <v>7703153035112</v>
      </c>
    </row>
    <row r="574" spans="1:26" ht="28.5">
      <c r="A574" t="s">
        <v>2692</v>
      </c>
      <c r="B574">
        <v>1</v>
      </c>
      <c r="C574" s="133">
        <v>0</v>
      </c>
      <c r="D574" t="s">
        <v>491</v>
      </c>
      <c r="E574" s="22" t="s">
        <v>2169</v>
      </c>
      <c r="F574">
        <v>7707269910219</v>
      </c>
    </row>
    <row r="575" spans="1:26" s="304" customFormat="1">
      <c r="C575" s="344"/>
    </row>
    <row r="576" spans="1:26" ht="30">
      <c r="A576" s="278" t="s">
        <v>2295</v>
      </c>
      <c r="B576" s="130">
        <v>4</v>
      </c>
      <c r="C576" s="133">
        <v>0</v>
      </c>
      <c r="D576" s="172" t="s">
        <v>118</v>
      </c>
      <c r="E576" s="130" t="s">
        <v>110</v>
      </c>
      <c r="F576" s="130">
        <v>7709830214061</v>
      </c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19"/>
    </row>
    <row r="577" spans="1:28" ht="30">
      <c r="A577" s="16" t="s">
        <v>1988</v>
      </c>
      <c r="B577" s="17">
        <v>1</v>
      </c>
      <c r="C577" s="124">
        <v>0.19</v>
      </c>
      <c r="D577" s="204" t="s">
        <v>750</v>
      </c>
      <c r="E577" s="16" t="s">
        <v>1979</v>
      </c>
      <c r="F577" s="18">
        <v>7891010020927</v>
      </c>
      <c r="G577" s="18"/>
      <c r="H577" s="18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8" ht="28.5">
      <c r="A578" s="7" t="s">
        <v>480</v>
      </c>
      <c r="B578" s="30">
        <v>1</v>
      </c>
      <c r="C578" s="31">
        <v>0</v>
      </c>
      <c r="D578" s="98" t="s">
        <v>68</v>
      </c>
      <c r="E578" s="7" t="s">
        <v>24</v>
      </c>
      <c r="F578" s="8">
        <v>7703445130181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8" ht="15">
      <c r="A579" s="53" t="s">
        <v>1833</v>
      </c>
      <c r="B579" s="53">
        <v>2</v>
      </c>
      <c r="C579" s="122">
        <v>0</v>
      </c>
      <c r="D579" s="53" t="s">
        <v>1834</v>
      </c>
      <c r="E579" s="53" t="s">
        <v>1835</v>
      </c>
      <c r="F579" s="53">
        <v>6971109095010</v>
      </c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 spans="1:28" ht="30">
      <c r="A580" s="53" t="s">
        <v>1833</v>
      </c>
      <c r="B580" s="53">
        <v>4</v>
      </c>
      <c r="C580" s="122">
        <v>0</v>
      </c>
      <c r="D580" s="53" t="s">
        <v>2693</v>
      </c>
      <c r="E580" s="56" t="s">
        <v>2694</v>
      </c>
      <c r="F580" s="53">
        <v>6971109095027</v>
      </c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 spans="1:28">
      <c r="A581" s="146" t="s">
        <v>2695</v>
      </c>
      <c r="B581" s="141">
        <v>2</v>
      </c>
      <c r="C581" s="301">
        <v>0</v>
      </c>
      <c r="D581" s="246" t="s">
        <v>2696</v>
      </c>
      <c r="E581" s="146" t="s">
        <v>579</v>
      </c>
      <c r="F581" s="141">
        <v>7702057079642</v>
      </c>
    </row>
    <row r="582" spans="1:28" s="304" customFormat="1">
      <c r="C582" s="344"/>
    </row>
    <row r="583" spans="1:28" ht="28.5">
      <c r="A583" s="69" t="s">
        <v>117</v>
      </c>
      <c r="B583" s="14">
        <v>4</v>
      </c>
      <c r="C583" s="105">
        <v>0</v>
      </c>
      <c r="D583" s="14" t="s">
        <v>118</v>
      </c>
      <c r="E583" s="69" t="s">
        <v>119</v>
      </c>
      <c r="F583" s="61">
        <v>7706309320117</v>
      </c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 spans="1:28" ht="30">
      <c r="A584" s="73" t="s">
        <v>466</v>
      </c>
      <c r="B584" s="32">
        <v>1</v>
      </c>
      <c r="C584" s="72">
        <v>0</v>
      </c>
      <c r="D584" s="32" t="s">
        <v>23</v>
      </c>
      <c r="E584" s="73" t="s">
        <v>467</v>
      </c>
      <c r="F584" s="321">
        <v>7702184030196</v>
      </c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 spans="1:28" ht="42.75">
      <c r="A585" s="69" t="s">
        <v>1176</v>
      </c>
      <c r="B585" s="14">
        <v>1</v>
      </c>
      <c r="C585" s="105">
        <v>0</v>
      </c>
      <c r="D585" s="14" t="s">
        <v>14</v>
      </c>
      <c r="E585" s="13" t="s">
        <v>1177</v>
      </c>
      <c r="F585" s="71">
        <v>7702184030165</v>
      </c>
      <c r="Z585" s="23"/>
    </row>
    <row r="586" spans="1:28" ht="28.5">
      <c r="A586" s="141" t="s">
        <v>2697</v>
      </c>
      <c r="B586" s="147">
        <v>1</v>
      </c>
      <c r="C586" s="148">
        <v>0</v>
      </c>
      <c r="D586" s="158" t="s">
        <v>697</v>
      </c>
      <c r="E586" s="146" t="s">
        <v>1504</v>
      </c>
      <c r="F586" s="160">
        <v>7703445030047</v>
      </c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</row>
    <row r="587" spans="1:28" s="304" customFormat="1">
      <c r="C587" s="344"/>
    </row>
    <row r="588" spans="1:28" ht="28.5">
      <c r="A588" s="13" t="s">
        <v>183</v>
      </c>
      <c r="B588" s="12">
        <v>4</v>
      </c>
      <c r="C588" s="59">
        <v>0</v>
      </c>
      <c r="D588" s="12" t="s">
        <v>118</v>
      </c>
      <c r="E588" s="121" t="s">
        <v>184</v>
      </c>
      <c r="F588" s="61">
        <v>7703712012097</v>
      </c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spans="1:28">
      <c r="A589" s="39" t="s">
        <v>2698</v>
      </c>
      <c r="B589" s="23">
        <v>9</v>
      </c>
      <c r="C589" s="51">
        <v>0</v>
      </c>
      <c r="D589" s="23" t="s">
        <v>408</v>
      </c>
      <c r="E589" s="23" t="s">
        <v>182</v>
      </c>
      <c r="F589" s="23">
        <v>7702184011560</v>
      </c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8" ht="28.5">
      <c r="A590" t="s">
        <v>1128</v>
      </c>
      <c r="B590" s="39">
        <v>3</v>
      </c>
      <c r="C590" s="40">
        <v>0</v>
      </c>
      <c r="D590" s="39" t="s">
        <v>1126</v>
      </c>
      <c r="E590" s="22" t="s">
        <v>1129</v>
      </c>
      <c r="F590">
        <v>8903726232811</v>
      </c>
    </row>
    <row r="591" spans="1:28" s="304" customFormat="1">
      <c r="C591" s="344"/>
    </row>
    <row r="592" spans="1:28" ht="28.5">
      <c r="A592" s="22" t="s">
        <v>955</v>
      </c>
      <c r="B592" s="23">
        <v>1</v>
      </c>
      <c r="C592" s="51">
        <v>0</v>
      </c>
      <c r="D592" s="172" t="s">
        <v>2699</v>
      </c>
      <c r="E592" s="22" t="s">
        <v>956</v>
      </c>
      <c r="F592" s="52">
        <v>7702184020388</v>
      </c>
    </row>
    <row r="593" spans="1:28" ht="28.5">
      <c r="A593" t="s">
        <v>2365</v>
      </c>
      <c r="B593">
        <v>1</v>
      </c>
      <c r="C593" s="133">
        <v>0</v>
      </c>
      <c r="D593" t="s">
        <v>2700</v>
      </c>
      <c r="E593" s="22" t="s">
        <v>2367</v>
      </c>
      <c r="F593">
        <v>7703763870967</v>
      </c>
    </row>
    <row r="594" spans="1:28" ht="28.5">
      <c r="A594" s="146" t="s">
        <v>2701</v>
      </c>
      <c r="B594" s="147">
        <v>2</v>
      </c>
      <c r="C594" s="234">
        <v>0.19</v>
      </c>
      <c r="D594" s="244">
        <v>13000</v>
      </c>
      <c r="E594" s="159" t="s">
        <v>2702</v>
      </c>
      <c r="F594" s="141">
        <v>7702626215235</v>
      </c>
    </row>
    <row r="595" spans="1:28" ht="28.5">
      <c r="A595" t="s">
        <v>461</v>
      </c>
      <c r="B595">
        <v>2</v>
      </c>
      <c r="C595" s="133">
        <v>0</v>
      </c>
      <c r="D595" t="s">
        <v>26</v>
      </c>
      <c r="E595" s="22" t="s">
        <v>462</v>
      </c>
      <c r="F595">
        <v>7707305850134</v>
      </c>
    </row>
    <row r="596" spans="1:28" ht="28.5">
      <c r="A596" s="13" t="s">
        <v>772</v>
      </c>
      <c r="B596" s="14">
        <v>1</v>
      </c>
      <c r="C596" s="105">
        <v>0</v>
      </c>
      <c r="D596" s="14" t="s">
        <v>773</v>
      </c>
      <c r="E596" s="13" t="s">
        <v>774</v>
      </c>
      <c r="F596" s="15">
        <v>7704588003011</v>
      </c>
    </row>
    <row r="597" spans="1:28">
      <c r="A597" s="24" t="s">
        <v>2703</v>
      </c>
      <c r="B597" s="30">
        <v>4</v>
      </c>
      <c r="C597" s="31">
        <v>0</v>
      </c>
      <c r="D597" s="98" t="s">
        <v>32</v>
      </c>
      <c r="E597" s="8" t="s">
        <v>2704</v>
      </c>
      <c r="F597" s="28">
        <v>7707308210010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spans="1:28" ht="28.5">
      <c r="A598" s="141" t="s">
        <v>612</v>
      </c>
      <c r="B598" s="147">
        <v>2</v>
      </c>
      <c r="C598" s="148">
        <v>0</v>
      </c>
      <c r="D598" s="158" t="s">
        <v>14</v>
      </c>
      <c r="E598" s="146" t="s">
        <v>613</v>
      </c>
      <c r="F598" s="141">
        <v>7706309000132</v>
      </c>
    </row>
    <row r="599" spans="1:28" s="304" customFormat="1">
      <c r="C599" s="344"/>
    </row>
    <row r="600" spans="1:28">
      <c r="A600" s="24" t="s">
        <v>1836</v>
      </c>
      <c r="B600" s="30">
        <v>1</v>
      </c>
      <c r="C600" s="31">
        <v>0</v>
      </c>
      <c r="D600" s="98" t="s">
        <v>103</v>
      </c>
      <c r="E600" s="7" t="s">
        <v>258</v>
      </c>
      <c r="F600" s="142">
        <v>7703038050124</v>
      </c>
    </row>
    <row r="601" spans="1:28">
      <c r="A601" s="71" t="s">
        <v>2705</v>
      </c>
      <c r="B601" s="14">
        <v>5</v>
      </c>
      <c r="C601" s="105">
        <v>0</v>
      </c>
      <c r="D601" s="137" t="s">
        <v>2706</v>
      </c>
      <c r="E601" s="13" t="s">
        <v>1340</v>
      </c>
      <c r="F601" s="61">
        <v>7703689000448</v>
      </c>
    </row>
    <row r="602" spans="1:28" ht="28.5">
      <c r="A602" t="s">
        <v>2707</v>
      </c>
      <c r="B602">
        <v>5</v>
      </c>
      <c r="C602" s="133">
        <v>0.19</v>
      </c>
      <c r="D602" t="s">
        <v>697</v>
      </c>
      <c r="E602" s="22" t="s">
        <v>2708</v>
      </c>
      <c r="F602">
        <v>7707271201855</v>
      </c>
    </row>
    <row r="603" spans="1:28">
      <c r="A603" t="s">
        <v>1155</v>
      </c>
      <c r="B603">
        <v>1</v>
      </c>
      <c r="C603" s="133">
        <v>0.19</v>
      </c>
      <c r="D603" t="s">
        <v>2709</v>
      </c>
      <c r="E603" t="s">
        <v>1157</v>
      </c>
      <c r="F603">
        <v>751273783052</v>
      </c>
    </row>
    <row r="604" spans="1:28" ht="15">
      <c r="A604" s="19" t="s">
        <v>1778</v>
      </c>
      <c r="B604" s="153">
        <v>1</v>
      </c>
      <c r="C604" s="55">
        <v>0</v>
      </c>
      <c r="D604" s="55" t="s">
        <v>1779</v>
      </c>
      <c r="E604" s="19" t="s">
        <v>294</v>
      </c>
      <c r="F604" s="19">
        <v>7702896001477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8" ht="28.5">
      <c r="A605" t="s">
        <v>2044</v>
      </c>
      <c r="B605">
        <v>1</v>
      </c>
      <c r="C605" s="133">
        <v>0</v>
      </c>
      <c r="D605" t="s">
        <v>750</v>
      </c>
      <c r="E605" s="22" t="s">
        <v>2046</v>
      </c>
      <c r="F605">
        <v>650240057441</v>
      </c>
    </row>
    <row r="606" spans="1:28" s="304" customFormat="1">
      <c r="C606" s="344"/>
    </row>
    <row r="607" spans="1:28" ht="15">
      <c r="A607" s="8" t="s">
        <v>2146</v>
      </c>
      <c r="B607" s="30">
        <v>3</v>
      </c>
      <c r="C607" s="31">
        <v>0.19</v>
      </c>
      <c r="D607" s="98" t="s">
        <v>80</v>
      </c>
      <c r="E607" s="8" t="s">
        <v>2147</v>
      </c>
      <c r="F607" s="8">
        <v>7702006206815</v>
      </c>
      <c r="G607" s="8"/>
      <c r="H607" s="8"/>
      <c r="I607" s="8"/>
      <c r="J607" s="8"/>
      <c r="K607" s="8"/>
      <c r="L607" s="8"/>
      <c r="M607" s="8"/>
      <c r="N607" s="8"/>
      <c r="O607" s="8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19"/>
    </row>
    <row r="608" spans="1:28" ht="30">
      <c r="A608" s="18" t="s">
        <v>102</v>
      </c>
      <c r="B608" s="18">
        <v>1</v>
      </c>
      <c r="C608" s="184">
        <v>0</v>
      </c>
      <c r="D608" s="17" t="s">
        <v>2003</v>
      </c>
      <c r="E608" s="16" t="s">
        <v>104</v>
      </c>
      <c r="F608" s="20">
        <v>7703038050452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6">
      <c r="A609" t="s">
        <v>2710</v>
      </c>
      <c r="B609">
        <v>1</v>
      </c>
      <c r="C609" s="133">
        <v>0</v>
      </c>
      <c r="D609" s="134" t="s">
        <v>491</v>
      </c>
      <c r="E609" t="s">
        <v>2711</v>
      </c>
      <c r="F609">
        <v>7709990439236</v>
      </c>
    </row>
    <row r="610" spans="1:26" ht="15">
      <c r="A610" s="39" t="s">
        <v>2290</v>
      </c>
      <c r="B610" s="23">
        <v>1</v>
      </c>
      <c r="C610" s="51">
        <v>0</v>
      </c>
      <c r="D610" s="23" t="s">
        <v>2499</v>
      </c>
      <c r="E610" s="23" t="s">
        <v>2292</v>
      </c>
      <c r="F610" s="23">
        <v>7703445109057</v>
      </c>
      <c r="G610" s="23"/>
      <c r="H610" s="23"/>
      <c r="I610" s="23"/>
      <c r="J610" s="23"/>
      <c r="K610" s="23"/>
      <c r="L610" s="23"/>
      <c r="M610" s="23"/>
      <c r="N610" s="23"/>
      <c r="O610" s="23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s="304" customFormat="1">
      <c r="C611" s="344"/>
    </row>
    <row r="612" spans="1:26">
      <c r="A612" s="24" t="s">
        <v>185</v>
      </c>
      <c r="B612" s="30">
        <v>24</v>
      </c>
      <c r="C612" s="105">
        <v>0</v>
      </c>
      <c r="D612" s="137" t="s">
        <v>23</v>
      </c>
      <c r="E612" s="28" t="s">
        <v>186</v>
      </c>
      <c r="F612" s="63">
        <v>7709946708393</v>
      </c>
    </row>
    <row r="613" spans="1:26" s="304" customFormat="1">
      <c r="C613" s="344"/>
    </row>
    <row r="614" spans="1:26" ht="28.5">
      <c r="A614" s="69" t="s">
        <v>172</v>
      </c>
      <c r="B614" s="14">
        <v>2</v>
      </c>
      <c r="C614" s="105">
        <v>0</v>
      </c>
      <c r="D614" s="137" t="s">
        <v>173</v>
      </c>
      <c r="E614" s="13" t="s">
        <v>174</v>
      </c>
      <c r="F614" s="61">
        <v>7703712012110</v>
      </c>
    </row>
    <row r="615" spans="1:26" ht="28.5">
      <c r="A615" t="s">
        <v>2712</v>
      </c>
      <c r="B615">
        <v>1</v>
      </c>
      <c r="C615" s="133">
        <v>0</v>
      </c>
      <c r="D615" t="s">
        <v>214</v>
      </c>
      <c r="E615" s="22" t="s">
        <v>2713</v>
      </c>
    </row>
    <row r="616" spans="1:26" ht="28.5">
      <c r="A616" s="22" t="s">
        <v>1638</v>
      </c>
      <c r="B616" s="23">
        <v>4</v>
      </c>
      <c r="C616" s="51">
        <v>0</v>
      </c>
      <c r="D616" s="172" t="s">
        <v>7</v>
      </c>
      <c r="E616" s="22" t="s">
        <v>1639</v>
      </c>
      <c r="F616" s="52">
        <v>7703038011903</v>
      </c>
    </row>
    <row r="617" spans="1:26" ht="28.5">
      <c r="A617" s="71" t="s">
        <v>1819</v>
      </c>
      <c r="B617" s="14">
        <v>4</v>
      </c>
      <c r="C617" s="105">
        <v>0</v>
      </c>
      <c r="D617" s="137" t="s">
        <v>7</v>
      </c>
      <c r="E617" s="69" t="s">
        <v>1820</v>
      </c>
      <c r="F617" s="71">
        <v>7703038061038</v>
      </c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>
      <c r="A618" t="s">
        <v>2714</v>
      </c>
      <c r="B618">
        <v>10</v>
      </c>
      <c r="C618" s="133">
        <v>0</v>
      </c>
      <c r="D618" t="s">
        <v>384</v>
      </c>
      <c r="E618" t="s">
        <v>2715</v>
      </c>
      <c r="F618">
        <v>7707271202135</v>
      </c>
    </row>
    <row r="619" spans="1:26" ht="28.5">
      <c r="A619" s="64" t="s">
        <v>814</v>
      </c>
      <c r="B619" s="102">
        <v>4</v>
      </c>
      <c r="C619" s="102">
        <v>0</v>
      </c>
      <c r="D619" s="102" t="s">
        <v>88</v>
      </c>
      <c r="E619" s="64" t="s">
        <v>198</v>
      </c>
      <c r="F619" s="68">
        <v>7709695236826</v>
      </c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 spans="1:26" ht="28.5">
      <c r="A620" s="64" t="s">
        <v>2716</v>
      </c>
      <c r="B620" s="102" t="s">
        <v>2717</v>
      </c>
      <c r="C620" s="9">
        <v>0</v>
      </c>
      <c r="D620" s="31" t="s">
        <v>88</v>
      </c>
      <c r="E620" s="64" t="s">
        <v>198</v>
      </c>
      <c r="F620" s="68">
        <v>7707226436356</v>
      </c>
    </row>
    <row r="621" spans="1:26">
      <c r="A621" s="22" t="s">
        <v>709</v>
      </c>
      <c r="B621" s="23">
        <v>4</v>
      </c>
      <c r="C621" s="107">
        <v>0</v>
      </c>
      <c r="D621" s="348" t="s">
        <v>38</v>
      </c>
      <c r="E621" t="s">
        <v>611</v>
      </c>
      <c r="F621">
        <v>8901117247888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>
      <c r="A622" s="24" t="s">
        <v>893</v>
      </c>
      <c r="B622" s="28">
        <v>2</v>
      </c>
      <c r="C622" s="28">
        <v>0</v>
      </c>
      <c r="D622" s="28" t="s">
        <v>488</v>
      </c>
      <c r="E622" s="28" t="s">
        <v>894</v>
      </c>
      <c r="F622" s="28">
        <v>7703546703086</v>
      </c>
    </row>
    <row r="623" spans="1:26">
      <c r="A623" s="24" t="s">
        <v>893</v>
      </c>
      <c r="B623" s="28">
        <v>1</v>
      </c>
      <c r="C623" s="28">
        <v>0</v>
      </c>
      <c r="D623" s="28" t="s">
        <v>488</v>
      </c>
      <c r="E623" s="28" t="s">
        <v>894</v>
      </c>
      <c r="F623" s="28">
        <v>7703546703086</v>
      </c>
    </row>
    <row r="624" spans="1:26" s="304" customFormat="1">
      <c r="C624" s="344"/>
    </row>
    <row r="625" spans="1:26">
      <c r="A625" t="s">
        <v>2718</v>
      </c>
      <c r="B625">
        <v>4</v>
      </c>
      <c r="C625" s="218">
        <v>0</v>
      </c>
      <c r="D625" s="108" t="s">
        <v>386</v>
      </c>
      <c r="E625" t="s">
        <v>658</v>
      </c>
      <c r="F625">
        <v>7703006625323</v>
      </c>
    </row>
    <row r="626" spans="1:26" ht="15">
      <c r="A626" s="56" t="s">
        <v>1916</v>
      </c>
      <c r="B626" s="153">
        <v>1</v>
      </c>
      <c r="C626" s="293">
        <v>0.19</v>
      </c>
      <c r="D626" s="225" t="s">
        <v>358</v>
      </c>
      <c r="E626" s="56" t="s">
        <v>1917</v>
      </c>
      <c r="F626" s="53">
        <v>7709990750942</v>
      </c>
      <c r="G626" s="53"/>
      <c r="H626" s="53"/>
      <c r="I626" s="53"/>
      <c r="J626" s="53"/>
      <c r="K626" s="53"/>
      <c r="L626" s="53"/>
      <c r="M626" s="53"/>
      <c r="N626" s="53"/>
      <c r="O626" s="53"/>
      <c r="P626" s="53"/>
    </row>
    <row r="627" spans="1:26" ht="28.5">
      <c r="A627" s="69" t="s">
        <v>1766</v>
      </c>
      <c r="B627" s="12">
        <v>4</v>
      </c>
      <c r="C627" s="59">
        <v>0.05</v>
      </c>
      <c r="D627" s="111" t="s">
        <v>2719</v>
      </c>
      <c r="E627" s="121" t="s">
        <v>1768</v>
      </c>
      <c r="F627" s="211">
        <v>7703006009338</v>
      </c>
    </row>
    <row r="628" spans="1:26">
      <c r="A628" s="304"/>
      <c r="B628" s="304"/>
      <c r="C628" s="304"/>
      <c r="D628" s="304"/>
      <c r="E628" s="304"/>
      <c r="F628" s="304"/>
      <c r="G628" s="304"/>
      <c r="H628" s="304"/>
      <c r="I628" s="304"/>
      <c r="J628" s="304"/>
      <c r="K628" s="304"/>
      <c r="L628" s="304"/>
      <c r="M628" s="304"/>
      <c r="N628" s="304"/>
      <c r="O628" s="304"/>
      <c r="P628" s="304"/>
      <c r="Q628" s="304"/>
      <c r="R628" s="304"/>
      <c r="S628" s="304"/>
      <c r="T628" s="304"/>
      <c r="U628" s="304"/>
      <c r="V628" s="304"/>
      <c r="W628" s="304"/>
      <c r="X628" s="304"/>
      <c r="Y628" s="304"/>
      <c r="Z628" s="304"/>
    </row>
    <row r="629" spans="1:26">
      <c r="A629" s="8" t="s">
        <v>1108</v>
      </c>
      <c r="B629" s="30">
        <v>30</v>
      </c>
      <c r="C629" s="31">
        <v>0</v>
      </c>
      <c r="D629" s="98" t="s">
        <v>2720</v>
      </c>
      <c r="E629" s="8" t="s">
        <v>1109</v>
      </c>
      <c r="F629" s="8">
        <v>7707336090790</v>
      </c>
    </row>
    <row r="630" spans="1:26">
      <c r="A630" s="22" t="s">
        <v>2721</v>
      </c>
      <c r="B630" s="22">
        <v>1</v>
      </c>
      <c r="C630" s="175">
        <v>0</v>
      </c>
      <c r="D630" s="176" t="s">
        <v>23</v>
      </c>
      <c r="E630" s="22" t="s">
        <v>2689</v>
      </c>
      <c r="F630" s="273">
        <v>7702184130148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42.75">
      <c r="A631" s="69" t="s">
        <v>2722</v>
      </c>
      <c r="B631" s="14">
        <v>2</v>
      </c>
      <c r="C631" s="105">
        <v>0</v>
      </c>
      <c r="D631" s="14" t="s">
        <v>91</v>
      </c>
      <c r="E631" s="13" t="s">
        <v>1177</v>
      </c>
      <c r="F631" s="71">
        <v>7702184130162</v>
      </c>
      <c r="Z631" s="23"/>
    </row>
    <row r="632" spans="1:26">
      <c r="A632" s="304"/>
      <c r="B632" s="304"/>
      <c r="C632" s="304"/>
      <c r="D632" s="304"/>
      <c r="E632" s="304"/>
      <c r="F632" s="304"/>
      <c r="G632" s="304"/>
      <c r="H632" s="304"/>
      <c r="I632" s="304"/>
      <c r="J632" s="304"/>
      <c r="K632" s="304"/>
      <c r="L632" s="304"/>
      <c r="M632" s="304"/>
      <c r="N632" s="304"/>
      <c r="O632" s="304"/>
      <c r="P632" s="304"/>
      <c r="Q632" s="304"/>
      <c r="R632" s="304"/>
      <c r="S632" s="304"/>
      <c r="T632" s="304"/>
      <c r="U632" s="304"/>
      <c r="V632" s="304"/>
      <c r="W632" s="304"/>
      <c r="X632" s="304"/>
      <c r="Y632" s="304"/>
      <c r="Z632" s="30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3"/>
  <sheetViews>
    <sheetView workbookViewId="0">
      <pane xSplit="1" ySplit="1" topLeftCell="B553" activePane="bottomRight" state="frozen"/>
      <selection pane="topRight"/>
      <selection pane="bottomLeft"/>
      <selection pane="bottomRight" sqref="A1:F562"/>
    </sheetView>
  </sheetViews>
  <sheetFormatPr baseColWidth="10" defaultColWidth="9.125" defaultRowHeight="14.25"/>
  <cols>
    <col min="1" max="1" width="55.375" customWidth="1"/>
    <col min="2" max="2" width="11.25" style="39" customWidth="1"/>
    <col min="3" max="3" width="8" style="39" customWidth="1"/>
    <col min="4" max="4" width="12.25" style="39" customWidth="1"/>
    <col min="5" max="5" width="44.875" customWidth="1"/>
    <col min="6" max="6" width="19.125" customWidth="1"/>
  </cols>
  <sheetData>
    <row r="1" spans="1:26" ht="32.25" customHeight="1">
      <c r="A1" s="1" t="s">
        <v>0</v>
      </c>
      <c r="B1" s="78" t="s">
        <v>1</v>
      </c>
      <c r="C1" s="79" t="s">
        <v>2</v>
      </c>
      <c r="D1" s="79" t="s">
        <v>3</v>
      </c>
      <c r="E1" s="2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6"/>
    </row>
    <row r="2" spans="1:26">
      <c r="A2" s="7" t="s">
        <v>778</v>
      </c>
      <c r="B2" s="8">
        <v>1</v>
      </c>
      <c r="C2" s="9">
        <v>0</v>
      </c>
      <c r="D2" s="10" t="s">
        <v>238</v>
      </c>
      <c r="E2" s="8" t="s">
        <v>779</v>
      </c>
      <c r="F2" s="8">
        <v>7703038131663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6">
      <c r="A3" s="13" t="s">
        <v>2723</v>
      </c>
      <c r="B3" s="12">
        <v>1</v>
      </c>
      <c r="C3" s="80">
        <v>0</v>
      </c>
      <c r="D3" s="12" t="s">
        <v>2655</v>
      </c>
      <c r="E3" s="13" t="s">
        <v>263</v>
      </c>
      <c r="F3" s="15">
        <v>7702195072093</v>
      </c>
    </row>
    <row r="4" spans="1:26" ht="15">
      <c r="A4" s="16" t="s">
        <v>735</v>
      </c>
      <c r="B4" s="32">
        <v>1</v>
      </c>
      <c r="C4" s="82">
        <v>0</v>
      </c>
      <c r="D4" s="83" t="s">
        <v>80</v>
      </c>
      <c r="E4" s="16" t="s">
        <v>81</v>
      </c>
      <c r="F4" s="20">
        <v>7501125132056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 spans="1:26" ht="15">
      <c r="A5" s="16" t="s">
        <v>735</v>
      </c>
      <c r="B5" s="32">
        <v>12</v>
      </c>
      <c r="C5" s="82">
        <v>0</v>
      </c>
      <c r="D5" s="83" t="s">
        <v>80</v>
      </c>
      <c r="E5" s="16" t="s">
        <v>81</v>
      </c>
      <c r="F5" s="20">
        <v>7501125132056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 spans="1:26">
      <c r="A6" s="22" t="s">
        <v>2174</v>
      </c>
      <c r="B6" s="39">
        <v>1</v>
      </c>
      <c r="C6" s="84">
        <v>0</v>
      </c>
      <c r="D6" s="84" t="s">
        <v>427</v>
      </c>
      <c r="E6" t="s">
        <v>2175</v>
      </c>
      <c r="F6">
        <v>7703712035980</v>
      </c>
      <c r="G6" s="23"/>
      <c r="H6" s="23"/>
      <c r="I6" s="23"/>
      <c r="J6" s="23"/>
      <c r="K6" s="23"/>
      <c r="L6" s="23"/>
      <c r="M6" s="23"/>
      <c r="N6" s="23"/>
      <c r="O6" s="23"/>
    </row>
    <row r="7" spans="1:26">
      <c r="A7" s="24" t="s">
        <v>524</v>
      </c>
      <c r="B7" s="7">
        <v>2</v>
      </c>
      <c r="C7" s="86">
        <v>0</v>
      </c>
      <c r="D7" s="87" t="s">
        <v>1356</v>
      </c>
      <c r="E7" s="7" t="s">
        <v>525</v>
      </c>
      <c r="F7" s="24">
        <v>7707336090585</v>
      </c>
      <c r="G7" s="28"/>
      <c r="H7" s="28"/>
      <c r="I7" s="28"/>
      <c r="J7" s="28"/>
      <c r="K7" s="28"/>
      <c r="L7" s="28"/>
      <c r="M7" s="28"/>
      <c r="N7" s="28"/>
      <c r="O7" s="28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6" s="29" customFormat="1">
      <c r="B8" s="88"/>
      <c r="C8" s="88"/>
      <c r="D8" s="88"/>
    </row>
    <row r="9" spans="1:26" ht="15">
      <c r="A9" s="8" t="s">
        <v>1771</v>
      </c>
      <c r="B9" s="8">
        <v>10</v>
      </c>
      <c r="C9" s="9">
        <v>0</v>
      </c>
      <c r="D9" s="8" t="s">
        <v>1772</v>
      </c>
      <c r="E9" s="30" t="s">
        <v>1773</v>
      </c>
      <c r="F9" s="30">
        <v>7702195079559</v>
      </c>
      <c r="G9" s="23"/>
      <c r="H9" s="23"/>
      <c r="I9" s="23"/>
      <c r="J9" s="23"/>
      <c r="K9" s="23"/>
      <c r="L9" s="23"/>
      <c r="M9" s="23"/>
      <c r="N9" s="23"/>
      <c r="O9" s="23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s="29" customFormat="1">
      <c r="B10" s="88"/>
      <c r="C10" s="88"/>
      <c r="D10" s="88"/>
    </row>
    <row r="11" spans="1:26" ht="15">
      <c r="A11" s="32" t="s">
        <v>1850</v>
      </c>
      <c r="B11" s="32">
        <v>5</v>
      </c>
      <c r="C11" s="89">
        <v>0</v>
      </c>
      <c r="D11" s="90" t="s">
        <v>10</v>
      </c>
      <c r="E11" s="35" t="s">
        <v>1851</v>
      </c>
      <c r="F11" s="17">
        <v>7703038859246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6" ht="28.5">
      <c r="A12" s="24" t="s">
        <v>1379</v>
      </c>
      <c r="B12" s="8">
        <v>2</v>
      </c>
      <c r="C12" s="9">
        <v>0</v>
      </c>
      <c r="D12" s="9" t="s">
        <v>1948</v>
      </c>
      <c r="E12" s="24" t="s">
        <v>1381</v>
      </c>
      <c r="F12" s="28">
        <v>7702123006817</v>
      </c>
    </row>
    <row r="13" spans="1:26" ht="28.5">
      <c r="A13" s="22" t="s">
        <v>1991</v>
      </c>
      <c r="B13" s="39">
        <v>4</v>
      </c>
      <c r="C13" s="40">
        <v>0</v>
      </c>
      <c r="D13" s="39">
        <v>13000</v>
      </c>
      <c r="E13" s="22" t="s">
        <v>1992</v>
      </c>
      <c r="F13" s="42">
        <v>7709990202717</v>
      </c>
    </row>
    <row r="14" spans="1:26" ht="30">
      <c r="A14" s="43" t="s">
        <v>512</v>
      </c>
      <c r="B14" s="74">
        <v>4</v>
      </c>
      <c r="C14" s="75">
        <v>0</v>
      </c>
      <c r="D14" s="91" t="s">
        <v>74</v>
      </c>
      <c r="E14" s="45" t="s">
        <v>513</v>
      </c>
      <c r="F14" s="46">
        <v>7709990202793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6" ht="15">
      <c r="A15" s="47" t="s">
        <v>2478</v>
      </c>
      <c r="B15" s="92">
        <v>2</v>
      </c>
      <c r="C15" s="93">
        <v>0</v>
      </c>
      <c r="D15" s="48" t="s">
        <v>1040</v>
      </c>
      <c r="E15" s="49" t="s">
        <v>116</v>
      </c>
      <c r="F15" s="49">
        <v>7704412870383</v>
      </c>
      <c r="G15" s="21"/>
      <c r="H15" s="21"/>
      <c r="I15" s="21"/>
      <c r="J15" s="21"/>
      <c r="K15" s="21"/>
      <c r="L15" s="21"/>
      <c r="M15" s="21"/>
      <c r="N15" s="21"/>
      <c r="O15" s="21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6">
      <c r="A16" s="13" t="s">
        <v>2723</v>
      </c>
      <c r="B16" s="12">
        <v>1</v>
      </c>
      <c r="C16" s="80">
        <v>0</v>
      </c>
      <c r="D16" s="12" t="s">
        <v>2655</v>
      </c>
      <c r="E16" s="13" t="s">
        <v>263</v>
      </c>
      <c r="F16" s="15">
        <v>7702195072093</v>
      </c>
    </row>
    <row r="17" spans="1:25">
      <c r="A17" t="s">
        <v>1638</v>
      </c>
      <c r="B17" s="39">
        <v>5</v>
      </c>
      <c r="C17" s="40">
        <v>0</v>
      </c>
      <c r="D17" s="94" t="s">
        <v>7</v>
      </c>
      <c r="E17" s="22" t="s">
        <v>1639</v>
      </c>
      <c r="F17" s="52">
        <v>7703038011903</v>
      </c>
    </row>
    <row r="18" spans="1:25" ht="15">
      <c r="A18" s="53" t="s">
        <v>423</v>
      </c>
      <c r="B18" s="96">
        <v>2</v>
      </c>
      <c r="C18" s="97">
        <v>0</v>
      </c>
      <c r="D18" s="97" t="s">
        <v>424</v>
      </c>
      <c r="E18" s="56" t="s">
        <v>425</v>
      </c>
      <c r="F18" s="53">
        <v>7703038050261</v>
      </c>
    </row>
    <row r="19" spans="1:25">
      <c r="A19" s="22" t="s">
        <v>1626</v>
      </c>
      <c r="B19" s="39">
        <v>2</v>
      </c>
      <c r="C19" s="40">
        <v>0.19</v>
      </c>
      <c r="D19" s="39" t="s">
        <v>1627</v>
      </c>
      <c r="E19" s="22" t="s">
        <v>1628</v>
      </c>
      <c r="F19" s="52">
        <v>7705471206571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>
      <c r="A20" s="13" t="s">
        <v>1479</v>
      </c>
      <c r="B20" s="12">
        <v>2</v>
      </c>
      <c r="C20" s="59">
        <v>0</v>
      </c>
      <c r="D20" s="60" t="s">
        <v>53</v>
      </c>
      <c r="E20" s="13" t="s">
        <v>425</v>
      </c>
      <c r="F20" s="61">
        <v>7703038050339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>
      <c r="A21" s="28" t="s">
        <v>1262</v>
      </c>
      <c r="B21" s="8">
        <v>1</v>
      </c>
      <c r="C21" s="8">
        <v>0</v>
      </c>
      <c r="D21" s="8" t="s">
        <v>2724</v>
      </c>
      <c r="E21" s="24" t="s">
        <v>1263</v>
      </c>
      <c r="F21" s="63">
        <v>7702057168056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s="29" customFormat="1">
      <c r="B22" s="88"/>
      <c r="C22" s="88"/>
      <c r="D22" s="88"/>
    </row>
    <row r="23" spans="1:25" ht="28.5">
      <c r="A23" s="13" t="s">
        <v>1600</v>
      </c>
      <c r="B23" s="12">
        <v>2</v>
      </c>
      <c r="C23" s="59">
        <v>0</v>
      </c>
      <c r="D23" s="60" t="s">
        <v>381</v>
      </c>
      <c r="E23" s="13" t="s">
        <v>1601</v>
      </c>
      <c r="F23" s="61">
        <v>7706849110889</v>
      </c>
      <c r="G23" s="1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28.5">
      <c r="A24" s="64" t="s">
        <v>1597</v>
      </c>
      <c r="B24" s="65">
        <v>2</v>
      </c>
      <c r="C24" s="66">
        <v>0</v>
      </c>
      <c r="D24" s="67" t="s">
        <v>1366</v>
      </c>
      <c r="E24" s="64" t="s">
        <v>1599</v>
      </c>
      <c r="F24" s="68">
        <v>7706849110865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spans="1:25" s="29" customFormat="1">
      <c r="B25" s="88"/>
      <c r="C25" s="88"/>
      <c r="D25" s="88"/>
    </row>
    <row r="26" spans="1:25">
      <c r="A26" s="69" t="s">
        <v>2725</v>
      </c>
      <c r="B26" s="12">
        <v>3</v>
      </c>
      <c r="C26" s="70">
        <v>0</v>
      </c>
      <c r="D26" s="70" t="s">
        <v>2726</v>
      </c>
      <c r="E26" s="13" t="s">
        <v>134</v>
      </c>
      <c r="F26" s="61">
        <v>7705959881016</v>
      </c>
    </row>
    <row r="27" spans="1:25" ht="15">
      <c r="A27" s="18" t="s">
        <v>169</v>
      </c>
      <c r="B27" s="32">
        <v>2</v>
      </c>
      <c r="C27" s="72">
        <v>0</v>
      </c>
      <c r="D27" s="32" t="s">
        <v>94</v>
      </c>
      <c r="E27" s="16" t="s">
        <v>171</v>
      </c>
      <c r="F27" s="18">
        <v>7709071926723</v>
      </c>
      <c r="G27" s="18"/>
      <c r="H27" s="18"/>
      <c r="I27" s="18"/>
      <c r="J27" s="18"/>
      <c r="K27" s="18"/>
      <c r="L27" s="18"/>
      <c r="M27" s="18"/>
      <c r="N27" s="18"/>
      <c r="O27" s="18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5">
      <c r="A28" s="45" t="s">
        <v>555</v>
      </c>
      <c r="B28" s="74">
        <v>2</v>
      </c>
      <c r="C28" s="75">
        <v>0</v>
      </c>
      <c r="D28" s="74" t="s">
        <v>491</v>
      </c>
      <c r="E28" s="76" t="s">
        <v>556</v>
      </c>
      <c r="F28" s="77">
        <v>7707288826935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s="29" customFormat="1">
      <c r="B29" s="88"/>
      <c r="C29" s="88"/>
      <c r="D29" s="88"/>
    </row>
    <row r="30" spans="1:25">
      <c r="A30" s="22" t="s">
        <v>2727</v>
      </c>
      <c r="B30" s="39">
        <v>10</v>
      </c>
      <c r="C30" s="40">
        <v>0</v>
      </c>
      <c r="D30" s="94" t="s">
        <v>227</v>
      </c>
      <c r="E30" t="s">
        <v>116</v>
      </c>
      <c r="F30">
        <v>7703432059693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>
      <c r="A31" s="22" t="s">
        <v>2727</v>
      </c>
      <c r="B31" s="39">
        <v>2</v>
      </c>
      <c r="C31" s="40">
        <v>0</v>
      </c>
      <c r="D31" s="94" t="s">
        <v>227</v>
      </c>
      <c r="E31" t="s">
        <v>116</v>
      </c>
      <c r="F31">
        <v>7703432059693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>
      <c r="A32" s="22" t="s">
        <v>2727</v>
      </c>
      <c r="B32" s="39">
        <v>3</v>
      </c>
      <c r="C32" s="40">
        <v>0</v>
      </c>
      <c r="D32" s="94" t="s">
        <v>227</v>
      </c>
      <c r="E32" t="s">
        <v>116</v>
      </c>
      <c r="F32">
        <v>7703432059693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6" s="29" customFormat="1">
      <c r="B33" s="88"/>
      <c r="C33" s="88"/>
      <c r="D33" s="88"/>
    </row>
    <row r="34" spans="1:26">
      <c r="A34" s="8" t="s">
        <v>1108</v>
      </c>
      <c r="B34" s="30">
        <v>25</v>
      </c>
      <c r="C34" s="31">
        <v>0</v>
      </c>
      <c r="D34" s="98" t="s">
        <v>2720</v>
      </c>
      <c r="E34" s="8" t="s">
        <v>1109</v>
      </c>
      <c r="F34" s="8">
        <v>7707336090790</v>
      </c>
    </row>
    <row r="35" spans="1:26" ht="28.5">
      <c r="A35" s="65" t="s">
        <v>1061</v>
      </c>
      <c r="B35" s="100">
        <v>2</v>
      </c>
      <c r="C35" s="101">
        <v>0</v>
      </c>
      <c r="D35" s="102" t="s">
        <v>1062</v>
      </c>
      <c r="E35" s="64" t="s">
        <v>1063</v>
      </c>
      <c r="F35" s="103">
        <v>7702195086748</v>
      </c>
    </row>
    <row r="36" spans="1:26">
      <c r="A36" s="22" t="s">
        <v>1339</v>
      </c>
      <c r="B36" s="71">
        <v>6</v>
      </c>
      <c r="C36" s="105">
        <v>0</v>
      </c>
      <c r="D36" s="14" t="s">
        <v>173</v>
      </c>
      <c r="E36" s="13" t="s">
        <v>1340</v>
      </c>
      <c r="F36" s="61">
        <v>7703689000448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t="s">
        <v>202</v>
      </c>
      <c r="B37" s="39">
        <v>3</v>
      </c>
      <c r="C37" s="39">
        <v>0</v>
      </c>
      <c r="D37" s="39" t="s">
        <v>1309</v>
      </c>
      <c r="E37" s="22" t="s">
        <v>204</v>
      </c>
      <c r="F37">
        <v>7702184010457</v>
      </c>
    </row>
    <row r="38" spans="1:26">
      <c r="A38" s="24" t="s">
        <v>2202</v>
      </c>
      <c r="B38" s="14">
        <v>8</v>
      </c>
      <c r="C38" s="105">
        <v>0</v>
      </c>
      <c r="D38" s="14" t="s">
        <v>91</v>
      </c>
      <c r="E38" s="13" t="s">
        <v>1639</v>
      </c>
      <c r="F38" s="15">
        <v>7709805542847</v>
      </c>
      <c r="G38" s="28"/>
      <c r="H38" s="28"/>
      <c r="I38" s="28"/>
      <c r="J38" s="28"/>
      <c r="K38" s="28"/>
      <c r="L38" s="28"/>
      <c r="M38" s="28"/>
      <c r="N38" s="28"/>
      <c r="O38" s="28"/>
    </row>
    <row r="39" spans="1:26">
      <c r="A39" s="22" t="s">
        <v>709</v>
      </c>
      <c r="B39" s="23">
        <v>10</v>
      </c>
      <c r="C39" s="107">
        <v>0</v>
      </c>
      <c r="D39" s="108" t="s">
        <v>38</v>
      </c>
      <c r="E39" t="s">
        <v>611</v>
      </c>
      <c r="F39">
        <v>8901117247888</v>
      </c>
      <c r="G39" s="28"/>
    </row>
    <row r="40" spans="1:26">
      <c r="A40" s="24" t="s">
        <v>817</v>
      </c>
      <c r="B40" s="30">
        <v>4</v>
      </c>
      <c r="C40" s="31">
        <v>0</v>
      </c>
      <c r="D40" s="30" t="s">
        <v>818</v>
      </c>
      <c r="E40" s="7" t="s">
        <v>428</v>
      </c>
      <c r="F40" s="28">
        <v>7703038050018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6" s="29" customFormat="1">
      <c r="B41" s="88"/>
      <c r="C41" s="88"/>
      <c r="D41" s="88"/>
    </row>
    <row r="42" spans="1:26" ht="15">
      <c r="A42" s="16" t="s">
        <v>1831</v>
      </c>
      <c r="B42" s="17">
        <v>1</v>
      </c>
      <c r="C42" s="33">
        <v>0</v>
      </c>
      <c r="D42" s="34" t="s">
        <v>7</v>
      </c>
      <c r="E42" s="73" t="s">
        <v>1832</v>
      </c>
      <c r="F42" s="110">
        <v>6921875003290</v>
      </c>
    </row>
    <row r="43" spans="1:26">
      <c r="A43" s="12" t="s">
        <v>234</v>
      </c>
      <c r="B43" s="12">
        <v>1</v>
      </c>
      <c r="C43" s="80">
        <v>0</v>
      </c>
      <c r="D43" s="111" t="s">
        <v>1032</v>
      </c>
      <c r="E43" s="13" t="s">
        <v>236</v>
      </c>
      <c r="F43" s="61">
        <v>7702057092344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0">
      <c r="A44" s="112" t="s">
        <v>2728</v>
      </c>
      <c r="B44" s="37">
        <v>1</v>
      </c>
      <c r="C44" s="114">
        <v>0</v>
      </c>
      <c r="D44" s="114" t="s">
        <v>2589</v>
      </c>
      <c r="E44" s="37" t="s">
        <v>946</v>
      </c>
      <c r="F44" s="115">
        <v>7702057091439</v>
      </c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19"/>
    </row>
    <row r="45" spans="1:26">
      <c r="A45" s="71" t="s">
        <v>457</v>
      </c>
      <c r="B45" s="14">
        <v>3</v>
      </c>
      <c r="C45" s="14">
        <v>0</v>
      </c>
      <c r="D45" s="14" t="s">
        <v>2729</v>
      </c>
      <c r="E45" s="13" t="s">
        <v>459</v>
      </c>
      <c r="F45" s="15">
        <v>7705713400019</v>
      </c>
    </row>
    <row r="46" spans="1:26" ht="15">
      <c r="A46" s="43" t="s">
        <v>2480</v>
      </c>
      <c r="B46" s="117">
        <v>1</v>
      </c>
      <c r="C46" s="118">
        <v>0</v>
      </c>
      <c r="D46" s="119" t="s">
        <v>85</v>
      </c>
      <c r="E46" s="16" t="s">
        <v>251</v>
      </c>
      <c r="F46" s="115">
        <v>7702057012298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">
      <c r="A47" s="16" t="s">
        <v>371</v>
      </c>
      <c r="B47" s="32">
        <v>1</v>
      </c>
      <c r="C47" s="72">
        <v>0</v>
      </c>
      <c r="D47" s="83" t="s">
        <v>85</v>
      </c>
      <c r="E47" s="16" t="s">
        <v>251</v>
      </c>
      <c r="F47" s="20">
        <v>7702057010874</v>
      </c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">
      <c r="A48" s="53" t="s">
        <v>1706</v>
      </c>
      <c r="B48" s="96">
        <v>1</v>
      </c>
      <c r="C48" s="97">
        <v>0</v>
      </c>
      <c r="D48" s="120" t="s">
        <v>85</v>
      </c>
      <c r="E48" s="53" t="s">
        <v>251</v>
      </c>
      <c r="F48" s="53">
        <v>7702057010928</v>
      </c>
      <c r="G48" s="53"/>
      <c r="H48" s="53"/>
      <c r="I48" s="53"/>
      <c r="J48" s="53"/>
      <c r="K48" s="53"/>
      <c r="L48" s="53"/>
      <c r="M48" s="53"/>
      <c r="N48" s="53"/>
      <c r="O48" s="53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">
      <c r="A49" s="16" t="s">
        <v>2180</v>
      </c>
      <c r="B49" s="17">
        <v>1</v>
      </c>
      <c r="C49" s="17">
        <v>0</v>
      </c>
      <c r="D49" s="17" t="s">
        <v>85</v>
      </c>
      <c r="E49" s="18" t="s">
        <v>251</v>
      </c>
      <c r="F49" s="18">
        <v>7702057015428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s="29" customFormat="1">
      <c r="B50" s="88"/>
      <c r="C50" s="88"/>
      <c r="D50" s="88"/>
    </row>
    <row r="51" spans="1:26" ht="28.5">
      <c r="A51" s="13" t="s">
        <v>183</v>
      </c>
      <c r="B51" s="12">
        <v>4</v>
      </c>
      <c r="C51" s="59">
        <v>0</v>
      </c>
      <c r="D51" s="12" t="s">
        <v>118</v>
      </c>
      <c r="E51" s="121" t="s">
        <v>184</v>
      </c>
      <c r="F51" s="61">
        <v>7703712012097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spans="1:26" ht="28.5">
      <c r="A52" s="13" t="s">
        <v>172</v>
      </c>
      <c r="B52" s="12">
        <v>3</v>
      </c>
      <c r="C52" s="59">
        <v>0</v>
      </c>
      <c r="D52" s="111" t="s">
        <v>173</v>
      </c>
      <c r="E52" s="121" t="s">
        <v>174</v>
      </c>
      <c r="F52" s="61">
        <v>7703712012110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6" ht="15">
      <c r="A53" s="53" t="s">
        <v>2730</v>
      </c>
      <c r="B53" s="53">
        <v>5</v>
      </c>
      <c r="C53" s="122">
        <v>0</v>
      </c>
      <c r="D53" s="123" t="s">
        <v>366</v>
      </c>
      <c r="E53" s="56" t="s">
        <v>2731</v>
      </c>
      <c r="F53">
        <v>7707184160676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">
      <c r="A54" s="32" t="s">
        <v>2732</v>
      </c>
      <c r="B54" s="17">
        <v>5</v>
      </c>
      <c r="C54" s="124">
        <v>0</v>
      </c>
      <c r="D54" s="17" t="s">
        <v>32</v>
      </c>
      <c r="E54" s="73" t="s">
        <v>2733</v>
      </c>
      <c r="F54" s="20">
        <v>7707210531753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19"/>
    </row>
    <row r="55" spans="1:26" s="29" customFormat="1">
      <c r="B55" s="88"/>
      <c r="C55" s="88"/>
      <c r="D55" s="88"/>
    </row>
    <row r="56" spans="1:26">
      <c r="A56" s="24" t="s">
        <v>907</v>
      </c>
      <c r="B56" s="25">
        <v>6</v>
      </c>
      <c r="C56" s="26">
        <v>0</v>
      </c>
      <c r="D56" s="30" t="s">
        <v>902</v>
      </c>
      <c r="E56" s="7" t="s">
        <v>909</v>
      </c>
      <c r="F56" s="24">
        <v>7706569020659</v>
      </c>
      <c r="G56" s="28"/>
    </row>
    <row r="57" spans="1:26">
      <c r="A57" s="64" t="s">
        <v>1983</v>
      </c>
      <c r="B57" s="102">
        <v>6</v>
      </c>
      <c r="C57" s="101">
        <v>0</v>
      </c>
      <c r="D57" s="125" t="s">
        <v>321</v>
      </c>
      <c r="E57" s="64" t="s">
        <v>904</v>
      </c>
      <c r="F57" s="68">
        <v>7702605100019</v>
      </c>
    </row>
    <row r="58" spans="1:26" ht="15">
      <c r="A58" s="19" t="s">
        <v>1353</v>
      </c>
      <c r="B58" s="37">
        <v>3</v>
      </c>
      <c r="C58" s="126">
        <v>0</v>
      </c>
      <c r="D58" s="127" t="s">
        <v>427</v>
      </c>
      <c r="E58" s="43" t="s">
        <v>1354</v>
      </c>
      <c r="F58" s="19">
        <v>7705959012397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28.5">
      <c r="A59" s="24" t="s">
        <v>1497</v>
      </c>
      <c r="B59" s="30">
        <v>3</v>
      </c>
      <c r="C59" s="128">
        <v>0</v>
      </c>
      <c r="D59" s="128" t="s">
        <v>91</v>
      </c>
      <c r="E59" s="25" t="s">
        <v>24</v>
      </c>
      <c r="F59" s="129">
        <v>7707357200086</v>
      </c>
      <c r="Z59" s="23"/>
    </row>
    <row r="60" spans="1:26" s="29" customFormat="1">
      <c r="B60" s="88"/>
      <c r="C60" s="88"/>
      <c r="D60" s="88"/>
    </row>
    <row r="61" spans="1:26" ht="15">
      <c r="A61" s="130" t="s">
        <v>1154</v>
      </c>
      <c r="B61" s="130">
        <v>2</v>
      </c>
      <c r="C61" s="131">
        <v>0</v>
      </c>
      <c r="D61" s="132" t="s">
        <v>408</v>
      </c>
      <c r="E61" s="130" t="s">
        <v>827</v>
      </c>
      <c r="F61" s="130">
        <v>8903726224441</v>
      </c>
      <c r="G61" s="28"/>
    </row>
    <row r="62" spans="1:26" ht="15">
      <c r="A62" s="130" t="s">
        <v>1154</v>
      </c>
      <c r="B62" s="130">
        <v>2</v>
      </c>
      <c r="C62" s="131">
        <v>0</v>
      </c>
      <c r="D62" s="132" t="s">
        <v>408</v>
      </c>
      <c r="E62" s="130" t="s">
        <v>827</v>
      </c>
      <c r="F62" s="130">
        <v>8903726224441</v>
      </c>
      <c r="G62" s="28"/>
    </row>
    <row r="63" spans="1:26" ht="15">
      <c r="A63" s="53" t="s">
        <v>193</v>
      </c>
      <c r="B63" s="53">
        <v>7</v>
      </c>
      <c r="C63" s="122">
        <v>0</v>
      </c>
      <c r="D63" s="55" t="s">
        <v>10</v>
      </c>
      <c r="E63" s="56" t="s">
        <v>194</v>
      </c>
      <c r="F63" s="53">
        <v>7707035510513</v>
      </c>
      <c r="G63" s="53"/>
      <c r="H63" s="53"/>
      <c r="I63" s="53"/>
      <c r="J63" s="53"/>
      <c r="K63" s="53"/>
      <c r="L63" s="53"/>
      <c r="M63" s="53"/>
      <c r="N63" s="53"/>
      <c r="O63" s="53"/>
    </row>
    <row r="64" spans="1:26">
      <c r="A64" s="22" t="s">
        <v>686</v>
      </c>
      <c r="B64">
        <v>6</v>
      </c>
      <c r="C64" s="133">
        <v>0</v>
      </c>
      <c r="D64" s="51" t="s">
        <v>10</v>
      </c>
      <c r="E64" t="s">
        <v>687</v>
      </c>
      <c r="F64">
        <v>7702184020258</v>
      </c>
    </row>
    <row r="65" spans="1:26">
      <c r="A65" s="22" t="s">
        <v>686</v>
      </c>
      <c r="B65">
        <v>3</v>
      </c>
      <c r="C65" s="133">
        <v>0</v>
      </c>
      <c r="D65" s="51" t="s">
        <v>10</v>
      </c>
      <c r="E65" t="s">
        <v>687</v>
      </c>
      <c r="F65">
        <v>7702184020258</v>
      </c>
    </row>
    <row r="66" spans="1:26">
      <c r="A66" t="s">
        <v>2734</v>
      </c>
      <c r="B66" s="39">
        <v>1</v>
      </c>
      <c r="C66" s="39">
        <v>0</v>
      </c>
      <c r="D66" s="94" t="s">
        <v>156</v>
      </c>
      <c r="E66" t="s">
        <v>2735</v>
      </c>
      <c r="F66" s="42">
        <v>7707035530535</v>
      </c>
    </row>
    <row r="67" spans="1:26">
      <c r="A67" t="s">
        <v>1132</v>
      </c>
      <c r="B67">
        <v>10</v>
      </c>
      <c r="C67" s="133">
        <v>0</v>
      </c>
      <c r="D67" s="134" t="s">
        <v>109</v>
      </c>
      <c r="E67" s="22" t="s">
        <v>1133</v>
      </c>
      <c r="F67">
        <v>7702195061400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28.5">
      <c r="A68" s="69" t="s">
        <v>79</v>
      </c>
      <c r="B68" s="14">
        <v>10</v>
      </c>
      <c r="C68" s="136">
        <v>0</v>
      </c>
      <c r="D68" s="136" t="s">
        <v>80</v>
      </c>
      <c r="E68" s="13" t="s">
        <v>81</v>
      </c>
      <c r="F68" s="61">
        <v>7705366100014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s="29" customFormat="1">
      <c r="B69" s="88"/>
      <c r="C69" s="88"/>
      <c r="D69" s="88"/>
    </row>
    <row r="70" spans="1:26">
      <c r="A70" s="12" t="s">
        <v>64</v>
      </c>
      <c r="B70" s="14">
        <v>1</v>
      </c>
      <c r="C70" s="105">
        <v>0</v>
      </c>
      <c r="D70" s="137" t="s">
        <v>65</v>
      </c>
      <c r="E70" s="13" t="s">
        <v>66</v>
      </c>
      <c r="F70" s="61">
        <v>7702870003596</v>
      </c>
      <c r="G70" s="12"/>
      <c r="H70" s="12"/>
      <c r="I70" s="12"/>
      <c r="J70" s="12"/>
      <c r="K70" s="12"/>
      <c r="L70" s="12"/>
      <c r="M70" s="12"/>
      <c r="N70" s="12"/>
      <c r="O70" s="12"/>
    </row>
    <row r="71" spans="1:26" ht="15">
      <c r="A71" s="16" t="s">
        <v>1120</v>
      </c>
      <c r="B71" s="17">
        <v>1</v>
      </c>
      <c r="C71" s="124">
        <v>0</v>
      </c>
      <c r="D71" s="17" t="s">
        <v>948</v>
      </c>
      <c r="E71" s="16" t="s">
        <v>1121</v>
      </c>
      <c r="F71" s="139">
        <v>7500435107020</v>
      </c>
      <c r="G71" s="28"/>
    </row>
    <row r="72" spans="1:26">
      <c r="A72" s="24" t="s">
        <v>524</v>
      </c>
      <c r="B72" s="25">
        <v>1</v>
      </c>
      <c r="C72" s="26">
        <v>0</v>
      </c>
      <c r="D72" s="27" t="s">
        <v>608</v>
      </c>
      <c r="E72" s="7" t="s">
        <v>525</v>
      </c>
      <c r="F72" s="24">
        <v>7707336090585</v>
      </c>
      <c r="G72" s="28"/>
      <c r="H72" s="28"/>
      <c r="I72" s="28"/>
      <c r="J72" s="28"/>
      <c r="K72" s="28"/>
      <c r="L72" s="28"/>
      <c r="M72" s="28"/>
      <c r="N72" s="28"/>
      <c r="O72" s="28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6" s="29" customFormat="1">
      <c r="B73" s="88"/>
      <c r="C73" s="88"/>
      <c r="D73" s="88"/>
    </row>
    <row r="74" spans="1:26" ht="15">
      <c r="A74" t="s">
        <v>2736</v>
      </c>
      <c r="B74">
        <v>2</v>
      </c>
      <c r="C74" s="133">
        <v>0</v>
      </c>
      <c r="D74" t="s">
        <v>10</v>
      </c>
      <c r="E74" s="73" t="s">
        <v>1832</v>
      </c>
      <c r="F74">
        <v>6900191011042</v>
      </c>
    </row>
    <row r="75" spans="1:26">
      <c r="A75" t="s">
        <v>2737</v>
      </c>
      <c r="B75">
        <v>2</v>
      </c>
      <c r="C75" s="133">
        <v>0.19</v>
      </c>
      <c r="D75" s="140" t="s">
        <v>74</v>
      </c>
      <c r="E75" s="22" t="s">
        <v>2738</v>
      </c>
      <c r="F75">
        <v>7701684055364</v>
      </c>
    </row>
    <row r="76" spans="1:26" ht="15">
      <c r="A76" s="73" t="s">
        <v>1412</v>
      </c>
      <c r="B76" s="32">
        <v>1</v>
      </c>
      <c r="C76" s="72">
        <v>0.19</v>
      </c>
      <c r="D76" s="81" t="s">
        <v>1366</v>
      </c>
      <c r="E76" s="73" t="s">
        <v>1413</v>
      </c>
      <c r="F76" s="110">
        <v>7701684798261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6">
      <c r="A77" s="24" t="s">
        <v>58</v>
      </c>
      <c r="B77" s="30">
        <v>2</v>
      </c>
      <c r="C77" s="31">
        <v>0</v>
      </c>
      <c r="D77" s="98" t="s">
        <v>59</v>
      </c>
      <c r="E77" s="24" t="s">
        <v>60</v>
      </c>
      <c r="F77" s="142">
        <v>7706127006378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6" ht="28.5">
      <c r="A78" s="64" t="s">
        <v>2716</v>
      </c>
      <c r="B78" s="102">
        <v>5</v>
      </c>
      <c r="C78" s="102">
        <v>0</v>
      </c>
      <c r="D78" s="102">
        <v>7707288826430</v>
      </c>
      <c r="E78" s="64" t="s">
        <v>198</v>
      </c>
      <c r="F78" s="68">
        <v>7709695236826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t="s">
        <v>2739</v>
      </c>
      <c r="B79">
        <v>3</v>
      </c>
      <c r="C79" s="133">
        <v>0</v>
      </c>
      <c r="D79" s="23" t="s">
        <v>2740</v>
      </c>
      <c r="E79" t="s">
        <v>2741</v>
      </c>
      <c r="F79">
        <v>7707288826430</v>
      </c>
    </row>
    <row r="80" spans="1:26" ht="28.5">
      <c r="A80" s="22" t="s">
        <v>496</v>
      </c>
      <c r="B80">
        <v>1</v>
      </c>
      <c r="C80" s="140">
        <v>0</v>
      </c>
      <c r="D80" s="23" t="s">
        <v>56</v>
      </c>
      <c r="E80" s="22" t="s">
        <v>498</v>
      </c>
      <c r="F80">
        <v>7704588000416</v>
      </c>
    </row>
    <row r="81" spans="1:26" s="144" customFormat="1">
      <c r="B81" s="143"/>
      <c r="C81" s="143"/>
      <c r="D81" s="143"/>
    </row>
    <row r="82" spans="1:26" ht="28.5">
      <c r="A82" s="22" t="s">
        <v>2742</v>
      </c>
      <c r="B82" s="39">
        <v>1</v>
      </c>
      <c r="C82" s="39">
        <v>0</v>
      </c>
      <c r="D82" s="39" t="s">
        <v>2743</v>
      </c>
      <c r="E82" t="s">
        <v>2744</v>
      </c>
      <c r="F82">
        <v>7707234230717</v>
      </c>
    </row>
    <row r="83" spans="1:26" s="29" customFormat="1">
      <c r="B83" s="88"/>
      <c r="C83" s="88"/>
      <c r="D83" s="88"/>
    </row>
    <row r="84" spans="1:26" ht="15">
      <c r="A84" s="45" t="s">
        <v>1836</v>
      </c>
      <c r="B84" s="74">
        <v>1</v>
      </c>
      <c r="C84" s="75">
        <v>0</v>
      </c>
      <c r="D84" s="74" t="s">
        <v>2745</v>
      </c>
      <c r="E84" s="76" t="s">
        <v>258</v>
      </c>
      <c r="F84" s="145">
        <v>7703038050124</v>
      </c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19"/>
    </row>
    <row r="85" spans="1:26">
      <c r="A85" s="64" t="s">
        <v>224</v>
      </c>
      <c r="B85" s="102">
        <v>1</v>
      </c>
      <c r="C85" s="101">
        <v>0</v>
      </c>
      <c r="D85" s="109" t="s">
        <v>156</v>
      </c>
      <c r="E85" s="64" t="s">
        <v>225</v>
      </c>
      <c r="F85" s="68">
        <v>7703038067092</v>
      </c>
    </row>
    <row r="86" spans="1:26">
      <c r="A86" s="146" t="s">
        <v>1709</v>
      </c>
      <c r="B86" s="147">
        <v>1</v>
      </c>
      <c r="C86" s="148">
        <v>0</v>
      </c>
      <c r="D86" s="149" t="s">
        <v>697</v>
      </c>
      <c r="E86" s="150" t="s">
        <v>1710</v>
      </c>
      <c r="F86" s="151">
        <v>7861073963523</v>
      </c>
      <c r="G86" s="141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 spans="1:26" ht="15">
      <c r="A87" s="152" t="s">
        <v>1623</v>
      </c>
      <c r="B87" s="153">
        <v>1</v>
      </c>
      <c r="C87" s="153">
        <v>0</v>
      </c>
      <c r="D87" s="153" t="s">
        <v>1624</v>
      </c>
      <c r="E87" s="152" t="s">
        <v>1625</v>
      </c>
      <c r="F87" s="96">
        <v>7703038050322</v>
      </c>
      <c r="Z87" s="32"/>
    </row>
    <row r="88" spans="1:26" ht="15">
      <c r="A88" s="32" t="s">
        <v>370</v>
      </c>
      <c r="B88" s="30">
        <v>4</v>
      </c>
      <c r="C88" s="31">
        <v>0</v>
      </c>
      <c r="D88" s="98" t="s">
        <v>2746</v>
      </c>
      <c r="E88" s="73" t="s">
        <v>165</v>
      </c>
      <c r="F88" s="32">
        <v>7501033957376</v>
      </c>
    </row>
    <row r="89" spans="1:26" ht="15">
      <c r="A89" s="53" t="s">
        <v>770</v>
      </c>
      <c r="B89" s="153">
        <v>4</v>
      </c>
      <c r="C89" s="55">
        <v>0</v>
      </c>
      <c r="D89" s="153" t="s">
        <v>1270</v>
      </c>
      <c r="E89" s="152" t="s">
        <v>165</v>
      </c>
      <c r="F89" s="155">
        <v>7501033957369</v>
      </c>
    </row>
    <row r="90" spans="1:26" s="29" customFormat="1">
      <c r="B90" s="88"/>
      <c r="C90" s="88"/>
      <c r="D90" s="88"/>
    </row>
    <row r="91" spans="1:26" ht="15">
      <c r="A91" s="56" t="s">
        <v>2382</v>
      </c>
      <c r="B91" s="53">
        <v>2</v>
      </c>
      <c r="C91" s="156">
        <v>0</v>
      </c>
      <c r="D91" s="54" t="s">
        <v>29</v>
      </c>
      <c r="E91" s="56" t="s">
        <v>2384</v>
      </c>
      <c r="F91">
        <v>7704412429284</v>
      </c>
    </row>
    <row r="92" spans="1:26">
      <c r="A92" s="13" t="s">
        <v>536</v>
      </c>
      <c r="B92" s="12">
        <v>2</v>
      </c>
      <c r="C92" s="59">
        <v>0</v>
      </c>
      <c r="D92" s="12" t="s">
        <v>115</v>
      </c>
      <c r="E92" s="13" t="s">
        <v>537</v>
      </c>
      <c r="F92" s="15">
        <v>7703153016050</v>
      </c>
      <c r="G92" s="28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 spans="1:26" ht="28.5">
      <c r="A93" t="s">
        <v>2747</v>
      </c>
      <c r="B93" s="39">
        <v>6</v>
      </c>
      <c r="C93" s="39">
        <v>0</v>
      </c>
      <c r="D93" s="39" t="s">
        <v>80</v>
      </c>
      <c r="E93" s="22" t="s">
        <v>15</v>
      </c>
      <c r="F93">
        <v>7703712034679</v>
      </c>
    </row>
    <row r="94" spans="1:26" ht="15">
      <c r="A94" s="16" t="s">
        <v>1215</v>
      </c>
      <c r="B94" s="12">
        <v>1</v>
      </c>
      <c r="C94" s="59">
        <v>0</v>
      </c>
      <c r="D94" s="12" t="s">
        <v>59</v>
      </c>
      <c r="E94" s="18" t="s">
        <v>1216</v>
      </c>
      <c r="F94" s="18">
        <v>7702195300516</v>
      </c>
    </row>
    <row r="95" spans="1:26">
      <c r="A95" s="12" t="s">
        <v>1989</v>
      </c>
      <c r="B95" s="14">
        <v>3</v>
      </c>
      <c r="C95" s="105">
        <v>0</v>
      </c>
      <c r="D95" s="14" t="s">
        <v>262</v>
      </c>
      <c r="E95" s="13" t="s">
        <v>1519</v>
      </c>
      <c r="F95" s="61">
        <v>7707341100071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71" t="s">
        <v>1064</v>
      </c>
      <c r="B96" s="71">
        <v>3</v>
      </c>
      <c r="C96" s="105">
        <v>0</v>
      </c>
      <c r="D96" s="137" t="s">
        <v>2222</v>
      </c>
      <c r="E96" s="13" t="s">
        <v>1065</v>
      </c>
      <c r="F96" s="71">
        <v>7703153032111</v>
      </c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>
      <c r="A97" s="146" t="s">
        <v>1365</v>
      </c>
      <c r="B97" s="147">
        <v>3</v>
      </c>
      <c r="C97" s="148">
        <v>0</v>
      </c>
      <c r="D97" s="158" t="s">
        <v>1366</v>
      </c>
      <c r="E97" s="159" t="s">
        <v>1367</v>
      </c>
      <c r="F97" s="160">
        <v>7703712010000</v>
      </c>
    </row>
    <row r="98" spans="1:26" ht="30">
      <c r="A98" s="53" t="s">
        <v>2748</v>
      </c>
      <c r="B98" s="53">
        <v>1</v>
      </c>
      <c r="C98" s="53">
        <v>0</v>
      </c>
      <c r="D98" s="153" t="s">
        <v>214</v>
      </c>
      <c r="E98" s="56" t="s">
        <v>2749</v>
      </c>
      <c r="F98" s="53">
        <v>7702057169176</v>
      </c>
      <c r="G98" s="53"/>
      <c r="H98" s="53"/>
      <c r="I98" s="53"/>
      <c r="J98" s="53"/>
      <c r="K98" s="53"/>
      <c r="L98" s="53"/>
      <c r="M98" s="53"/>
      <c r="N98" s="53"/>
      <c r="O98" s="5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12" t="s">
        <v>965</v>
      </c>
      <c r="B99" s="14">
        <v>6</v>
      </c>
      <c r="C99" s="136">
        <v>0</v>
      </c>
      <c r="D99" s="161" t="s">
        <v>118</v>
      </c>
      <c r="E99" s="13" t="s">
        <v>966</v>
      </c>
      <c r="F99" s="12">
        <v>7707177971616</v>
      </c>
      <c r="Z99" s="23"/>
    </row>
    <row r="101" spans="1:26" s="29" customFormat="1">
      <c r="B101" s="88"/>
      <c r="C101" s="88"/>
      <c r="D101" s="88"/>
    </row>
    <row r="102" spans="1:26">
      <c r="A102" t="s">
        <v>2750</v>
      </c>
      <c r="B102">
        <v>10</v>
      </c>
      <c r="C102">
        <v>0</v>
      </c>
      <c r="D102" s="134" t="s">
        <v>2751</v>
      </c>
      <c r="E102" s="22" t="s">
        <v>2752</v>
      </c>
      <c r="F102">
        <v>7708304516267</v>
      </c>
    </row>
    <row r="103" spans="1:26" ht="28.5">
      <c r="A103" t="s">
        <v>2753</v>
      </c>
      <c r="B103" s="39">
        <v>2</v>
      </c>
      <c r="C103" s="39">
        <v>0</v>
      </c>
      <c r="D103" s="39" t="s">
        <v>56</v>
      </c>
      <c r="E103" s="22" t="s">
        <v>2754</v>
      </c>
      <c r="F103">
        <v>7709969869422</v>
      </c>
    </row>
    <row r="104" spans="1:26" ht="28.5">
      <c r="A104" t="s">
        <v>2755</v>
      </c>
      <c r="B104" s="39">
        <v>6</v>
      </c>
      <c r="C104" s="39">
        <v>0</v>
      </c>
      <c r="D104" s="39" t="s">
        <v>227</v>
      </c>
      <c r="E104" s="22" t="s">
        <v>107</v>
      </c>
      <c r="F104">
        <v>7707019338782</v>
      </c>
    </row>
    <row r="105" spans="1:26" s="29" customFormat="1">
      <c r="B105" s="88"/>
      <c r="C105" s="88"/>
      <c r="D105" s="88"/>
    </row>
    <row r="106" spans="1:26" ht="15">
      <c r="A106" s="73" t="s">
        <v>2161</v>
      </c>
      <c r="B106" s="32">
        <v>3</v>
      </c>
      <c r="C106" s="72">
        <v>0</v>
      </c>
      <c r="D106" s="81" t="s">
        <v>527</v>
      </c>
      <c r="E106" s="73" t="s">
        <v>431</v>
      </c>
      <c r="F106" s="32">
        <v>7703038067511</v>
      </c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19"/>
    </row>
    <row r="107" spans="1:26">
      <c r="A107" s="7" t="s">
        <v>31</v>
      </c>
      <c r="B107" s="8">
        <v>10</v>
      </c>
      <c r="C107" s="9">
        <v>0</v>
      </c>
      <c r="D107" s="9" t="s">
        <v>32</v>
      </c>
      <c r="E107" s="8" t="s">
        <v>33</v>
      </c>
      <c r="F107" s="8">
        <v>7705486010002</v>
      </c>
    </row>
    <row r="108" spans="1:26" ht="28.5">
      <c r="A108" t="s">
        <v>1735</v>
      </c>
      <c r="B108">
        <v>3</v>
      </c>
      <c r="C108" s="133">
        <v>0</v>
      </c>
      <c r="D108" s="163" t="s">
        <v>747</v>
      </c>
      <c r="E108" s="22" t="s">
        <v>1736</v>
      </c>
      <c r="F108">
        <v>7701205202284</v>
      </c>
    </row>
    <row r="109" spans="1:26" ht="15">
      <c r="A109" s="45" t="s">
        <v>2756</v>
      </c>
      <c r="B109" s="36">
        <v>6</v>
      </c>
      <c r="C109" s="164">
        <v>0</v>
      </c>
      <c r="D109" s="36" t="s">
        <v>808</v>
      </c>
      <c r="E109" s="45" t="s">
        <v>477</v>
      </c>
      <c r="F109" s="21">
        <v>7707019381085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19"/>
    </row>
    <row r="110" spans="1:26" s="29" customFormat="1">
      <c r="B110" s="88"/>
      <c r="C110" s="88"/>
      <c r="D110" s="88"/>
    </row>
    <row r="111" spans="1:26" ht="30">
      <c r="A111" s="45" t="s">
        <v>1406</v>
      </c>
      <c r="B111" s="36">
        <v>2</v>
      </c>
      <c r="C111" s="165">
        <v>0.19</v>
      </c>
      <c r="D111" s="165" t="s">
        <v>56</v>
      </c>
      <c r="E111" s="45" t="s">
        <v>1407</v>
      </c>
      <c r="F111" s="21">
        <v>7702123013693</v>
      </c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19"/>
    </row>
    <row r="112" spans="1:26" ht="15">
      <c r="A112" s="76" t="s">
        <v>2757</v>
      </c>
      <c r="B112" s="36">
        <v>1</v>
      </c>
      <c r="C112" s="164">
        <v>0</v>
      </c>
      <c r="D112" s="36" t="s">
        <v>2758</v>
      </c>
      <c r="E112" s="76" t="s">
        <v>316</v>
      </c>
      <c r="F112" s="46">
        <v>7702057712396</v>
      </c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19"/>
    </row>
    <row r="113" spans="1:26">
      <c r="A113" s="7" t="s">
        <v>1383</v>
      </c>
      <c r="B113" s="30">
        <v>3</v>
      </c>
      <c r="C113" s="31">
        <v>0</v>
      </c>
      <c r="D113" s="98" t="s">
        <v>1384</v>
      </c>
      <c r="E113" s="25" t="s">
        <v>1385</v>
      </c>
      <c r="F113" s="129">
        <v>7704412000186</v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 spans="1:26">
      <c r="A114" s="22" t="s">
        <v>1957</v>
      </c>
      <c r="B114" s="11">
        <v>1</v>
      </c>
      <c r="C114" s="166">
        <v>0</v>
      </c>
      <c r="D114" s="106" t="s">
        <v>1955</v>
      </c>
      <c r="E114" s="22" t="s">
        <v>1958</v>
      </c>
      <c r="F114" s="22">
        <v>7702057016029</v>
      </c>
      <c r="G114" s="22"/>
      <c r="H114" s="22"/>
      <c r="I114" s="22"/>
      <c r="J114" s="22"/>
      <c r="K114" s="22"/>
      <c r="L114" s="22"/>
      <c r="M114" s="22"/>
      <c r="N114" s="22"/>
      <c r="O114" s="22"/>
    </row>
    <row r="115" spans="1:26" ht="28.5">
      <c r="A115" t="s">
        <v>2759</v>
      </c>
      <c r="B115" s="39">
        <v>3</v>
      </c>
      <c r="C115" s="39">
        <v>0</v>
      </c>
      <c r="D115" s="39" t="s">
        <v>1579</v>
      </c>
      <c r="E115" s="22" t="s">
        <v>107</v>
      </c>
      <c r="F115">
        <v>8904159631615</v>
      </c>
    </row>
    <row r="116" spans="1:26" ht="15">
      <c r="A116" s="73" t="s">
        <v>1049</v>
      </c>
      <c r="B116" s="17">
        <v>2</v>
      </c>
      <c r="C116" s="124">
        <v>0</v>
      </c>
      <c r="D116" s="138" t="s">
        <v>476</v>
      </c>
      <c r="E116" s="32" t="s">
        <v>1050</v>
      </c>
      <c r="F116" s="32">
        <v>7703038050414</v>
      </c>
    </row>
    <row r="117" spans="1:26" ht="28.5">
      <c r="A117" s="24" t="s">
        <v>397</v>
      </c>
      <c r="B117" s="30">
        <v>1</v>
      </c>
      <c r="C117" s="31">
        <v>0</v>
      </c>
      <c r="D117" s="99" t="s">
        <v>310</v>
      </c>
      <c r="E117" s="24" t="s">
        <v>398</v>
      </c>
      <c r="F117" s="28">
        <v>7707232099354</v>
      </c>
      <c r="G117" s="28"/>
    </row>
    <row r="118" spans="1:26">
      <c r="A118" s="24" t="s">
        <v>1720</v>
      </c>
      <c r="B118" s="8">
        <v>4</v>
      </c>
      <c r="C118" s="9">
        <v>0</v>
      </c>
      <c r="D118" s="10" t="s">
        <v>2679</v>
      </c>
      <c r="E118" s="24" t="s">
        <v>1721</v>
      </c>
      <c r="F118" s="63">
        <v>7704412004276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 spans="1:26">
      <c r="A119" s="7" t="s">
        <v>2760</v>
      </c>
      <c r="B119" s="8">
        <v>4</v>
      </c>
      <c r="C119" s="167">
        <v>0</v>
      </c>
      <c r="D119" s="10" t="s">
        <v>214</v>
      </c>
      <c r="E119" s="7" t="s">
        <v>2761</v>
      </c>
      <c r="F119">
        <v>7707364802150</v>
      </c>
    </row>
    <row r="120" spans="1:26">
      <c r="A120" s="7" t="s">
        <v>445</v>
      </c>
      <c r="B120" s="8">
        <v>4</v>
      </c>
      <c r="C120" s="167">
        <v>0</v>
      </c>
      <c r="D120" s="10" t="s">
        <v>59</v>
      </c>
      <c r="E120" s="7" t="s">
        <v>446</v>
      </c>
      <c r="F120">
        <v>7707364802167</v>
      </c>
    </row>
    <row r="121" spans="1:26">
      <c r="A121" s="7" t="s">
        <v>447</v>
      </c>
      <c r="B121" s="8">
        <v>4</v>
      </c>
      <c r="C121" s="167">
        <v>0</v>
      </c>
      <c r="D121" s="10" t="s">
        <v>519</v>
      </c>
      <c r="E121" s="7" t="s">
        <v>448</v>
      </c>
      <c r="F121">
        <v>7707364802174</v>
      </c>
    </row>
    <row r="122" spans="1:26">
      <c r="A122" s="7" t="s">
        <v>2104</v>
      </c>
      <c r="B122" s="8">
        <v>4</v>
      </c>
      <c r="C122" s="167">
        <v>0</v>
      </c>
      <c r="D122" s="10" t="s">
        <v>80</v>
      </c>
      <c r="E122" s="7" t="s">
        <v>2105</v>
      </c>
      <c r="F122">
        <v>7707364802181</v>
      </c>
    </row>
    <row r="123" spans="1:26" s="29" customFormat="1">
      <c r="B123" s="88"/>
      <c r="C123" s="88"/>
      <c r="D123" s="88"/>
    </row>
    <row r="124" spans="1:26">
      <c r="A124" t="s">
        <v>1930</v>
      </c>
      <c r="B124" s="39">
        <v>9</v>
      </c>
      <c r="C124" s="40">
        <v>0</v>
      </c>
      <c r="D124" s="39" t="s">
        <v>1040</v>
      </c>
      <c r="E124" t="s">
        <v>1473</v>
      </c>
      <c r="F124">
        <v>8903726176696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 spans="1:26">
      <c r="A125" s="159" t="s">
        <v>605</v>
      </c>
      <c r="B125" s="147">
        <v>5</v>
      </c>
      <c r="C125" s="148">
        <v>0</v>
      </c>
      <c r="D125" s="147" t="s">
        <v>747</v>
      </c>
      <c r="E125" s="159" t="s">
        <v>606</v>
      </c>
      <c r="F125" s="160">
        <v>7703451000010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146" t="s">
        <v>1152</v>
      </c>
      <c r="B126" s="147">
        <v>1</v>
      </c>
      <c r="C126" s="147">
        <v>0</v>
      </c>
      <c r="D126" s="147" t="s">
        <v>2495</v>
      </c>
      <c r="E126" s="146" t="s">
        <v>1153</v>
      </c>
      <c r="F126" s="141">
        <v>7891317018986</v>
      </c>
      <c r="G126" s="28"/>
    </row>
    <row r="127" spans="1:26" ht="28.5">
      <c r="A127" s="146" t="s">
        <v>2178</v>
      </c>
      <c r="B127" s="147">
        <v>3</v>
      </c>
      <c r="C127" s="148">
        <v>0</v>
      </c>
      <c r="D127" s="158" t="s">
        <v>85</v>
      </c>
      <c r="E127" s="22" t="s">
        <v>2179</v>
      </c>
      <c r="F127" s="160">
        <v>7501033959967</v>
      </c>
    </row>
    <row r="128" spans="1:26" ht="15">
      <c r="A128" s="53" t="s">
        <v>2368</v>
      </c>
      <c r="B128" s="153">
        <v>3</v>
      </c>
      <c r="C128" s="55">
        <v>0</v>
      </c>
      <c r="D128" s="30" t="s">
        <v>85</v>
      </c>
      <c r="E128" s="56" t="s">
        <v>165</v>
      </c>
      <c r="F128" s="155">
        <v>7501033961540</v>
      </c>
    </row>
    <row r="129" spans="1:26" ht="15">
      <c r="A129" s="73" t="s">
        <v>164</v>
      </c>
      <c r="B129" s="30">
        <v>3</v>
      </c>
      <c r="C129" s="31">
        <v>0</v>
      </c>
      <c r="D129" s="30" t="s">
        <v>85</v>
      </c>
      <c r="E129" s="73" t="s">
        <v>165</v>
      </c>
      <c r="F129" s="110">
        <v>7501033961557</v>
      </c>
    </row>
    <row r="130" spans="1:26">
      <c r="A130" s="146" t="s">
        <v>2058</v>
      </c>
      <c r="B130" s="147">
        <v>2</v>
      </c>
      <c r="C130" s="147">
        <v>0</v>
      </c>
      <c r="D130" s="149" t="s">
        <v>103</v>
      </c>
      <c r="E130" s="159" t="s">
        <v>1519</v>
      </c>
      <c r="F130" s="169">
        <v>7702605102327</v>
      </c>
    </row>
    <row r="131" spans="1:26" ht="28.5">
      <c r="A131" s="141" t="s">
        <v>1959</v>
      </c>
      <c r="B131" s="168">
        <v>3</v>
      </c>
      <c r="C131" s="170">
        <v>0</v>
      </c>
      <c r="D131" s="171" t="s">
        <v>74</v>
      </c>
      <c r="E131" s="146" t="s">
        <v>1960</v>
      </c>
      <c r="F131" s="160">
        <v>7709990383645</v>
      </c>
      <c r="G131" s="141"/>
      <c r="H131" s="141"/>
      <c r="I131" s="141"/>
      <c r="J131" s="141"/>
      <c r="K131" s="141"/>
      <c r="L131" s="141"/>
      <c r="M131" s="141"/>
      <c r="N131" s="141"/>
      <c r="O131" s="141"/>
    </row>
    <row r="132" spans="1:26" s="29" customFormat="1">
      <c r="B132" s="88"/>
      <c r="C132" s="88"/>
      <c r="D132" s="88"/>
    </row>
    <row r="133" spans="1:26">
      <c r="A133" t="s">
        <v>2762</v>
      </c>
      <c r="B133" s="23">
        <v>3</v>
      </c>
      <c r="C133" s="51">
        <v>0.19</v>
      </c>
      <c r="D133" s="172" t="s">
        <v>7</v>
      </c>
      <c r="E133" t="s">
        <v>2763</v>
      </c>
      <c r="F133">
        <v>7707353303545</v>
      </c>
    </row>
    <row r="134" spans="1:26" ht="28.5">
      <c r="A134" s="12" t="s">
        <v>1850</v>
      </c>
      <c r="B134" s="12">
        <v>8</v>
      </c>
      <c r="C134" s="70">
        <v>0</v>
      </c>
      <c r="D134" s="161" t="s">
        <v>10</v>
      </c>
      <c r="E134" s="13" t="s">
        <v>1851</v>
      </c>
      <c r="F134" s="12">
        <v>7703038859246</v>
      </c>
    </row>
    <row r="135" spans="1:26">
      <c r="A135" s="8" t="s">
        <v>778</v>
      </c>
      <c r="B135" s="30">
        <v>2</v>
      </c>
      <c r="C135" s="173">
        <v>0</v>
      </c>
      <c r="D135" s="98" t="s">
        <v>238</v>
      </c>
      <c r="E135" s="8" t="s">
        <v>779</v>
      </c>
      <c r="F135" s="8">
        <v>7703038131663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6">
      <c r="A136" s="71" t="s">
        <v>1812</v>
      </c>
      <c r="B136" s="14">
        <v>5</v>
      </c>
      <c r="C136" s="174">
        <v>0</v>
      </c>
      <c r="D136" s="137" t="s">
        <v>7</v>
      </c>
      <c r="E136" s="69" t="s">
        <v>1813</v>
      </c>
      <c r="F136" s="71">
        <v>7702184020227</v>
      </c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42.75">
      <c r="A137" s="22" t="s">
        <v>211</v>
      </c>
      <c r="B137" s="22">
        <v>5</v>
      </c>
      <c r="C137" s="175">
        <v>0</v>
      </c>
      <c r="D137" s="176" t="s">
        <v>109</v>
      </c>
      <c r="E137" s="22" t="s">
        <v>212</v>
      </c>
      <c r="F137" s="22">
        <v>7703038878728</v>
      </c>
      <c r="G137" s="22"/>
    </row>
    <row r="138" spans="1:26" ht="15">
      <c r="A138" s="21" t="s">
        <v>1102</v>
      </c>
      <c r="B138" s="21">
        <v>3</v>
      </c>
      <c r="C138" s="177">
        <v>0</v>
      </c>
      <c r="D138" s="36" t="s">
        <v>1103</v>
      </c>
      <c r="E138" s="45" t="s">
        <v>1104</v>
      </c>
      <c r="F138" s="46">
        <v>7702057088835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">
      <c r="A139" s="178" t="s">
        <v>688</v>
      </c>
      <c r="B139" s="179">
        <v>3</v>
      </c>
      <c r="C139" s="180">
        <v>0</v>
      </c>
      <c r="D139" s="179" t="s">
        <v>23</v>
      </c>
      <c r="E139" s="181" t="s">
        <v>689</v>
      </c>
      <c r="F139" s="182">
        <v>7707321982093</v>
      </c>
    </row>
    <row r="140" spans="1:26" ht="15">
      <c r="A140" s="178" t="s">
        <v>688</v>
      </c>
      <c r="B140" s="179">
        <v>6</v>
      </c>
      <c r="C140" s="180">
        <v>0</v>
      </c>
      <c r="D140" s="179" t="s">
        <v>23</v>
      </c>
      <c r="E140" s="181" t="s">
        <v>689</v>
      </c>
      <c r="F140" s="182">
        <v>7707321982093</v>
      </c>
    </row>
    <row r="141" spans="1:26">
      <c r="A141" s="69" t="s">
        <v>1872</v>
      </c>
      <c r="B141" s="12">
        <v>2</v>
      </c>
      <c r="C141" s="59">
        <v>0</v>
      </c>
      <c r="D141" s="111" t="s">
        <v>348</v>
      </c>
      <c r="E141" s="69" t="s">
        <v>1873</v>
      </c>
      <c r="F141" s="61">
        <v>7702057067212</v>
      </c>
    </row>
    <row r="142" spans="1:26">
      <c r="A142" t="s">
        <v>1016</v>
      </c>
      <c r="B142">
        <v>1</v>
      </c>
      <c r="C142" s="133">
        <v>0</v>
      </c>
      <c r="D142" s="140" t="s">
        <v>1507</v>
      </c>
      <c r="E142" s="22" t="s">
        <v>779</v>
      </c>
      <c r="F142" s="42">
        <v>7702870070888</v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t="s">
        <v>1000</v>
      </c>
      <c r="B143">
        <v>3</v>
      </c>
      <c r="C143" s="133">
        <v>0</v>
      </c>
      <c r="D143" s="23" t="s">
        <v>491</v>
      </c>
      <c r="E143" t="s">
        <v>1001</v>
      </c>
      <c r="F143">
        <v>7703689240998</v>
      </c>
    </row>
    <row r="144" spans="1:26" ht="28.5">
      <c r="A144" t="s">
        <v>2053</v>
      </c>
      <c r="B144" s="39">
        <v>1</v>
      </c>
      <c r="C144" s="39">
        <v>0</v>
      </c>
      <c r="D144" s="39" t="s">
        <v>227</v>
      </c>
      <c r="E144" s="22" t="s">
        <v>107</v>
      </c>
      <c r="F144">
        <v>7702057711368</v>
      </c>
    </row>
    <row r="145" spans="1:26" ht="15">
      <c r="A145" s="18" t="s">
        <v>102</v>
      </c>
      <c r="B145" s="18">
        <v>1</v>
      </c>
      <c r="C145" s="184">
        <v>0</v>
      </c>
      <c r="D145" s="17" t="s">
        <v>2222</v>
      </c>
      <c r="E145" s="16" t="s">
        <v>104</v>
      </c>
      <c r="F145" s="20">
        <v>7703038050452</v>
      </c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 spans="1:26" s="29" customFormat="1" ht="15">
      <c r="A146" s="185"/>
      <c r="B146" s="185"/>
      <c r="C146" s="186"/>
      <c r="D146" s="187"/>
      <c r="E146" s="188"/>
      <c r="F146" s="190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</row>
    <row r="147" spans="1:26">
      <c r="A147" t="s">
        <v>2764</v>
      </c>
      <c r="B147">
        <v>2</v>
      </c>
      <c r="C147" s="133">
        <v>0.19</v>
      </c>
      <c r="D147" t="s">
        <v>88</v>
      </c>
      <c r="E147" t="s">
        <v>2765</v>
      </c>
      <c r="F147">
        <v>7701684650026</v>
      </c>
    </row>
    <row r="148" spans="1:26">
      <c r="A148" t="s">
        <v>1410</v>
      </c>
      <c r="B148">
        <v>1</v>
      </c>
      <c r="C148" s="133">
        <v>0.19</v>
      </c>
      <c r="D148" t="s">
        <v>56</v>
      </c>
      <c r="E148" t="s">
        <v>1411</v>
      </c>
      <c r="F148">
        <v>7709514060571</v>
      </c>
    </row>
    <row r="149" spans="1:26">
      <c r="A149" t="s">
        <v>1491</v>
      </c>
      <c r="B149">
        <v>2</v>
      </c>
      <c r="C149" s="133">
        <v>0</v>
      </c>
      <c r="D149" s="23" t="s">
        <v>56</v>
      </c>
      <c r="E149" s="22" t="s">
        <v>1492</v>
      </c>
      <c r="F149">
        <v>7704588000430</v>
      </c>
    </row>
    <row r="150" spans="1:26" s="29" customFormat="1">
      <c r="B150" s="88"/>
      <c r="C150" s="88"/>
      <c r="D150" s="88"/>
    </row>
    <row r="151" spans="1:26">
      <c r="A151" s="24" t="s">
        <v>2766</v>
      </c>
      <c r="B151" s="28">
        <v>1</v>
      </c>
      <c r="C151" s="192">
        <v>0</v>
      </c>
      <c r="D151" s="193" t="s">
        <v>430</v>
      </c>
      <c r="E151" s="24" t="s">
        <v>2767</v>
      </c>
      <c r="F151" s="28">
        <v>7703889152558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28.5">
      <c r="A152" s="22" t="s">
        <v>502</v>
      </c>
      <c r="B152" s="11">
        <v>1</v>
      </c>
      <c r="C152" s="194">
        <v>0</v>
      </c>
      <c r="D152" s="176" t="s">
        <v>381</v>
      </c>
      <c r="E152" s="22" t="s">
        <v>504</v>
      </c>
      <c r="F152" s="22">
        <v>7702132011369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6">
      <c r="A153" t="s">
        <v>2768</v>
      </c>
      <c r="B153" s="39">
        <v>3</v>
      </c>
      <c r="C153" s="39">
        <v>0</v>
      </c>
      <c r="D153" s="39" t="s">
        <v>567</v>
      </c>
      <c r="E153" s="22" t="s">
        <v>83</v>
      </c>
      <c r="F153">
        <v>7702057707033</v>
      </c>
    </row>
    <row r="154" spans="1:26">
      <c r="A154" t="s">
        <v>2038</v>
      </c>
      <c r="B154" s="39">
        <v>1</v>
      </c>
      <c r="C154" s="39">
        <v>0</v>
      </c>
      <c r="D154" s="39" t="s">
        <v>2039</v>
      </c>
      <c r="E154" t="s">
        <v>2040</v>
      </c>
      <c r="F154">
        <v>7702605109173</v>
      </c>
    </row>
    <row r="155" spans="1:26" s="29" customFormat="1">
      <c r="B155" s="88"/>
      <c r="C155" s="88"/>
      <c r="D155" s="88"/>
    </row>
    <row r="156" spans="1:26" ht="28.5">
      <c r="A156" s="22" t="s">
        <v>354</v>
      </c>
      <c r="B156" s="39">
        <v>1</v>
      </c>
      <c r="C156" s="39">
        <v>0</v>
      </c>
      <c r="D156" s="39" t="s">
        <v>355</v>
      </c>
      <c r="E156" s="22" t="s">
        <v>356</v>
      </c>
      <c r="F156">
        <v>7707355059365</v>
      </c>
    </row>
    <row r="157" spans="1:26" ht="15">
      <c r="A157" s="195" t="s">
        <v>950</v>
      </c>
      <c r="B157" s="197">
        <v>1</v>
      </c>
      <c r="C157" s="198">
        <v>0</v>
      </c>
      <c r="D157" s="199" t="s">
        <v>2769</v>
      </c>
      <c r="E157" s="195" t="s">
        <v>951</v>
      </c>
      <c r="F157" s="201">
        <v>7702057071813</v>
      </c>
      <c r="G157" s="200"/>
    </row>
    <row r="158" spans="1:26" ht="15">
      <c r="A158" s="19" t="s">
        <v>794</v>
      </c>
      <c r="B158" s="19">
        <v>1</v>
      </c>
      <c r="C158" s="19">
        <v>0</v>
      </c>
      <c r="D158" s="19" t="s">
        <v>355</v>
      </c>
      <c r="E158" s="19" t="s">
        <v>795</v>
      </c>
      <c r="F158" s="19">
        <v>7702057233211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24" t="s">
        <v>2203</v>
      </c>
      <c r="B159" s="12">
        <v>12</v>
      </c>
      <c r="C159" s="59">
        <v>0</v>
      </c>
      <c r="D159" s="60" t="s">
        <v>91</v>
      </c>
      <c r="E159" s="24" t="s">
        <v>1639</v>
      </c>
      <c r="F159" s="63">
        <v>7709740450399</v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 spans="1:26" ht="28.5">
      <c r="A160" s="24" t="s">
        <v>1355</v>
      </c>
      <c r="B160" s="30">
        <v>1</v>
      </c>
      <c r="C160" s="31">
        <v>0</v>
      </c>
      <c r="D160" s="98" t="s">
        <v>1356</v>
      </c>
      <c r="E160" s="7" t="s">
        <v>1357</v>
      </c>
      <c r="F160" s="28">
        <v>7702870070604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">
      <c r="A161" s="18" t="s">
        <v>410</v>
      </c>
      <c r="B161" s="17">
        <v>1</v>
      </c>
      <c r="C161" s="33">
        <v>0</v>
      </c>
      <c r="D161" s="202" t="s">
        <v>59</v>
      </c>
      <c r="E161" s="73" t="s">
        <v>412</v>
      </c>
      <c r="F161" s="18">
        <v>7702057162436</v>
      </c>
    </row>
    <row r="162" spans="1:26" ht="28.5">
      <c r="A162" s="24" t="s">
        <v>2770</v>
      </c>
      <c r="B162" s="30">
        <v>1</v>
      </c>
      <c r="C162" s="31">
        <v>0</v>
      </c>
      <c r="D162" s="98" t="s">
        <v>222</v>
      </c>
      <c r="E162" s="7" t="s">
        <v>2771</v>
      </c>
      <c r="F162" s="28">
        <v>7702870001929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</row>
    <row r="163" spans="1:26" s="29" customFormat="1">
      <c r="B163" s="88"/>
      <c r="C163" s="88"/>
      <c r="D163" s="88"/>
    </row>
    <row r="164" spans="1:26" ht="28.5">
      <c r="A164" s="69" t="s">
        <v>79</v>
      </c>
      <c r="B164" s="14">
        <v>32</v>
      </c>
      <c r="C164" s="136">
        <v>0</v>
      </c>
      <c r="D164" s="136" t="s">
        <v>80</v>
      </c>
      <c r="E164" s="13" t="s">
        <v>81</v>
      </c>
      <c r="F164" s="61">
        <v>7705366100014</v>
      </c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26" s="29" customFormat="1">
      <c r="B165" s="88"/>
      <c r="C165" s="88"/>
      <c r="D165" s="88"/>
    </row>
    <row r="166" spans="1:26">
      <c r="A166" s="28" t="s">
        <v>2772</v>
      </c>
      <c r="B166" s="8">
        <v>2</v>
      </c>
      <c r="C166" s="8">
        <v>0</v>
      </c>
      <c r="D166" s="203" t="s">
        <v>381</v>
      </c>
      <c r="E166" s="28" t="s">
        <v>2773</v>
      </c>
      <c r="F166" s="28">
        <v>7707239270060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>
      <c r="A167" t="s">
        <v>2774</v>
      </c>
      <c r="B167" s="147">
        <v>3</v>
      </c>
      <c r="C167" s="147">
        <v>0</v>
      </c>
      <c r="D167" s="147" t="s">
        <v>109</v>
      </c>
      <c r="E167" t="s">
        <v>2775</v>
      </c>
      <c r="F167">
        <v>7709990304008</v>
      </c>
    </row>
    <row r="168" spans="1:26" ht="15">
      <c r="A168" s="32" t="s">
        <v>2776</v>
      </c>
      <c r="B168" s="32">
        <v>2</v>
      </c>
      <c r="C168" s="82">
        <v>0</v>
      </c>
      <c r="D168" s="83" t="s">
        <v>310</v>
      </c>
      <c r="E168" s="73" t="s">
        <v>2777</v>
      </c>
      <c r="F168" s="32">
        <v>7707274721107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">
      <c r="A169" s="53" t="s">
        <v>139</v>
      </c>
      <c r="B169" s="53">
        <v>1</v>
      </c>
      <c r="C169" s="122">
        <v>0</v>
      </c>
      <c r="D169" s="53" t="s">
        <v>91</v>
      </c>
      <c r="E169" s="53" t="s">
        <v>140</v>
      </c>
      <c r="F169" s="53">
        <v>7707210530015</v>
      </c>
    </row>
    <row r="170" spans="1:26" s="29" customFormat="1">
      <c r="B170" s="88"/>
      <c r="C170" s="88"/>
      <c r="D170" s="88"/>
    </row>
    <row r="171" spans="1:26">
      <c r="A171" s="24" t="s">
        <v>2778</v>
      </c>
      <c r="B171" s="30">
        <v>1</v>
      </c>
      <c r="C171" s="31">
        <v>0.19</v>
      </c>
      <c r="D171" s="30" t="s">
        <v>85</v>
      </c>
      <c r="E171" s="8" t="s">
        <v>1536</v>
      </c>
      <c r="F171" s="28">
        <v>7702123003137</v>
      </c>
    </row>
    <row r="172" spans="1:26">
      <c r="A172" s="24" t="s">
        <v>1535</v>
      </c>
      <c r="B172" s="30">
        <v>1</v>
      </c>
      <c r="C172" s="31">
        <v>0.19</v>
      </c>
      <c r="D172" s="99" t="s">
        <v>2779</v>
      </c>
      <c r="E172" s="8" t="s">
        <v>1536</v>
      </c>
      <c r="F172" s="28">
        <v>7702123014447</v>
      </c>
    </row>
    <row r="173" spans="1:26" ht="15">
      <c r="A173" s="18" t="s">
        <v>2780</v>
      </c>
      <c r="B173" s="17">
        <v>1</v>
      </c>
      <c r="C173" s="124">
        <v>0</v>
      </c>
      <c r="D173" s="204" t="s">
        <v>20</v>
      </c>
      <c r="E173" s="16" t="s">
        <v>2781</v>
      </c>
      <c r="F173" s="18">
        <v>7702123012184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s="29" customFormat="1">
      <c r="B174" s="88"/>
      <c r="C174" s="88"/>
      <c r="D174" s="88"/>
    </row>
    <row r="175" spans="1:26">
      <c r="A175" t="s">
        <v>1417</v>
      </c>
      <c r="B175">
        <v>4</v>
      </c>
      <c r="C175" s="133">
        <v>0</v>
      </c>
      <c r="D175" s="23" t="s">
        <v>29</v>
      </c>
      <c r="E175" t="s">
        <v>827</v>
      </c>
      <c r="F175">
        <v>7702184010754</v>
      </c>
    </row>
    <row r="176" spans="1:26" s="29" customFormat="1">
      <c r="B176" s="88"/>
      <c r="C176" s="88"/>
      <c r="D176" s="88"/>
    </row>
    <row r="177" spans="1:26" ht="15">
      <c r="A177" s="64" t="s">
        <v>2782</v>
      </c>
      <c r="B177" s="102">
        <v>2</v>
      </c>
      <c r="C177" s="205">
        <v>0.19</v>
      </c>
      <c r="D177" s="125" t="s">
        <v>2783</v>
      </c>
      <c r="E177" s="64" t="s">
        <v>2631</v>
      </c>
      <c r="F177" s="19">
        <v>7702026179380</v>
      </c>
      <c r="G177" s="68"/>
      <c r="H177" s="65"/>
      <c r="I177" s="65"/>
      <c r="J177" s="65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s="29" customFormat="1">
      <c r="B178" s="88"/>
      <c r="C178" s="88"/>
      <c r="D178" s="88"/>
    </row>
    <row r="179" spans="1:26" ht="15">
      <c r="A179" s="64" t="s">
        <v>2782</v>
      </c>
      <c r="B179" s="102">
        <v>2</v>
      </c>
      <c r="C179" s="205">
        <v>0.19</v>
      </c>
      <c r="D179" s="125" t="s">
        <v>2783</v>
      </c>
      <c r="E179" s="64" t="s">
        <v>2631</v>
      </c>
      <c r="F179" s="19">
        <v>7702026179380</v>
      </c>
      <c r="G179" s="68"/>
      <c r="H179" s="65"/>
      <c r="I179" s="65"/>
      <c r="J179" s="65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s="29" customFormat="1">
      <c r="B180" s="88"/>
      <c r="C180" s="88"/>
      <c r="D180" s="88"/>
    </row>
    <row r="181" spans="1:26">
      <c r="A181" s="24" t="s">
        <v>87</v>
      </c>
      <c r="B181" s="30">
        <v>5</v>
      </c>
      <c r="C181" s="31">
        <v>0</v>
      </c>
      <c r="D181" s="30" t="s">
        <v>88</v>
      </c>
      <c r="E181" s="24" t="s">
        <v>89</v>
      </c>
      <c r="F181" s="63">
        <v>7896116865618</v>
      </c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26" ht="28.5">
      <c r="A182" s="69" t="s">
        <v>1169</v>
      </c>
      <c r="B182" s="71">
        <v>1</v>
      </c>
      <c r="C182" s="206">
        <v>0</v>
      </c>
      <c r="D182" s="137" t="s">
        <v>2784</v>
      </c>
      <c r="E182" s="71" t="s">
        <v>1171</v>
      </c>
      <c r="F182" s="71">
        <v>7896006202509</v>
      </c>
    </row>
    <row r="183" spans="1:26">
      <c r="A183" s="71" t="s">
        <v>2785</v>
      </c>
      <c r="B183" s="71">
        <v>2</v>
      </c>
      <c r="C183" s="206">
        <v>0</v>
      </c>
      <c r="D183" s="207" t="s">
        <v>53</v>
      </c>
      <c r="E183" s="13" t="s">
        <v>2786</v>
      </c>
      <c r="F183" s="71">
        <v>7703038050063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">
      <c r="A184" s="16" t="s">
        <v>2787</v>
      </c>
      <c r="B184" s="32">
        <v>8</v>
      </c>
      <c r="C184" s="32">
        <v>0</v>
      </c>
      <c r="D184" s="83" t="s">
        <v>7</v>
      </c>
      <c r="E184" s="35" t="s">
        <v>1639</v>
      </c>
      <c r="F184" s="110">
        <v>7703038060420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t="s">
        <v>2788</v>
      </c>
      <c r="B185">
        <v>2</v>
      </c>
      <c r="C185" s="140">
        <v>0</v>
      </c>
      <c r="D185" s="23" t="s">
        <v>1593</v>
      </c>
      <c r="E185" t="s">
        <v>1721</v>
      </c>
      <c r="F185" s="42">
        <v>7707019381054</v>
      </c>
    </row>
    <row r="186" spans="1:26" ht="28.5">
      <c r="A186" s="22" t="s">
        <v>1086</v>
      </c>
      <c r="B186" s="23">
        <v>3</v>
      </c>
      <c r="C186" s="23">
        <v>0</v>
      </c>
      <c r="D186" s="23" t="s">
        <v>115</v>
      </c>
      <c r="E186" s="22" t="s">
        <v>1087</v>
      </c>
      <c r="F186" s="52">
        <v>7702027440106</v>
      </c>
    </row>
    <row r="187" spans="1:26">
      <c r="A187" s="24" t="s">
        <v>714</v>
      </c>
      <c r="B187" s="30">
        <v>2</v>
      </c>
      <c r="C187" s="31">
        <v>0</v>
      </c>
      <c r="D187" s="30" t="s">
        <v>715</v>
      </c>
      <c r="E187" s="8" t="s">
        <v>716</v>
      </c>
      <c r="F187" s="63">
        <v>650240069932</v>
      </c>
    </row>
    <row r="188" spans="1:26" s="29" customFormat="1">
      <c r="B188" s="88"/>
      <c r="C188" s="88"/>
      <c r="D188" s="88"/>
    </row>
    <row r="189" spans="1:26" ht="15">
      <c r="A189" s="43" t="s">
        <v>2789</v>
      </c>
      <c r="B189" s="19">
        <v>6</v>
      </c>
      <c r="C189" s="208">
        <v>0</v>
      </c>
      <c r="D189" s="113" t="s">
        <v>7</v>
      </c>
      <c r="E189" s="43" t="s">
        <v>2790</v>
      </c>
      <c r="F189" s="19">
        <v>7703038065333</v>
      </c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28" t="s">
        <v>2249</v>
      </c>
      <c r="B190" s="8">
        <v>5</v>
      </c>
      <c r="C190" s="9">
        <v>0</v>
      </c>
      <c r="D190" s="203" t="s">
        <v>29</v>
      </c>
      <c r="E190" s="24" t="s">
        <v>134</v>
      </c>
      <c r="F190" s="28">
        <v>7705959013370</v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 spans="1:26" ht="28.5">
      <c r="A191" t="s">
        <v>2791</v>
      </c>
      <c r="B191" s="39">
        <v>4</v>
      </c>
      <c r="C191" s="39">
        <v>0</v>
      </c>
      <c r="D191" s="39" t="s">
        <v>585</v>
      </c>
      <c r="E191" s="22" t="s">
        <v>107</v>
      </c>
      <c r="F191">
        <v>7702605101221</v>
      </c>
    </row>
    <row r="192" spans="1:26" s="29" customFormat="1">
      <c r="B192" s="88"/>
      <c r="C192" s="88"/>
      <c r="D192" s="88"/>
      <c r="E192" s="6"/>
    </row>
    <row r="193" spans="1:26">
      <c r="A193" s="8" t="s">
        <v>815</v>
      </c>
      <c r="B193" s="8">
        <v>3</v>
      </c>
      <c r="C193" s="167">
        <v>0</v>
      </c>
      <c r="D193" s="203" t="s">
        <v>808</v>
      </c>
      <c r="E193" s="7" t="s">
        <v>816</v>
      </c>
      <c r="F193" s="8">
        <v>8436024610949</v>
      </c>
    </row>
    <row r="194" spans="1:26">
      <c r="A194" t="s">
        <v>2792</v>
      </c>
      <c r="B194" s="39">
        <v>4</v>
      </c>
      <c r="C194" s="39">
        <v>0</v>
      </c>
      <c r="D194" s="39" t="s">
        <v>1550</v>
      </c>
      <c r="E194" s="22" t="s">
        <v>2793</v>
      </c>
      <c r="F194">
        <v>8903726237694</v>
      </c>
    </row>
    <row r="195" spans="1:26">
      <c r="A195" t="s">
        <v>2792</v>
      </c>
      <c r="B195" s="39">
        <v>2</v>
      </c>
      <c r="C195" s="39">
        <v>0</v>
      </c>
      <c r="D195" s="39" t="s">
        <v>1550</v>
      </c>
      <c r="E195" s="22" t="s">
        <v>2793</v>
      </c>
      <c r="F195">
        <v>8903726237694</v>
      </c>
    </row>
    <row r="196" spans="1:26">
      <c r="A196" s="22" t="s">
        <v>2794</v>
      </c>
      <c r="B196" s="23">
        <v>2</v>
      </c>
      <c r="C196" s="51">
        <v>0</v>
      </c>
      <c r="D196" s="172" t="s">
        <v>142</v>
      </c>
      <c r="E196" s="22" t="s">
        <v>2795</v>
      </c>
      <c r="F196" s="52">
        <v>7703202221152</v>
      </c>
    </row>
    <row r="197" spans="1:26">
      <c r="A197" s="8" t="s">
        <v>2796</v>
      </c>
      <c r="B197" s="28">
        <v>1</v>
      </c>
      <c r="C197" s="31">
        <v>0</v>
      </c>
      <c r="D197" s="98" t="s">
        <v>2797</v>
      </c>
      <c r="E197" s="8" t="s">
        <v>2798</v>
      </c>
      <c r="F197" s="63">
        <v>7707288821060</v>
      </c>
    </row>
    <row r="198" spans="1:26" ht="28.5">
      <c r="A198" s="13" t="s">
        <v>772</v>
      </c>
      <c r="B198" s="14">
        <v>1</v>
      </c>
      <c r="C198" s="174">
        <v>0</v>
      </c>
      <c r="D198" s="14" t="s">
        <v>68</v>
      </c>
      <c r="E198" s="13" t="s">
        <v>774</v>
      </c>
      <c r="F198" s="15">
        <v>7704588003011</v>
      </c>
    </row>
    <row r="199" spans="1:26" ht="15">
      <c r="A199" s="18" t="s">
        <v>2799</v>
      </c>
      <c r="B199" s="17">
        <v>1</v>
      </c>
      <c r="C199" s="33">
        <v>0</v>
      </c>
      <c r="D199" s="202" t="s">
        <v>2800</v>
      </c>
      <c r="E199" s="16" t="s">
        <v>2801</v>
      </c>
      <c r="F199" s="18">
        <v>7704588000232</v>
      </c>
    </row>
    <row r="200" spans="1:26" ht="15">
      <c r="A200" s="53" t="s">
        <v>2802</v>
      </c>
      <c r="B200" s="153">
        <v>1</v>
      </c>
      <c r="C200" s="153">
        <v>0</v>
      </c>
      <c r="D200" s="153" t="s">
        <v>720</v>
      </c>
      <c r="E200" s="53" t="s">
        <v>1168</v>
      </c>
      <c r="F200" s="53">
        <v>7702184011058</v>
      </c>
    </row>
    <row r="201" spans="1:26" ht="15">
      <c r="A201" s="53" t="s">
        <v>2802</v>
      </c>
      <c r="B201" s="153">
        <v>1</v>
      </c>
      <c r="C201" s="153">
        <v>0</v>
      </c>
      <c r="D201" s="153" t="s">
        <v>720</v>
      </c>
      <c r="E201" s="53" t="s">
        <v>1168</v>
      </c>
      <c r="F201" s="53">
        <v>7702184011058</v>
      </c>
    </row>
    <row r="202" spans="1:26">
      <c r="A202" t="s">
        <v>1289</v>
      </c>
      <c r="B202">
        <v>1</v>
      </c>
      <c r="C202" s="140">
        <v>0</v>
      </c>
      <c r="D202" s="23" t="s">
        <v>888</v>
      </c>
      <c r="E202" t="s">
        <v>1290</v>
      </c>
      <c r="F202">
        <v>7707016401014</v>
      </c>
    </row>
    <row r="203" spans="1:26" s="29" customFormat="1">
      <c r="B203" s="88"/>
      <c r="C203" s="88"/>
      <c r="D203" s="88"/>
    </row>
    <row r="204" spans="1:26">
      <c r="A204" t="s">
        <v>2803</v>
      </c>
      <c r="B204">
        <v>3</v>
      </c>
      <c r="C204" s="133">
        <v>0</v>
      </c>
      <c r="D204" t="s">
        <v>59</v>
      </c>
      <c r="E204" t="s">
        <v>2804</v>
      </c>
      <c r="F204">
        <v>7707353306584</v>
      </c>
    </row>
    <row r="205" spans="1:26">
      <c r="A205" s="28" t="s">
        <v>1771</v>
      </c>
      <c r="B205" s="28">
        <v>3</v>
      </c>
      <c r="C205" s="192">
        <v>0</v>
      </c>
      <c r="D205" s="28" t="s">
        <v>2516</v>
      </c>
      <c r="E205" s="28" t="s">
        <v>1773</v>
      </c>
      <c r="F205" s="28">
        <v>7702195079559</v>
      </c>
    </row>
    <row r="206" spans="1:26" ht="28.5">
      <c r="A206" t="s">
        <v>1128</v>
      </c>
      <c r="B206" s="39">
        <v>3</v>
      </c>
      <c r="C206" s="39">
        <v>0</v>
      </c>
      <c r="D206" s="39" t="s">
        <v>1126</v>
      </c>
      <c r="E206" s="22" t="s">
        <v>1129</v>
      </c>
      <c r="F206">
        <v>8903726232811</v>
      </c>
    </row>
    <row r="207" spans="1:26" s="29" customFormat="1">
      <c r="B207" s="88"/>
      <c r="C207" s="88"/>
      <c r="D207" s="88"/>
    </row>
    <row r="208" spans="1:26" ht="15">
      <c r="A208" s="45" t="s">
        <v>2805</v>
      </c>
      <c r="B208" s="36">
        <v>1</v>
      </c>
      <c r="C208" s="164">
        <v>0</v>
      </c>
      <c r="D208" s="36" t="s">
        <v>10</v>
      </c>
      <c r="E208" s="76" t="s">
        <v>1277</v>
      </c>
      <c r="F208" s="77">
        <v>3582910009900</v>
      </c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19"/>
    </row>
    <row r="209" spans="1:25" ht="28.5">
      <c r="A209" s="12" t="s">
        <v>701</v>
      </c>
      <c r="B209" s="12">
        <v>2</v>
      </c>
      <c r="C209" s="59">
        <v>0</v>
      </c>
      <c r="D209" s="12" t="s">
        <v>23</v>
      </c>
      <c r="E209" s="13" t="s">
        <v>151</v>
      </c>
      <c r="F209" s="12">
        <v>7702896001347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28.5">
      <c r="A210" s="22" t="s">
        <v>619</v>
      </c>
      <c r="B210" s="22">
        <v>1</v>
      </c>
      <c r="C210" s="175">
        <v>0.19</v>
      </c>
      <c r="D210" s="176" t="s">
        <v>88</v>
      </c>
      <c r="E210" s="22" t="s">
        <v>620</v>
      </c>
      <c r="F210">
        <v>7703286100626</v>
      </c>
    </row>
    <row r="211" spans="1:25">
      <c r="A211" t="s">
        <v>812</v>
      </c>
      <c r="B211">
        <v>4</v>
      </c>
      <c r="C211" s="133">
        <v>0</v>
      </c>
      <c r="D211" s="172" t="s">
        <v>519</v>
      </c>
      <c r="E211" t="s">
        <v>813</v>
      </c>
      <c r="F211">
        <v>7709805542861</v>
      </c>
    </row>
    <row r="212" spans="1:25" s="29" customFormat="1">
      <c r="B212" s="88"/>
      <c r="C212" s="88"/>
      <c r="D212" s="88"/>
    </row>
    <row r="213" spans="1:25">
      <c r="A213" t="s">
        <v>2806</v>
      </c>
      <c r="B213" s="23">
        <v>2</v>
      </c>
      <c r="C213" s="51">
        <v>0</v>
      </c>
      <c r="D213" s="23" t="s">
        <v>2807</v>
      </c>
      <c r="E213" t="s">
        <v>1590</v>
      </c>
      <c r="F213">
        <v>7702605109395</v>
      </c>
    </row>
    <row r="214" spans="1:25">
      <c r="A214" t="s">
        <v>2806</v>
      </c>
      <c r="B214" s="23">
        <v>1</v>
      </c>
      <c r="C214" s="51">
        <v>0</v>
      </c>
      <c r="D214" s="23" t="s">
        <v>2807</v>
      </c>
      <c r="E214" t="s">
        <v>1590</v>
      </c>
      <c r="F214">
        <v>7702605109395</v>
      </c>
    </row>
    <row r="215" spans="1:25" ht="15">
      <c r="A215" s="16" t="s">
        <v>2808</v>
      </c>
      <c r="B215" s="17">
        <v>1</v>
      </c>
      <c r="C215" s="124">
        <v>0</v>
      </c>
      <c r="D215" s="204" t="s">
        <v>2809</v>
      </c>
      <c r="E215" s="16" t="s">
        <v>2810</v>
      </c>
      <c r="F215" s="18">
        <v>7500435181068</v>
      </c>
    </row>
    <row r="216" spans="1:25" ht="28.5">
      <c r="A216" s="22" t="s">
        <v>2811</v>
      </c>
      <c r="B216" s="39">
        <v>4</v>
      </c>
      <c r="C216" s="39">
        <v>0</v>
      </c>
      <c r="D216" s="39" t="s">
        <v>2812</v>
      </c>
      <c r="E216" s="22" t="s">
        <v>2813</v>
      </c>
      <c r="F216">
        <v>7702057059422</v>
      </c>
    </row>
    <row r="217" spans="1:25" s="29" customFormat="1">
      <c r="B217" s="88"/>
      <c r="C217" s="88"/>
      <c r="D217" s="88"/>
    </row>
    <row r="218" spans="1:25" ht="28.5">
      <c r="A218" s="24" t="s">
        <v>2814</v>
      </c>
      <c r="B218" s="8">
        <v>1</v>
      </c>
      <c r="C218" s="209">
        <v>0.19</v>
      </c>
      <c r="D218" s="210" t="s">
        <v>2815</v>
      </c>
      <c r="E218" s="24" t="s">
        <v>2816</v>
      </c>
      <c r="F218" s="28">
        <v>7702123014423</v>
      </c>
    </row>
    <row r="219" spans="1:25">
      <c r="A219" s="13" t="s">
        <v>246</v>
      </c>
      <c r="B219" s="14">
        <v>1</v>
      </c>
      <c r="C219" s="105">
        <v>0.19</v>
      </c>
      <c r="D219" s="137" t="s">
        <v>2817</v>
      </c>
      <c r="E219" s="13" t="s">
        <v>248</v>
      </c>
      <c r="F219" s="211">
        <v>7703286115101</v>
      </c>
    </row>
    <row r="220" spans="1:25" s="29" customFormat="1">
      <c r="B220" s="88"/>
      <c r="C220" s="88"/>
      <c r="D220" s="88"/>
    </row>
    <row r="221" spans="1:25">
      <c r="A221" s="69" t="s">
        <v>1011</v>
      </c>
      <c r="B221" s="14">
        <v>4</v>
      </c>
      <c r="C221" s="105">
        <v>0</v>
      </c>
      <c r="D221" s="14" t="s">
        <v>2392</v>
      </c>
      <c r="E221" s="69" t="s">
        <v>1012</v>
      </c>
      <c r="F221" s="61">
        <v>7703038067566</v>
      </c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25" ht="28.5">
      <c r="A222" t="s">
        <v>1382</v>
      </c>
      <c r="B222" s="39">
        <v>3</v>
      </c>
      <c r="C222" s="39">
        <v>0</v>
      </c>
      <c r="D222" s="39" t="s">
        <v>23</v>
      </c>
      <c r="E222" s="22" t="s">
        <v>1203</v>
      </c>
      <c r="F222">
        <v>7703712030152</v>
      </c>
    </row>
    <row r="223" spans="1:25" ht="15">
      <c r="A223" s="16" t="s">
        <v>1907</v>
      </c>
      <c r="B223" s="18">
        <v>4</v>
      </c>
      <c r="C223" s="184">
        <v>0</v>
      </c>
      <c r="D223" s="212" t="s">
        <v>527</v>
      </c>
      <c r="E223" s="16" t="s">
        <v>1168</v>
      </c>
      <c r="F223" s="20">
        <v>7707019371260</v>
      </c>
    </row>
    <row r="224" spans="1:25">
      <c r="A224" s="28" t="s">
        <v>1771</v>
      </c>
      <c r="B224" s="28">
        <v>4</v>
      </c>
      <c r="C224" s="192">
        <v>0</v>
      </c>
      <c r="D224" s="28" t="s">
        <v>2516</v>
      </c>
      <c r="E224" s="28" t="s">
        <v>1773</v>
      </c>
      <c r="F224" s="28">
        <v>7702195079559</v>
      </c>
    </row>
    <row r="225" spans="1:26" ht="28.5">
      <c r="A225" s="71" t="s">
        <v>2818</v>
      </c>
      <c r="B225" s="14">
        <v>5</v>
      </c>
      <c r="C225" s="105">
        <v>0</v>
      </c>
      <c r="D225" s="137" t="s">
        <v>74</v>
      </c>
      <c r="E225" s="69" t="s">
        <v>2819</v>
      </c>
      <c r="F225" s="71">
        <v>7707019312676</v>
      </c>
    </row>
    <row r="226" spans="1:26">
      <c r="A226" s="7" t="s">
        <v>1664</v>
      </c>
      <c r="B226" s="8">
        <v>5</v>
      </c>
      <c r="C226" s="9">
        <v>0</v>
      </c>
      <c r="D226" s="10" t="s">
        <v>118</v>
      </c>
      <c r="E226" s="7" t="s">
        <v>1665</v>
      </c>
      <c r="F226" s="213">
        <v>7705366910019</v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 spans="1:26">
      <c r="A227" t="s">
        <v>2820</v>
      </c>
      <c r="B227" s="39">
        <v>3</v>
      </c>
      <c r="C227" s="39">
        <v>0</v>
      </c>
      <c r="D227" s="39" t="s">
        <v>2821</v>
      </c>
      <c r="E227" t="s">
        <v>2822</v>
      </c>
      <c r="F227">
        <v>7702605111657</v>
      </c>
    </row>
    <row r="228" spans="1:26">
      <c r="A228" t="s">
        <v>1423</v>
      </c>
      <c r="B228">
        <v>1</v>
      </c>
      <c r="C228" s="133">
        <v>0</v>
      </c>
      <c r="D228" t="s">
        <v>103</v>
      </c>
      <c r="E228" t="s">
        <v>204</v>
      </c>
      <c r="F228">
        <v>7707355055732</v>
      </c>
    </row>
    <row r="229" spans="1:26">
      <c r="A229" t="s">
        <v>1423</v>
      </c>
      <c r="B229">
        <v>1</v>
      </c>
      <c r="C229" s="133">
        <v>0</v>
      </c>
      <c r="D229" t="s">
        <v>103</v>
      </c>
      <c r="E229" t="s">
        <v>204</v>
      </c>
      <c r="F229">
        <v>7707355055732</v>
      </c>
    </row>
    <row r="230" spans="1:26" ht="15">
      <c r="A230" s="16" t="s">
        <v>1994</v>
      </c>
      <c r="B230" s="17">
        <v>1</v>
      </c>
      <c r="C230" s="17">
        <v>0</v>
      </c>
      <c r="D230" s="17" t="s">
        <v>59</v>
      </c>
      <c r="E230" s="16" t="s">
        <v>60</v>
      </c>
      <c r="F230" s="20">
        <v>7707232098074</v>
      </c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26" ht="15">
      <c r="A231" s="28" t="s">
        <v>1632</v>
      </c>
      <c r="B231" s="130">
        <v>2</v>
      </c>
      <c r="C231" s="131">
        <v>0</v>
      </c>
      <c r="D231" s="215" t="s">
        <v>23</v>
      </c>
      <c r="E231" s="130" t="s">
        <v>1633</v>
      </c>
      <c r="F231" s="130">
        <v>4005800137655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s="29" customFormat="1">
      <c r="B232" s="88"/>
      <c r="C232" s="88"/>
      <c r="D232" s="88"/>
    </row>
    <row r="233" spans="1:26">
      <c r="A233" t="s">
        <v>2359</v>
      </c>
      <c r="B233" s="39">
        <v>5</v>
      </c>
      <c r="C233" s="40">
        <v>0.19</v>
      </c>
      <c r="D233" s="39" t="s">
        <v>80</v>
      </c>
      <c r="E233" t="s">
        <v>2360</v>
      </c>
      <c r="F233">
        <v>7707242970575</v>
      </c>
    </row>
    <row r="234" spans="1:26">
      <c r="A234" s="12" t="s">
        <v>1919</v>
      </c>
      <c r="B234" s="12">
        <v>1</v>
      </c>
      <c r="C234" s="59">
        <v>0</v>
      </c>
      <c r="D234" s="12" t="s">
        <v>156</v>
      </c>
      <c r="E234" s="13" t="s">
        <v>422</v>
      </c>
      <c r="F234" s="28">
        <v>7702184011041</v>
      </c>
    </row>
    <row r="235" spans="1:26">
      <c r="A235" s="8" t="s">
        <v>780</v>
      </c>
      <c r="B235" s="8">
        <v>2</v>
      </c>
      <c r="C235" s="9">
        <v>0</v>
      </c>
      <c r="D235" s="203" t="s">
        <v>2823</v>
      </c>
      <c r="E235" s="7" t="s">
        <v>431</v>
      </c>
      <c r="F235" s="63">
        <v>7702057712938</v>
      </c>
    </row>
    <row r="236" spans="1:26">
      <c r="A236" s="69" t="s">
        <v>155</v>
      </c>
      <c r="B236" s="12">
        <v>1</v>
      </c>
      <c r="C236" s="59">
        <v>0</v>
      </c>
      <c r="D236" s="111" t="s">
        <v>156</v>
      </c>
      <c r="E236" s="121" t="s">
        <v>54</v>
      </c>
      <c r="F236" s="211">
        <v>7703038066606</v>
      </c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">
      <c r="A237" s="16" t="s">
        <v>1118</v>
      </c>
      <c r="B237" s="17">
        <v>2</v>
      </c>
      <c r="C237" s="124">
        <v>0</v>
      </c>
      <c r="D237" s="124" t="s">
        <v>276</v>
      </c>
      <c r="E237" s="73" t="s">
        <v>1119</v>
      </c>
      <c r="F237" s="18">
        <v>7500435107013</v>
      </c>
    </row>
    <row r="238" spans="1:26" s="29" customFormat="1">
      <c r="B238" s="88"/>
      <c r="C238" s="88"/>
      <c r="D238" s="88"/>
    </row>
    <row r="239" spans="1:26" ht="30">
      <c r="A239" s="47" t="s">
        <v>1054</v>
      </c>
      <c r="B239" s="49">
        <v>1</v>
      </c>
      <c r="C239" s="216">
        <v>0</v>
      </c>
      <c r="D239" s="217" t="s">
        <v>10</v>
      </c>
      <c r="E239" s="49" t="s">
        <v>1055</v>
      </c>
      <c r="F239" s="49">
        <v>7707557919160</v>
      </c>
      <c r="G239" s="21"/>
      <c r="H239" s="21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3" t="s">
        <v>2032</v>
      </c>
      <c r="B240" s="12">
        <v>2</v>
      </c>
      <c r="C240" s="59">
        <v>0</v>
      </c>
      <c r="D240" s="60" t="s">
        <v>133</v>
      </c>
      <c r="E240" s="12" t="s">
        <v>2033</v>
      </c>
      <c r="F240" s="12">
        <v>7702057070229</v>
      </c>
    </row>
    <row r="241" spans="1:26">
      <c r="A241" s="24" t="s">
        <v>524</v>
      </c>
      <c r="B241" s="25">
        <v>3</v>
      </c>
      <c r="C241" s="26">
        <v>0</v>
      </c>
      <c r="D241" s="27" t="s">
        <v>2824</v>
      </c>
      <c r="E241" s="7" t="s">
        <v>525</v>
      </c>
      <c r="F241" s="24">
        <v>7707336090585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 spans="1:26">
      <c r="A242" s="168" t="s">
        <v>2398</v>
      </c>
      <c r="B242" s="147">
        <v>3</v>
      </c>
      <c r="C242" s="147">
        <v>0</v>
      </c>
      <c r="D242" s="147" t="s">
        <v>2442</v>
      </c>
      <c r="E242" s="150" t="s">
        <v>2400</v>
      </c>
      <c r="F242" s="147">
        <v>7703038067030</v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 spans="1:26" s="29" customFormat="1">
      <c r="B243" s="88"/>
      <c r="C243" s="88"/>
      <c r="D243" s="88"/>
    </row>
    <row r="244" spans="1:26">
      <c r="A244" s="12" t="s">
        <v>2825</v>
      </c>
      <c r="B244" s="12">
        <v>1</v>
      </c>
      <c r="C244" s="12">
        <v>0</v>
      </c>
      <c r="D244" s="111" t="s">
        <v>2729</v>
      </c>
      <c r="E244" s="12" t="s">
        <v>2826</v>
      </c>
      <c r="F244" s="12">
        <v>7701684000128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t="s">
        <v>1172</v>
      </c>
      <c r="B245">
        <v>1</v>
      </c>
      <c r="C245" s="133">
        <v>0</v>
      </c>
      <c r="D245" s="23" t="s">
        <v>170</v>
      </c>
      <c r="E245" s="41" t="s">
        <v>95</v>
      </c>
      <c r="F245">
        <v>7702195102387</v>
      </c>
    </row>
    <row r="246" spans="1:26" ht="28.5">
      <c r="A246" s="24" t="s">
        <v>2827</v>
      </c>
      <c r="B246" s="8">
        <v>1</v>
      </c>
      <c r="C246" s="9">
        <v>0</v>
      </c>
      <c r="D246" s="8" t="s">
        <v>59</v>
      </c>
      <c r="E246" s="24" t="s">
        <v>2828</v>
      </c>
      <c r="F246" s="63">
        <v>7707278000987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6">
      <c r="A247" s="24" t="s">
        <v>1467</v>
      </c>
      <c r="B247" s="8">
        <v>1</v>
      </c>
      <c r="C247" s="9">
        <v>0</v>
      </c>
      <c r="D247" s="8" t="s">
        <v>625</v>
      </c>
      <c r="E247" s="24" t="s">
        <v>1469</v>
      </c>
      <c r="F247" s="63">
        <v>7707278000970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6">
      <c r="A248" t="s">
        <v>2829</v>
      </c>
      <c r="B248" s="39">
        <v>3</v>
      </c>
      <c r="C248" s="40">
        <v>0.19</v>
      </c>
      <c r="D248" s="39" t="s">
        <v>2830</v>
      </c>
      <c r="E248" t="s">
        <v>2831</v>
      </c>
      <c r="F248">
        <v>7702208145394</v>
      </c>
    </row>
    <row r="249" spans="1:26">
      <c r="A249" t="s">
        <v>2832</v>
      </c>
      <c r="B249" s="39">
        <v>3</v>
      </c>
      <c r="C249" s="40">
        <v>0.19</v>
      </c>
      <c r="D249" s="39" t="s">
        <v>2833</v>
      </c>
      <c r="E249" t="s">
        <v>2834</v>
      </c>
      <c r="F249">
        <v>7702057625078</v>
      </c>
    </row>
    <row r="250" spans="1:26">
      <c r="A250" t="s">
        <v>2835</v>
      </c>
      <c r="B250" s="39">
        <v>3</v>
      </c>
      <c r="C250" s="40">
        <v>0.19</v>
      </c>
      <c r="D250" s="39" t="s">
        <v>2836</v>
      </c>
      <c r="E250" t="s">
        <v>2837</v>
      </c>
      <c r="F250">
        <v>7702560040863</v>
      </c>
    </row>
    <row r="251" spans="1:26">
      <c r="A251" t="s">
        <v>2838</v>
      </c>
      <c r="B251">
        <v>3</v>
      </c>
      <c r="C251" s="218">
        <v>0.19</v>
      </c>
      <c r="D251" s="219" t="s">
        <v>2839</v>
      </c>
      <c r="E251" t="s">
        <v>2840</v>
      </c>
      <c r="F251">
        <v>7708947964364</v>
      </c>
    </row>
    <row r="252" spans="1:26">
      <c r="A252" t="s">
        <v>2841</v>
      </c>
      <c r="B252" s="39">
        <v>3</v>
      </c>
      <c r="C252" s="40">
        <v>0.19</v>
      </c>
      <c r="D252" s="39" t="s">
        <v>2842</v>
      </c>
      <c r="E252" t="s">
        <v>2843</v>
      </c>
      <c r="F252">
        <v>7702208129431</v>
      </c>
    </row>
    <row r="253" spans="1:26">
      <c r="A253" s="8" t="s">
        <v>2844</v>
      </c>
      <c r="B253" s="30">
        <v>1</v>
      </c>
      <c r="C253" s="128">
        <v>0</v>
      </c>
      <c r="D253" s="220" t="s">
        <v>888</v>
      </c>
      <c r="E253" s="7" t="s">
        <v>2845</v>
      </c>
      <c r="F253" s="8">
        <v>7702195104572</v>
      </c>
    </row>
    <row r="254" spans="1:26" ht="28.5">
      <c r="A254" s="221" t="s">
        <v>2846</v>
      </c>
      <c r="B254" s="221">
        <v>5</v>
      </c>
      <c r="C254" s="222">
        <v>0</v>
      </c>
      <c r="D254" s="223" t="s">
        <v>697</v>
      </c>
      <c r="E254" s="224" t="s">
        <v>2847</v>
      </c>
      <c r="F254" s="221">
        <v>7707271201756</v>
      </c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</row>
    <row r="255" spans="1:26" ht="28.5">
      <c r="A255" t="s">
        <v>836</v>
      </c>
      <c r="B255">
        <v>2</v>
      </c>
      <c r="C255" s="133">
        <v>0</v>
      </c>
      <c r="D255" s="23" t="s">
        <v>23</v>
      </c>
      <c r="E255" s="22" t="s">
        <v>837</v>
      </c>
      <c r="F255">
        <v>7707271201725</v>
      </c>
    </row>
    <row r="256" spans="1:26" ht="28.5">
      <c r="A256" t="s">
        <v>2848</v>
      </c>
      <c r="B256">
        <v>5</v>
      </c>
      <c r="C256" s="133">
        <v>0</v>
      </c>
      <c r="D256" s="23" t="s">
        <v>80</v>
      </c>
      <c r="E256" s="22" t="s">
        <v>2849</v>
      </c>
      <c r="F256">
        <v>7707271201749</v>
      </c>
    </row>
    <row r="257" spans="1:26" ht="28.5">
      <c r="A257" s="65" t="s">
        <v>2850</v>
      </c>
      <c r="B257" s="102">
        <v>1</v>
      </c>
      <c r="C257" s="205">
        <v>0</v>
      </c>
      <c r="D257" s="125" t="s">
        <v>91</v>
      </c>
      <c r="E257" s="64" t="s">
        <v>2851</v>
      </c>
      <c r="F257" s="68">
        <v>7703546033107</v>
      </c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28.5">
      <c r="A258" s="65" t="s">
        <v>2850</v>
      </c>
      <c r="B258" s="102">
        <v>2</v>
      </c>
      <c r="C258" s="205">
        <v>0</v>
      </c>
      <c r="D258" s="125" t="s">
        <v>91</v>
      </c>
      <c r="E258" s="64" t="s">
        <v>2851</v>
      </c>
      <c r="F258" s="68">
        <v>7703546033107</v>
      </c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28.5">
      <c r="A259" s="22" t="s">
        <v>1014</v>
      </c>
      <c r="B259">
        <v>1</v>
      </c>
      <c r="C259" s="133">
        <v>0</v>
      </c>
      <c r="D259" s="23" t="s">
        <v>222</v>
      </c>
      <c r="E259" s="22" t="s">
        <v>1015</v>
      </c>
      <c r="F259">
        <v>7703712014251</v>
      </c>
    </row>
    <row r="260" spans="1:26" ht="28.5">
      <c r="A260" s="22" t="s">
        <v>1224</v>
      </c>
      <c r="B260" s="39">
        <v>1</v>
      </c>
      <c r="C260" s="39">
        <v>0</v>
      </c>
      <c r="D260" s="39" t="s">
        <v>519</v>
      </c>
      <c r="E260" t="s">
        <v>1225</v>
      </c>
      <c r="F260">
        <v>7707173600459</v>
      </c>
    </row>
    <row r="261" spans="1:26">
      <c r="A261" s="8" t="s">
        <v>580</v>
      </c>
      <c r="B261" s="30">
        <v>1</v>
      </c>
      <c r="C261" s="31">
        <v>0.19</v>
      </c>
      <c r="D261" s="30" t="s">
        <v>23</v>
      </c>
      <c r="E261" s="7" t="s">
        <v>581</v>
      </c>
      <c r="F261" s="8">
        <v>650240007828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28.5">
      <c r="A262" t="s">
        <v>147</v>
      </c>
      <c r="B262" s="39">
        <v>6</v>
      </c>
      <c r="C262" s="39">
        <v>0</v>
      </c>
      <c r="D262" s="39" t="s">
        <v>32</v>
      </c>
      <c r="E262" s="22" t="s">
        <v>148</v>
      </c>
      <c r="F262">
        <v>7709947559772</v>
      </c>
    </row>
    <row r="263" spans="1:26">
      <c r="A263" s="7" t="s">
        <v>1308</v>
      </c>
      <c r="B263" s="25">
        <v>1</v>
      </c>
      <c r="C263" s="26">
        <v>0</v>
      </c>
      <c r="D263" s="27" t="s">
        <v>1309</v>
      </c>
      <c r="E263" s="7" t="s">
        <v>1310</v>
      </c>
      <c r="F263" s="7">
        <v>7703038066637</v>
      </c>
    </row>
    <row r="264" spans="1:26">
      <c r="A264" s="71" t="s">
        <v>2852</v>
      </c>
      <c r="B264" s="14">
        <v>2</v>
      </c>
      <c r="C264" s="105">
        <v>0.19</v>
      </c>
      <c r="D264" s="137" t="s">
        <v>10</v>
      </c>
      <c r="E264" s="69" t="s">
        <v>2853</v>
      </c>
      <c r="F264" s="71">
        <v>7707271202777</v>
      </c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>
      <c r="A265" s="69" t="s">
        <v>1791</v>
      </c>
      <c r="B265" s="14">
        <v>6</v>
      </c>
      <c r="C265" s="105">
        <v>0.19</v>
      </c>
      <c r="D265" s="137" t="s">
        <v>214</v>
      </c>
      <c r="E265" s="13" t="s">
        <v>1792</v>
      </c>
      <c r="F265" s="71">
        <v>7707271202791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6">
      <c r="A266" s="71" t="s">
        <v>2069</v>
      </c>
      <c r="B266" s="14">
        <v>1</v>
      </c>
      <c r="C266" s="105">
        <v>0.19</v>
      </c>
      <c r="D266" s="137" t="s">
        <v>23</v>
      </c>
      <c r="E266" s="69" t="s">
        <v>2070</v>
      </c>
      <c r="F266" s="71">
        <v>7707271202760</v>
      </c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s="29" customFormat="1">
      <c r="B267" s="88"/>
      <c r="C267" s="88"/>
      <c r="D267" s="88"/>
    </row>
    <row r="268" spans="1:26">
      <c r="A268" t="s">
        <v>284</v>
      </c>
      <c r="B268" s="39">
        <v>2</v>
      </c>
      <c r="C268" s="39">
        <v>0</v>
      </c>
      <c r="D268" s="39" t="s">
        <v>2031</v>
      </c>
      <c r="E268" t="s">
        <v>286</v>
      </c>
      <c r="F268">
        <v>7702605106523</v>
      </c>
    </row>
    <row r="269" spans="1:26" ht="15">
      <c r="A269" s="16" t="s">
        <v>2854</v>
      </c>
      <c r="B269" s="32">
        <v>1</v>
      </c>
      <c r="C269" s="72">
        <v>0</v>
      </c>
      <c r="D269" s="32" t="s">
        <v>310</v>
      </c>
      <c r="E269" s="35" t="s">
        <v>2855</v>
      </c>
      <c r="F269" s="110">
        <v>7702031927433</v>
      </c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19"/>
    </row>
    <row r="270" spans="1:26">
      <c r="A270" t="s">
        <v>1155</v>
      </c>
      <c r="B270">
        <v>1</v>
      </c>
      <c r="C270" s="133">
        <v>0.19</v>
      </c>
      <c r="D270" t="s">
        <v>2709</v>
      </c>
      <c r="E270" t="s">
        <v>1157</v>
      </c>
      <c r="F270">
        <v>751273783052</v>
      </c>
    </row>
    <row r="271" spans="1:26" s="29" customFormat="1">
      <c r="B271" s="88"/>
      <c r="C271" s="88"/>
      <c r="D271" s="88"/>
    </row>
    <row r="272" spans="1:26" ht="28.5">
      <c r="A272" t="s">
        <v>2856</v>
      </c>
      <c r="B272" s="39">
        <v>2</v>
      </c>
      <c r="C272" s="39">
        <v>0</v>
      </c>
      <c r="D272" s="39" t="s">
        <v>2857</v>
      </c>
      <c r="E272" s="22" t="s">
        <v>2858</v>
      </c>
      <c r="F272">
        <v>7705959884055</v>
      </c>
    </row>
    <row r="273" spans="1:25" ht="28.5">
      <c r="A273" t="s">
        <v>2856</v>
      </c>
      <c r="B273" s="39">
        <v>1</v>
      </c>
      <c r="C273" s="39">
        <v>0</v>
      </c>
      <c r="D273" s="39" t="s">
        <v>2857</v>
      </c>
      <c r="E273" s="22" t="s">
        <v>2858</v>
      </c>
      <c r="F273">
        <v>7705959884055</v>
      </c>
    </row>
    <row r="274" spans="1:25" s="29" customFormat="1">
      <c r="B274" s="88"/>
      <c r="C274" s="88"/>
      <c r="D274" s="88"/>
    </row>
    <row r="275" spans="1:25">
      <c r="A275" s="13" t="s">
        <v>199</v>
      </c>
      <c r="B275" s="39">
        <v>1</v>
      </c>
      <c r="C275" s="59">
        <v>0</v>
      </c>
      <c r="D275" s="60" t="s">
        <v>200</v>
      </c>
      <c r="E275" s="121" t="s">
        <v>201</v>
      </c>
      <c r="F275" s="61">
        <v>7707397791636</v>
      </c>
      <c r="G275" s="23"/>
      <c r="H275" s="23"/>
      <c r="I275" s="23"/>
      <c r="J275" s="23"/>
      <c r="K275" s="23"/>
      <c r="L275" s="23"/>
      <c r="M275" s="23"/>
      <c r="N275" s="23"/>
      <c r="O275" s="23"/>
    </row>
    <row r="276" spans="1:25" ht="15">
      <c r="A276" s="18" t="s">
        <v>762</v>
      </c>
      <c r="B276" s="17">
        <v>1</v>
      </c>
      <c r="C276" s="124">
        <v>0</v>
      </c>
      <c r="D276" s="124" t="s">
        <v>38</v>
      </c>
      <c r="E276" s="76" t="s">
        <v>121</v>
      </c>
      <c r="F276" s="20">
        <v>7501125184864</v>
      </c>
    </row>
    <row r="277" spans="1:25">
      <c r="A277" t="s">
        <v>190</v>
      </c>
      <c r="B277" s="23">
        <v>1</v>
      </c>
      <c r="C277" s="51">
        <v>0</v>
      </c>
      <c r="D277" s="23" t="s">
        <v>515</v>
      </c>
      <c r="E277" s="22" t="s">
        <v>192</v>
      </c>
      <c r="F277">
        <v>7702870004111</v>
      </c>
    </row>
    <row r="278" spans="1:25" ht="15">
      <c r="A278" s="56" t="s">
        <v>360</v>
      </c>
      <c r="B278" s="153">
        <v>5</v>
      </c>
      <c r="C278" s="55">
        <v>0</v>
      </c>
      <c r="D278" s="225" t="s">
        <v>257</v>
      </c>
      <c r="E278" s="56" t="s">
        <v>361</v>
      </c>
      <c r="F278" s="226">
        <v>7703038067214</v>
      </c>
      <c r="G278" s="53"/>
      <c r="H278" s="53"/>
      <c r="I278" s="53"/>
      <c r="J278" s="53"/>
      <c r="K278" s="53"/>
      <c r="L278" s="53"/>
      <c r="M278" s="53"/>
      <c r="N278" s="53"/>
      <c r="O278" s="53"/>
    </row>
    <row r="279" spans="1:25" ht="28.5">
      <c r="A279" s="64" t="s">
        <v>814</v>
      </c>
      <c r="B279" s="102">
        <v>8</v>
      </c>
      <c r="C279" s="102">
        <v>0</v>
      </c>
      <c r="D279" s="102" t="s">
        <v>88</v>
      </c>
      <c r="E279" s="64" t="s">
        <v>198</v>
      </c>
      <c r="F279" s="68">
        <v>7709695236826</v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 spans="1:25">
      <c r="A280" s="12" t="s">
        <v>965</v>
      </c>
      <c r="B280" s="12">
        <v>8</v>
      </c>
      <c r="C280" s="70">
        <v>0</v>
      </c>
      <c r="D280" s="227" t="s">
        <v>118</v>
      </c>
      <c r="E280" s="13" t="s">
        <v>966</v>
      </c>
      <c r="F280" s="12">
        <v>7707177971616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 spans="1:25" s="29" customFormat="1">
      <c r="B281" s="88"/>
      <c r="C281" s="88"/>
      <c r="D281" s="88"/>
    </row>
    <row r="282" spans="1:25" ht="15">
      <c r="A282" s="56" t="s">
        <v>360</v>
      </c>
      <c r="B282" s="153">
        <v>1</v>
      </c>
      <c r="C282" s="55">
        <v>0</v>
      </c>
      <c r="D282" s="225" t="s">
        <v>257</v>
      </c>
      <c r="E282" s="56" t="s">
        <v>361</v>
      </c>
      <c r="F282" s="226">
        <v>7703038067214</v>
      </c>
      <c r="G282" s="53"/>
      <c r="H282" s="53"/>
      <c r="I282" s="53"/>
      <c r="J282" s="53"/>
      <c r="K282" s="53"/>
      <c r="L282" s="53"/>
      <c r="M282" s="53"/>
      <c r="N282" s="53"/>
      <c r="O282" s="53"/>
    </row>
    <row r="283" spans="1:25" s="29" customFormat="1">
      <c r="B283" s="88"/>
      <c r="C283" s="88"/>
      <c r="D283" s="88"/>
    </row>
    <row r="284" spans="1:25">
      <c r="A284" t="s">
        <v>320</v>
      </c>
      <c r="B284" s="39">
        <v>8</v>
      </c>
      <c r="C284" s="40">
        <v>0</v>
      </c>
      <c r="D284" s="39" t="s">
        <v>902</v>
      </c>
      <c r="E284" t="s">
        <v>322</v>
      </c>
      <c r="F284">
        <v>6921875013176</v>
      </c>
    </row>
    <row r="285" spans="1:25">
      <c r="A285" t="s">
        <v>2859</v>
      </c>
      <c r="B285">
        <v>2</v>
      </c>
      <c r="C285" s="133">
        <v>0</v>
      </c>
      <c r="D285" s="23" t="s">
        <v>1336</v>
      </c>
      <c r="E285" t="s">
        <v>2860</v>
      </c>
      <c r="F285">
        <v>7703546704045</v>
      </c>
    </row>
    <row r="286" spans="1:25">
      <c r="A286" t="s">
        <v>2859</v>
      </c>
      <c r="B286">
        <v>1</v>
      </c>
      <c r="C286" s="133">
        <v>0</v>
      </c>
      <c r="D286" s="23" t="s">
        <v>1336</v>
      </c>
      <c r="E286" t="s">
        <v>2860</v>
      </c>
      <c r="F286">
        <v>7703546704045</v>
      </c>
    </row>
    <row r="287" spans="1:25" s="29" customFormat="1">
      <c r="B287" s="88"/>
      <c r="C287" s="88"/>
      <c r="D287" s="88"/>
    </row>
    <row r="288" spans="1:25" ht="15">
      <c r="A288" s="45" t="s">
        <v>555</v>
      </c>
      <c r="B288" s="74">
        <v>2</v>
      </c>
      <c r="C288" s="75">
        <v>0</v>
      </c>
      <c r="D288" s="74" t="s">
        <v>2861</v>
      </c>
      <c r="E288" s="76" t="s">
        <v>556</v>
      </c>
      <c r="F288" s="77">
        <v>7707288826935</v>
      </c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6" ht="15">
      <c r="A289" s="45" t="s">
        <v>907</v>
      </c>
      <c r="B289" s="228">
        <v>2</v>
      </c>
      <c r="C289" s="229">
        <v>0</v>
      </c>
      <c r="D289" s="44" t="s">
        <v>902</v>
      </c>
      <c r="E289" s="76" t="s">
        <v>909</v>
      </c>
      <c r="F289" s="45">
        <v>7706569020659</v>
      </c>
      <c r="G289" s="21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">
      <c r="A290" s="18" t="s">
        <v>538</v>
      </c>
      <c r="B290" s="17">
        <v>2</v>
      </c>
      <c r="C290" s="124">
        <v>0</v>
      </c>
      <c r="D290" s="17" t="s">
        <v>7</v>
      </c>
      <c r="E290" s="35" t="s">
        <v>539</v>
      </c>
      <c r="F290" s="110">
        <v>7702896001774</v>
      </c>
    </row>
    <row r="291" spans="1:26" s="29" customFormat="1">
      <c r="B291" s="88"/>
      <c r="C291" s="88"/>
      <c r="D291" s="88"/>
    </row>
    <row r="292" spans="1:26" ht="15">
      <c r="A292" s="178" t="s">
        <v>688</v>
      </c>
      <c r="B292" s="179">
        <v>12</v>
      </c>
      <c r="C292" s="180">
        <v>0</v>
      </c>
      <c r="D292" s="179" t="s">
        <v>2862</v>
      </c>
      <c r="E292" s="181" t="s">
        <v>689</v>
      </c>
      <c r="F292" s="182">
        <v>7707321982093</v>
      </c>
    </row>
    <row r="293" spans="1:26" ht="28.5">
      <c r="A293" s="22" t="s">
        <v>2863</v>
      </c>
      <c r="B293" s="22">
        <v>2</v>
      </c>
      <c r="C293" s="175">
        <v>0</v>
      </c>
      <c r="D293" s="176" t="s">
        <v>1116</v>
      </c>
      <c r="E293" s="22" t="s">
        <v>2864</v>
      </c>
      <c r="F293" s="22">
        <v>7707263008240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>
      <c r="A294" s="45" t="s">
        <v>2805</v>
      </c>
      <c r="B294" s="36">
        <v>1</v>
      </c>
      <c r="C294" s="164">
        <v>0</v>
      </c>
      <c r="D294" s="36" t="s">
        <v>10</v>
      </c>
      <c r="E294" s="76" t="s">
        <v>1277</v>
      </c>
      <c r="F294" s="77">
        <v>3582910009900</v>
      </c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19"/>
    </row>
    <row r="295" spans="1:26" ht="15">
      <c r="A295" s="22" t="s">
        <v>1339</v>
      </c>
      <c r="B295" s="71">
        <v>5</v>
      </c>
      <c r="C295" s="105">
        <v>0</v>
      </c>
      <c r="D295" s="135" t="s">
        <v>276</v>
      </c>
      <c r="E295" s="13" t="s">
        <v>1340</v>
      </c>
      <c r="F295" s="61">
        <v>7703689000448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s="29" customFormat="1">
      <c r="B296" s="88"/>
      <c r="C296" s="88"/>
      <c r="D296" s="88"/>
    </row>
    <row r="297" spans="1:26" ht="28.5">
      <c r="A297" s="69" t="s">
        <v>117</v>
      </c>
      <c r="B297" s="14">
        <v>5</v>
      </c>
      <c r="C297" s="105">
        <v>0</v>
      </c>
      <c r="D297" s="14" t="s">
        <v>118</v>
      </c>
      <c r="E297" s="69" t="s">
        <v>119</v>
      </c>
      <c r="F297" s="61">
        <v>7706309320117</v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 spans="1:26" ht="28.5">
      <c r="A298" s="22" t="s">
        <v>2865</v>
      </c>
      <c r="B298">
        <v>5</v>
      </c>
      <c r="C298">
        <v>0</v>
      </c>
      <c r="D298" s="134" t="s">
        <v>109</v>
      </c>
      <c r="E298" s="22" t="s">
        <v>2866</v>
      </c>
      <c r="F298" s="42">
        <v>7707019341904</v>
      </c>
    </row>
    <row r="299" spans="1:26" s="29" customFormat="1">
      <c r="B299" s="88"/>
      <c r="C299" s="88"/>
      <c r="D299" s="88"/>
    </row>
    <row r="300" spans="1:26">
      <c r="A300" t="s">
        <v>2867</v>
      </c>
      <c r="B300" s="39">
        <v>1</v>
      </c>
      <c r="C300" s="40">
        <v>0</v>
      </c>
      <c r="D300" s="39" t="s">
        <v>2868</v>
      </c>
      <c r="E300" s="22" t="s">
        <v>2869</v>
      </c>
      <c r="F300">
        <v>7707355055282</v>
      </c>
    </row>
    <row r="301" spans="1:26">
      <c r="A301" t="s">
        <v>2867</v>
      </c>
      <c r="B301" s="39">
        <v>3</v>
      </c>
      <c r="C301" s="40">
        <v>0</v>
      </c>
      <c r="D301" s="39" t="s">
        <v>2868</v>
      </c>
      <c r="E301" s="22" t="s">
        <v>2869</v>
      </c>
      <c r="F301">
        <v>7707355055282</v>
      </c>
    </row>
    <row r="302" spans="1:26" s="29" customFormat="1">
      <c r="B302" s="88"/>
      <c r="C302" s="88"/>
      <c r="D302" s="88"/>
    </row>
    <row r="303" spans="1:26">
      <c r="A303" t="s">
        <v>661</v>
      </c>
      <c r="B303" s="39">
        <v>1</v>
      </c>
      <c r="C303" s="40">
        <v>0.19</v>
      </c>
      <c r="D303" s="39" t="s">
        <v>23</v>
      </c>
      <c r="E303" t="s">
        <v>662</v>
      </c>
      <c r="F303">
        <v>7707223662536</v>
      </c>
    </row>
    <row r="304" spans="1:26" ht="28.5">
      <c r="A304" s="24" t="s">
        <v>943</v>
      </c>
      <c r="B304" s="28">
        <v>6</v>
      </c>
      <c r="C304" s="192">
        <v>0</v>
      </c>
      <c r="D304" s="193" t="s">
        <v>80</v>
      </c>
      <c r="E304" s="24" t="s">
        <v>174</v>
      </c>
      <c r="F304" s="63">
        <v>7707184161093</v>
      </c>
      <c r="G304" s="28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69" t="s">
        <v>380</v>
      </c>
      <c r="B305" s="71">
        <v>1</v>
      </c>
      <c r="C305" s="105">
        <v>0</v>
      </c>
      <c r="D305" s="137" t="s">
        <v>381</v>
      </c>
      <c r="E305" s="12" t="s">
        <v>382</v>
      </c>
      <c r="F305" s="71">
        <v>7501298220185</v>
      </c>
    </row>
    <row r="306" spans="1:26">
      <c r="A306" s="12" t="s">
        <v>965</v>
      </c>
      <c r="B306" s="12">
        <v>6</v>
      </c>
      <c r="C306" s="230">
        <v>0</v>
      </c>
      <c r="D306" s="231" t="s">
        <v>118</v>
      </c>
      <c r="E306" s="13" t="s">
        <v>966</v>
      </c>
      <c r="F306" s="12">
        <v>7707177971616</v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6" ht="28.5">
      <c r="A307" s="69" t="s">
        <v>505</v>
      </c>
      <c r="B307" s="14">
        <v>1</v>
      </c>
      <c r="C307" s="105">
        <v>0</v>
      </c>
      <c r="D307" s="137" t="s">
        <v>2156</v>
      </c>
      <c r="E307" s="69" t="s">
        <v>507</v>
      </c>
      <c r="F307" s="71">
        <v>7707733979537</v>
      </c>
    </row>
    <row r="308" spans="1:26" ht="28.5">
      <c r="A308" t="s">
        <v>2870</v>
      </c>
      <c r="B308">
        <v>1</v>
      </c>
      <c r="C308" s="133">
        <v>0</v>
      </c>
      <c r="D308" t="s">
        <v>1180</v>
      </c>
      <c r="E308" s="22" t="s">
        <v>2871</v>
      </c>
      <c r="F308">
        <v>7702057700157</v>
      </c>
    </row>
    <row r="309" spans="1:26" ht="28.5">
      <c r="A309" s="24" t="s">
        <v>1091</v>
      </c>
      <c r="B309" s="28">
        <v>2</v>
      </c>
      <c r="C309" s="232">
        <v>0</v>
      </c>
      <c r="D309" s="98" t="s">
        <v>103</v>
      </c>
      <c r="E309" s="24" t="s">
        <v>1092</v>
      </c>
      <c r="F309" s="28">
        <v>7703763750115</v>
      </c>
    </row>
    <row r="310" spans="1:26" ht="30">
      <c r="A310" s="19" t="s">
        <v>2872</v>
      </c>
      <c r="B310" s="19">
        <v>1</v>
      </c>
      <c r="C310" s="19">
        <v>0</v>
      </c>
      <c r="D310" s="19" t="s">
        <v>103</v>
      </c>
      <c r="E310" s="43" t="s">
        <v>2455</v>
      </c>
      <c r="F310" s="19">
        <v>7709492276612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s="29" customFormat="1">
      <c r="B311" s="88"/>
      <c r="C311" s="88"/>
      <c r="D311" s="88"/>
    </row>
    <row r="312" spans="1:26" ht="15">
      <c r="A312" s="24" t="s">
        <v>2873</v>
      </c>
      <c r="B312" s="8">
        <v>1</v>
      </c>
      <c r="C312" s="9">
        <v>0</v>
      </c>
      <c r="D312" s="8" t="s">
        <v>53</v>
      </c>
      <c r="E312" s="8" t="s">
        <v>2874</v>
      </c>
      <c r="F312" s="28">
        <v>7703038050193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24" t="s">
        <v>1205</v>
      </c>
      <c r="B313" s="30">
        <v>6</v>
      </c>
      <c r="C313" s="31">
        <v>0</v>
      </c>
      <c r="D313" s="98" t="s">
        <v>156</v>
      </c>
      <c r="E313" s="25" t="s">
        <v>1206</v>
      </c>
      <c r="F313" s="63">
        <v>7702605100866</v>
      </c>
      <c r="Z313" s="23"/>
    </row>
    <row r="314" spans="1:26">
      <c r="A314" s="7" t="s">
        <v>1182</v>
      </c>
      <c r="B314" s="30">
        <v>2</v>
      </c>
      <c r="C314" s="31">
        <v>0</v>
      </c>
      <c r="D314" s="30" t="s">
        <v>91</v>
      </c>
      <c r="E314" s="8" t="s">
        <v>1166</v>
      </c>
      <c r="F314" s="8">
        <v>7707190180026</v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t="s">
        <v>568</v>
      </c>
      <c r="B315" s="23">
        <v>2</v>
      </c>
      <c r="C315" s="51">
        <v>0</v>
      </c>
      <c r="D315" s="51" t="s">
        <v>2875</v>
      </c>
      <c r="E315" t="s">
        <v>570</v>
      </c>
      <c r="F315">
        <v>751273778140</v>
      </c>
    </row>
    <row r="316" spans="1:26">
      <c r="A316" s="24" t="s">
        <v>533</v>
      </c>
      <c r="B316" s="30">
        <v>2</v>
      </c>
      <c r="C316" s="31">
        <v>0</v>
      </c>
      <c r="D316" s="98" t="s">
        <v>534</v>
      </c>
      <c r="E316" s="8" t="s">
        <v>535</v>
      </c>
      <c r="F316" s="28">
        <v>7703038594116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>
      <c r="A317" s="24" t="s">
        <v>2618</v>
      </c>
      <c r="B317" s="30">
        <v>2</v>
      </c>
      <c r="C317" s="173">
        <v>0</v>
      </c>
      <c r="D317" s="98" t="s">
        <v>2619</v>
      </c>
      <c r="E317" s="24" t="s">
        <v>1043</v>
      </c>
      <c r="F317" s="28">
        <v>7891010254797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>
      <c r="A318" s="24" t="s">
        <v>1041</v>
      </c>
      <c r="B318" s="30">
        <v>3</v>
      </c>
      <c r="C318" s="105">
        <v>0</v>
      </c>
      <c r="D318" s="105" t="s">
        <v>2876</v>
      </c>
      <c r="E318" s="24" t="s">
        <v>1043</v>
      </c>
      <c r="F318" s="28">
        <v>7891010254773</v>
      </c>
    </row>
    <row r="319" spans="1:26" s="29" customFormat="1">
      <c r="B319" s="88"/>
      <c r="C319" s="88"/>
      <c r="D319" s="88"/>
    </row>
    <row r="320" spans="1:26">
      <c r="A320" s="13" t="s">
        <v>536</v>
      </c>
      <c r="B320" s="12">
        <v>2</v>
      </c>
      <c r="C320" s="59">
        <v>0</v>
      </c>
      <c r="D320" s="12" t="s">
        <v>115</v>
      </c>
      <c r="E320" s="13" t="s">
        <v>537</v>
      </c>
      <c r="F320" s="15">
        <v>7703153016050</v>
      </c>
      <c r="G320" s="28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 spans="1:26">
      <c r="A321" s="233" t="s">
        <v>1797</v>
      </c>
      <c r="B321" s="30">
        <v>2</v>
      </c>
      <c r="C321" s="31">
        <v>0</v>
      </c>
      <c r="D321" s="99" t="s">
        <v>150</v>
      </c>
      <c r="E321" s="7" t="s">
        <v>1799</v>
      </c>
      <c r="F321" s="63">
        <v>7707172681060</v>
      </c>
    </row>
    <row r="322" spans="1:26">
      <c r="A322" s="7" t="s">
        <v>1806</v>
      </c>
      <c r="B322" s="8">
        <v>2</v>
      </c>
      <c r="C322" s="9">
        <v>0</v>
      </c>
      <c r="D322" s="10" t="s">
        <v>112</v>
      </c>
      <c r="E322" s="7" t="s">
        <v>1805</v>
      </c>
      <c r="F322" s="8">
        <v>7707172681077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6">
      <c r="A323" s="146" t="s">
        <v>2211</v>
      </c>
      <c r="B323" s="147">
        <v>1</v>
      </c>
      <c r="C323" s="234">
        <v>0</v>
      </c>
      <c r="D323" s="235" t="s">
        <v>2212</v>
      </c>
      <c r="E323" s="159" t="s">
        <v>803</v>
      </c>
      <c r="F323" s="141">
        <v>7706849112906</v>
      </c>
    </row>
    <row r="324" spans="1:26">
      <c r="A324" t="s">
        <v>9</v>
      </c>
      <c r="B324" s="28">
        <v>6</v>
      </c>
      <c r="C324" s="31">
        <v>0</v>
      </c>
      <c r="D324" s="98" t="s">
        <v>10</v>
      </c>
      <c r="E324" s="7" t="s">
        <v>11</v>
      </c>
      <c r="F324" s="28">
        <v>7703689317386</v>
      </c>
      <c r="G324" s="28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 spans="1:26" s="29" customFormat="1">
      <c r="B325" s="88"/>
      <c r="C325" s="88"/>
      <c r="D325" s="88"/>
    </row>
    <row r="326" spans="1:26" ht="15">
      <c r="A326" s="53" t="s">
        <v>193</v>
      </c>
      <c r="B326" s="96">
        <v>5</v>
      </c>
      <c r="C326" s="97">
        <v>0</v>
      </c>
      <c r="D326" s="96" t="s">
        <v>10</v>
      </c>
      <c r="E326" s="56" t="s">
        <v>194</v>
      </c>
      <c r="F326" s="53">
        <v>7707035510513</v>
      </c>
      <c r="G326" s="53"/>
      <c r="H326" s="53"/>
      <c r="I326" s="53"/>
      <c r="J326" s="53"/>
      <c r="K326" s="53"/>
      <c r="L326" s="53"/>
      <c r="M326" s="53"/>
      <c r="N326" s="53"/>
      <c r="O326" s="5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 spans="1:26">
      <c r="A327" s="22" t="s">
        <v>2877</v>
      </c>
      <c r="B327">
        <v>1</v>
      </c>
      <c r="C327">
        <v>0</v>
      </c>
      <c r="D327" s="23" t="s">
        <v>2878</v>
      </c>
      <c r="E327" s="22" t="s">
        <v>422</v>
      </c>
      <c r="F327">
        <v>7707355056876</v>
      </c>
    </row>
    <row r="328" spans="1:26">
      <c r="A328" s="28" t="s">
        <v>1712</v>
      </c>
      <c r="B328" s="28">
        <v>6</v>
      </c>
      <c r="C328" s="192">
        <v>0</v>
      </c>
      <c r="D328" s="98" t="s">
        <v>80</v>
      </c>
      <c r="E328" s="7" t="s">
        <v>1713</v>
      </c>
      <c r="F328" s="28">
        <v>7703038067054</v>
      </c>
    </row>
    <row r="329" spans="1:26">
      <c r="A329" s="64" t="s">
        <v>440</v>
      </c>
      <c r="B329" s="102">
        <v>2</v>
      </c>
      <c r="C329" s="101">
        <v>0</v>
      </c>
      <c r="D329" s="102" t="s">
        <v>1886</v>
      </c>
      <c r="E329" s="64" t="s">
        <v>116</v>
      </c>
      <c r="F329" s="103">
        <v>7707288820254</v>
      </c>
      <c r="G329" s="28"/>
      <c r="H329" s="28"/>
      <c r="I329" s="28"/>
      <c r="J329" s="28"/>
      <c r="K329" s="28"/>
      <c r="L329" s="28"/>
      <c r="M329" s="28"/>
      <c r="N329" s="28"/>
      <c r="O329" s="28"/>
    </row>
    <row r="330" spans="1:26">
      <c r="A330" s="24" t="s">
        <v>706</v>
      </c>
      <c r="B330" s="8">
        <v>6</v>
      </c>
      <c r="C330" s="9">
        <v>0</v>
      </c>
      <c r="D330" s="203" t="s">
        <v>2879</v>
      </c>
      <c r="E330" s="7" t="s">
        <v>708</v>
      </c>
      <c r="F330" s="63">
        <v>7707019340907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6" ht="15">
      <c r="A331" s="18" t="s">
        <v>169</v>
      </c>
      <c r="B331" s="32">
        <v>4</v>
      </c>
      <c r="C331" s="72">
        <v>0</v>
      </c>
      <c r="D331" s="32" t="s">
        <v>94</v>
      </c>
      <c r="E331" s="16" t="s">
        <v>171</v>
      </c>
      <c r="F331" s="18">
        <v>7709071926723</v>
      </c>
      <c r="G331" s="18"/>
      <c r="H331" s="18"/>
      <c r="I331" s="18"/>
      <c r="J331" s="18"/>
      <c r="K331" s="18"/>
      <c r="L331" s="18"/>
      <c r="M331" s="18"/>
      <c r="N331" s="18"/>
      <c r="O331" s="18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6" ht="15">
      <c r="A332" s="56" t="s">
        <v>770</v>
      </c>
      <c r="B332" s="153">
        <v>3</v>
      </c>
      <c r="C332" s="55">
        <v>0</v>
      </c>
      <c r="D332" s="154" t="s">
        <v>85</v>
      </c>
      <c r="E332" s="152" t="s">
        <v>165</v>
      </c>
      <c r="F332" s="155">
        <v>7501033957369</v>
      </c>
      <c r="G332" s="37"/>
      <c r="H332" s="37"/>
      <c r="I332" s="37"/>
      <c r="J332" s="37"/>
      <c r="K332" s="37"/>
      <c r="L332" s="37"/>
      <c r="M332" s="37"/>
      <c r="N332" s="37"/>
      <c r="O332" s="37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">
      <c r="A333" s="32" t="s">
        <v>370</v>
      </c>
      <c r="B333" s="30">
        <v>3</v>
      </c>
      <c r="C333" s="31">
        <v>0</v>
      </c>
      <c r="D333" s="98" t="s">
        <v>85</v>
      </c>
      <c r="E333" s="73" t="s">
        <v>165</v>
      </c>
      <c r="F333" s="32">
        <v>7501033957376</v>
      </c>
      <c r="G333" s="23"/>
      <c r="H333" s="23"/>
      <c r="I333" s="23"/>
      <c r="J333" s="23"/>
      <c r="K333" s="23"/>
      <c r="L333" s="23"/>
      <c r="M333" s="23"/>
      <c r="N333" s="23"/>
      <c r="O333" s="23"/>
    </row>
    <row r="334" spans="1:26" ht="15">
      <c r="A334" s="16" t="s">
        <v>1120</v>
      </c>
      <c r="B334" s="17">
        <v>1</v>
      </c>
      <c r="C334" s="124">
        <v>0</v>
      </c>
      <c r="D334" s="17" t="s">
        <v>7</v>
      </c>
      <c r="E334" s="16" t="s">
        <v>1121</v>
      </c>
      <c r="F334" s="139">
        <v>7500435107020</v>
      </c>
      <c r="G334" s="28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s="29" customFormat="1">
      <c r="B335" s="88"/>
      <c r="C335" s="88"/>
      <c r="D335" s="88"/>
    </row>
    <row r="336" spans="1:26" ht="15">
      <c r="A336" s="28" t="s">
        <v>817</v>
      </c>
      <c r="B336" s="8">
        <v>4</v>
      </c>
      <c r="C336" s="9">
        <v>0</v>
      </c>
      <c r="D336" s="203" t="s">
        <v>818</v>
      </c>
      <c r="E336" s="7" t="s">
        <v>428</v>
      </c>
      <c r="F336" s="28">
        <v>7703038050018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19"/>
    </row>
    <row r="337" spans="1:26" ht="28.5">
      <c r="A337" s="24" t="s">
        <v>1009</v>
      </c>
      <c r="B337" s="8">
        <v>3</v>
      </c>
      <c r="C337" s="9">
        <v>0</v>
      </c>
      <c r="D337" s="10" t="s">
        <v>59</v>
      </c>
      <c r="E337" s="24" t="s">
        <v>1010</v>
      </c>
      <c r="F337" s="63">
        <v>7705137110013</v>
      </c>
    </row>
    <row r="338" spans="1:26">
      <c r="A338" s="24" t="s">
        <v>2873</v>
      </c>
      <c r="B338" s="8">
        <v>1</v>
      </c>
      <c r="C338" s="9">
        <v>0</v>
      </c>
      <c r="D338" s="8" t="s">
        <v>53</v>
      </c>
      <c r="E338" s="8" t="s">
        <v>2874</v>
      </c>
      <c r="F338" s="28">
        <v>7703038050193</v>
      </c>
    </row>
    <row r="339" spans="1:26" ht="156.75">
      <c r="A339" s="146" t="s">
        <v>598</v>
      </c>
      <c r="B339" s="146" t="s">
        <v>599</v>
      </c>
      <c r="C339" s="236">
        <v>0</v>
      </c>
      <c r="D339" s="237" t="s">
        <v>600</v>
      </c>
      <c r="E339" s="146" t="s">
        <v>601</v>
      </c>
      <c r="F339" s="141">
        <v>7702003985812</v>
      </c>
      <c r="Z339" s="23"/>
    </row>
    <row r="340" spans="1:26" ht="28.5">
      <c r="A340" t="s">
        <v>1961</v>
      </c>
      <c r="B340" s="28">
        <v>1</v>
      </c>
      <c r="C340" s="192">
        <v>0</v>
      </c>
      <c r="D340" s="193" t="s">
        <v>408</v>
      </c>
      <c r="E340" s="24" t="s">
        <v>1963</v>
      </c>
      <c r="F340" s="28">
        <v>7707397791483</v>
      </c>
    </row>
    <row r="341" spans="1:26" ht="28.5">
      <c r="A341" s="24" t="s">
        <v>633</v>
      </c>
      <c r="B341" s="30">
        <v>2</v>
      </c>
      <c r="C341" s="31">
        <v>0</v>
      </c>
      <c r="D341" s="30" t="s">
        <v>1309</v>
      </c>
      <c r="E341" s="24" t="s">
        <v>634</v>
      </c>
      <c r="F341" s="63">
        <v>7702626211770</v>
      </c>
      <c r="G341" s="28"/>
    </row>
    <row r="342" spans="1:26" ht="28.5">
      <c r="A342" t="s">
        <v>2579</v>
      </c>
      <c r="B342">
        <v>1</v>
      </c>
      <c r="C342" s="133">
        <v>0</v>
      </c>
      <c r="D342" s="23" t="s">
        <v>2880</v>
      </c>
      <c r="E342" s="22" t="s">
        <v>2580</v>
      </c>
      <c r="F342">
        <v>7702057557171</v>
      </c>
    </row>
    <row r="343" spans="1:26">
      <c r="A343" s="22" t="s">
        <v>2407</v>
      </c>
      <c r="B343" s="39">
        <v>1</v>
      </c>
      <c r="C343" s="40">
        <v>0</v>
      </c>
      <c r="D343" s="39" t="s">
        <v>348</v>
      </c>
      <c r="E343" s="22" t="s">
        <v>2408</v>
      </c>
      <c r="F343">
        <v>7703445103109</v>
      </c>
    </row>
    <row r="344" spans="1:26" s="29" customFormat="1">
      <c r="B344" s="88"/>
      <c r="C344" s="88"/>
      <c r="D344" s="88"/>
    </row>
    <row r="345" spans="1:26" ht="28.5">
      <c r="A345" t="s">
        <v>2881</v>
      </c>
      <c r="B345" s="39">
        <v>4</v>
      </c>
      <c r="C345" s="39">
        <v>0</v>
      </c>
      <c r="D345" s="39" t="s">
        <v>156</v>
      </c>
      <c r="E345" s="22" t="s">
        <v>653</v>
      </c>
      <c r="F345">
        <v>7703546021005</v>
      </c>
    </row>
    <row r="346" spans="1:26">
      <c r="A346" s="24" t="s">
        <v>256</v>
      </c>
      <c r="B346" s="30">
        <v>2</v>
      </c>
      <c r="C346" s="31">
        <v>0</v>
      </c>
      <c r="D346" s="30" t="s">
        <v>257</v>
      </c>
      <c r="E346" s="7" t="s">
        <v>258</v>
      </c>
      <c r="F346" s="63">
        <v>7703038067429</v>
      </c>
    </row>
    <row r="347" spans="1:26">
      <c r="A347" s="24" t="s">
        <v>2882</v>
      </c>
      <c r="B347" s="30">
        <v>4</v>
      </c>
      <c r="C347" s="31">
        <v>0</v>
      </c>
      <c r="D347" s="30" t="s">
        <v>1627</v>
      </c>
      <c r="E347" s="24" t="s">
        <v>1992</v>
      </c>
      <c r="F347" s="63">
        <v>7709990202793</v>
      </c>
    </row>
    <row r="348" spans="1:26" ht="28.5">
      <c r="A348" t="s">
        <v>2881</v>
      </c>
      <c r="B348" s="39">
        <v>1</v>
      </c>
      <c r="C348" s="39">
        <v>0</v>
      </c>
      <c r="D348" s="39" t="s">
        <v>156</v>
      </c>
      <c r="E348" s="22" t="s">
        <v>653</v>
      </c>
      <c r="F348">
        <v>7703546021005</v>
      </c>
    </row>
    <row r="349" spans="1:26">
      <c r="A349" s="7" t="s">
        <v>439</v>
      </c>
      <c r="B349" s="8">
        <v>8</v>
      </c>
      <c r="C349" s="167">
        <v>0</v>
      </c>
      <c r="D349" s="173" t="s">
        <v>80</v>
      </c>
      <c r="E349" s="8" t="s">
        <v>332</v>
      </c>
      <c r="F349" s="8">
        <v>7705451000069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12" t="s">
        <v>234</v>
      </c>
      <c r="B350" s="12">
        <v>2</v>
      </c>
      <c r="C350" s="80">
        <v>0</v>
      </c>
      <c r="D350" s="111" t="s">
        <v>1032</v>
      </c>
      <c r="E350" s="13" t="s">
        <v>236</v>
      </c>
      <c r="F350" s="61">
        <v>7702057092344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>
      <c r="A351" s="24" t="s">
        <v>1539</v>
      </c>
      <c r="B351" s="30">
        <v>1</v>
      </c>
      <c r="C351" s="31">
        <v>0</v>
      </c>
      <c r="D351" s="99" t="s">
        <v>2883</v>
      </c>
      <c r="E351" s="7" t="s">
        <v>1540</v>
      </c>
      <c r="F351" s="28">
        <v>7702057838294</v>
      </c>
    </row>
    <row r="352" spans="1:26">
      <c r="A352" s="24" t="s">
        <v>2884</v>
      </c>
      <c r="B352" s="30">
        <v>2</v>
      </c>
      <c r="C352" s="31">
        <v>0</v>
      </c>
      <c r="D352" s="98" t="s">
        <v>572</v>
      </c>
      <c r="E352" s="7" t="s">
        <v>2885</v>
      </c>
      <c r="F352" s="142">
        <v>8901175020966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3"/>
    </row>
    <row r="353" spans="1:26" s="29" customFormat="1">
      <c r="B353" s="88"/>
      <c r="C353" s="88"/>
      <c r="D353" s="88"/>
    </row>
    <row r="354" spans="1:26">
      <c r="A354" t="s">
        <v>2886</v>
      </c>
      <c r="B354" s="23">
        <v>1</v>
      </c>
      <c r="C354" s="238">
        <v>0</v>
      </c>
      <c r="D354" s="172" t="s">
        <v>59</v>
      </c>
      <c r="E354" s="22" t="s">
        <v>2887</v>
      </c>
      <c r="F354">
        <v>7707210530053</v>
      </c>
    </row>
    <row r="355" spans="1:26">
      <c r="A355" s="24" t="s">
        <v>693</v>
      </c>
      <c r="B355" s="14">
        <v>12</v>
      </c>
      <c r="C355" s="105">
        <v>0</v>
      </c>
      <c r="D355" s="14" t="s">
        <v>694</v>
      </c>
      <c r="E355" s="28" t="s">
        <v>695</v>
      </c>
      <c r="F355" s="63">
        <v>7707274721053</v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t="s">
        <v>2888</v>
      </c>
      <c r="B356" s="39">
        <v>2</v>
      </c>
      <c r="C356" s="40">
        <v>0.19</v>
      </c>
      <c r="D356" s="39" t="s">
        <v>747</v>
      </c>
      <c r="E356" t="s">
        <v>2889</v>
      </c>
      <c r="F356">
        <v>7708060880367</v>
      </c>
    </row>
    <row r="357" spans="1:26" s="29" customFormat="1">
      <c r="B357" s="88"/>
      <c r="C357" s="88"/>
      <c r="D357" s="88"/>
    </row>
    <row r="358" spans="1:26" ht="28.5">
      <c r="A358" s="146" t="s">
        <v>2890</v>
      </c>
      <c r="B358" s="23">
        <v>2</v>
      </c>
      <c r="C358" s="238">
        <v>0</v>
      </c>
      <c r="D358" s="172" t="s">
        <v>91</v>
      </c>
      <c r="E358" s="22" t="s">
        <v>1286</v>
      </c>
      <c r="F358" s="42">
        <v>7702605103874</v>
      </c>
    </row>
    <row r="359" spans="1:26" ht="28.5">
      <c r="A359" s="69" t="s">
        <v>1284</v>
      </c>
      <c r="B359" s="28">
        <v>1</v>
      </c>
      <c r="C359" s="192">
        <v>0</v>
      </c>
      <c r="D359" s="193" t="s">
        <v>1285</v>
      </c>
      <c r="E359" s="24" t="s">
        <v>1286</v>
      </c>
      <c r="F359" s="63">
        <v>7702605103881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>
      <c r="A360" t="s">
        <v>588</v>
      </c>
      <c r="B360" s="39">
        <v>1</v>
      </c>
      <c r="C360" s="40">
        <v>0</v>
      </c>
      <c r="D360" s="84" t="s">
        <v>773</v>
      </c>
      <c r="E360" s="22" t="s">
        <v>590</v>
      </c>
      <c r="F360" s="42">
        <v>7703202221305</v>
      </c>
    </row>
    <row r="361" spans="1:26">
      <c r="A361" s="141" t="s">
        <v>2891</v>
      </c>
      <c r="B361" s="147">
        <v>1</v>
      </c>
      <c r="C361" s="148">
        <v>0.19</v>
      </c>
      <c r="D361" s="158" t="s">
        <v>491</v>
      </c>
      <c r="E361" s="146" t="s">
        <v>2892</v>
      </c>
      <c r="F361" s="141">
        <v>650240032684</v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">
      <c r="A362" s="73" t="s">
        <v>269</v>
      </c>
      <c r="B362" s="17">
        <v>2</v>
      </c>
      <c r="C362" s="124">
        <v>0</v>
      </c>
      <c r="D362" s="17" t="s">
        <v>270</v>
      </c>
      <c r="E362" s="73" t="s">
        <v>101</v>
      </c>
      <c r="F362" s="32">
        <v>650240031267</v>
      </c>
    </row>
    <row r="363" spans="1:26" ht="28.5">
      <c r="A363" t="s">
        <v>2893</v>
      </c>
      <c r="B363" s="39">
        <v>1</v>
      </c>
      <c r="C363" s="39">
        <v>0</v>
      </c>
      <c r="D363" s="39" t="s">
        <v>88</v>
      </c>
      <c r="E363" s="22" t="s">
        <v>110</v>
      </c>
      <c r="F363">
        <v>7702605101535</v>
      </c>
    </row>
    <row r="364" spans="1:26">
      <c r="A364" s="22" t="s">
        <v>2894</v>
      </c>
      <c r="B364" s="23">
        <v>2</v>
      </c>
      <c r="C364" s="51">
        <v>0</v>
      </c>
      <c r="D364" s="172" t="s">
        <v>491</v>
      </c>
      <c r="E364" t="s">
        <v>2895</v>
      </c>
      <c r="F364">
        <v>7703038690146</v>
      </c>
    </row>
    <row r="365" spans="1:26" s="29" customFormat="1">
      <c r="B365" s="88"/>
      <c r="C365" s="88"/>
      <c r="D365" s="88"/>
    </row>
    <row r="366" spans="1:26">
      <c r="A366" s="7" t="s">
        <v>1670</v>
      </c>
      <c r="B366" s="8">
        <v>2</v>
      </c>
      <c r="C366" s="9">
        <v>0</v>
      </c>
      <c r="D366" s="8" t="s">
        <v>1240</v>
      </c>
      <c r="E366" s="7" t="s">
        <v>1671</v>
      </c>
      <c r="F366" s="63">
        <v>7896116866219</v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 spans="1:26">
      <c r="A367" t="s">
        <v>2095</v>
      </c>
      <c r="B367" s="39">
        <v>2</v>
      </c>
      <c r="C367" s="40">
        <v>0.19</v>
      </c>
      <c r="D367" s="94" t="s">
        <v>747</v>
      </c>
      <c r="E367" t="s">
        <v>1758</v>
      </c>
      <c r="F367" s="42">
        <v>7705471100633</v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 spans="1:26" ht="42.75">
      <c r="A368" s="22" t="s">
        <v>2896</v>
      </c>
      <c r="B368" s="39">
        <v>1</v>
      </c>
      <c r="C368" s="39">
        <v>0</v>
      </c>
      <c r="D368" s="39" t="s">
        <v>80</v>
      </c>
      <c r="E368" t="s">
        <v>2897</v>
      </c>
      <c r="F368">
        <v>7702057012601</v>
      </c>
    </row>
    <row r="369" spans="1:26" ht="28.5">
      <c r="A369" s="13" t="s">
        <v>418</v>
      </c>
      <c r="B369" s="12">
        <v>4</v>
      </c>
      <c r="C369" s="59">
        <v>0</v>
      </c>
      <c r="D369" s="111" t="s">
        <v>23</v>
      </c>
      <c r="E369" s="13" t="s">
        <v>419</v>
      </c>
      <c r="F369" s="12">
        <v>7703712035485</v>
      </c>
      <c r="G369" s="28"/>
      <c r="H369" s="28"/>
      <c r="I369" s="28"/>
      <c r="J369" s="28"/>
      <c r="K369" s="28"/>
      <c r="L369" s="28"/>
      <c r="M369" s="28"/>
      <c r="N369" s="28"/>
      <c r="O369" s="28"/>
    </row>
    <row r="370" spans="1:26">
      <c r="A370" t="s">
        <v>1454</v>
      </c>
      <c r="B370" s="23">
        <v>2</v>
      </c>
      <c r="C370" s="51">
        <v>0.19</v>
      </c>
      <c r="D370" s="51" t="s">
        <v>14</v>
      </c>
      <c r="E370" s="22" t="s">
        <v>1455</v>
      </c>
      <c r="F370">
        <v>7702031244486</v>
      </c>
    </row>
    <row r="371" spans="1:26">
      <c r="A371" s="24" t="s">
        <v>1430</v>
      </c>
      <c r="B371" s="30">
        <v>1</v>
      </c>
      <c r="C371" s="31">
        <v>0.19</v>
      </c>
      <c r="D371" s="98" t="s">
        <v>74</v>
      </c>
      <c r="E371" s="24" t="s">
        <v>1431</v>
      </c>
      <c r="F371" s="28">
        <v>7501007528939</v>
      </c>
    </row>
    <row r="372" spans="1:26" ht="15">
      <c r="A372" s="16" t="s">
        <v>2898</v>
      </c>
      <c r="B372" s="17">
        <v>1</v>
      </c>
      <c r="C372" s="124">
        <v>0</v>
      </c>
      <c r="D372" s="204" t="s">
        <v>20</v>
      </c>
      <c r="E372" s="16" t="s">
        <v>1514</v>
      </c>
      <c r="F372" s="20">
        <v>7702132004484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>
      <c r="A373" t="s">
        <v>2899</v>
      </c>
      <c r="B373" s="39">
        <v>2</v>
      </c>
      <c r="C373" s="39">
        <v>0</v>
      </c>
      <c r="D373" s="39" t="s">
        <v>38</v>
      </c>
      <c r="E373" t="s">
        <v>2900</v>
      </c>
      <c r="F373">
        <v>7709530287624</v>
      </c>
    </row>
    <row r="374" spans="1:26">
      <c r="A374" s="7" t="s">
        <v>1545</v>
      </c>
      <c r="B374" s="8">
        <v>2</v>
      </c>
      <c r="C374" s="9" t="s">
        <v>1546</v>
      </c>
      <c r="D374" s="10" t="s">
        <v>118</v>
      </c>
      <c r="E374" s="7" t="s">
        <v>1547</v>
      </c>
      <c r="F374">
        <v>7709559308140</v>
      </c>
      <c r="G374" s="28"/>
    </row>
    <row r="375" spans="1:26">
      <c r="A375" s="28" t="s">
        <v>2901</v>
      </c>
      <c r="B375" s="14">
        <v>1</v>
      </c>
      <c r="C375" s="105">
        <v>0.19</v>
      </c>
      <c r="D375" s="137" t="s">
        <v>74</v>
      </c>
      <c r="E375" s="24" t="s">
        <v>2902</v>
      </c>
      <c r="F375" s="28">
        <v>7709812676597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28.5">
      <c r="A376" s="22" t="s">
        <v>2430</v>
      </c>
      <c r="B376" s="8">
        <v>1</v>
      </c>
      <c r="C376" s="8">
        <v>0</v>
      </c>
      <c r="D376" s="8" t="s">
        <v>384</v>
      </c>
      <c r="E376" s="7" t="s">
        <v>2431</v>
      </c>
      <c r="F376" s="8">
        <v>7709467724056</v>
      </c>
      <c r="G376" s="8"/>
    </row>
    <row r="377" spans="1:26" s="29" customFormat="1">
      <c r="B377" s="88"/>
      <c r="C377" s="88"/>
      <c r="D377" s="88"/>
    </row>
    <row r="378" spans="1:26">
      <c r="A378" t="s">
        <v>559</v>
      </c>
      <c r="B378">
        <v>2</v>
      </c>
      <c r="C378">
        <v>0</v>
      </c>
      <c r="D378" s="134" t="s">
        <v>464</v>
      </c>
      <c r="E378" t="s">
        <v>560</v>
      </c>
      <c r="F378" s="42">
        <v>7702057010317</v>
      </c>
    </row>
    <row r="379" spans="1:26">
      <c r="A379" t="s">
        <v>25</v>
      </c>
      <c r="B379" s="39">
        <v>1</v>
      </c>
      <c r="C379" s="40">
        <v>0</v>
      </c>
      <c r="D379" s="39" t="s">
        <v>2903</v>
      </c>
      <c r="E379" s="22" t="s">
        <v>27</v>
      </c>
      <c r="F379">
        <v>7861051621902</v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 spans="1:26">
      <c r="A380" t="s">
        <v>2904</v>
      </c>
      <c r="B380" s="39">
        <v>2</v>
      </c>
      <c r="C380" s="39">
        <v>0</v>
      </c>
      <c r="D380" s="39" t="s">
        <v>697</v>
      </c>
      <c r="E380" t="s">
        <v>2905</v>
      </c>
    </row>
    <row r="381" spans="1:26" s="29" customFormat="1">
      <c r="B381" s="88"/>
      <c r="C381" s="88"/>
      <c r="D381" s="88"/>
    </row>
    <row r="382" spans="1:26" s="242" customFormat="1" ht="15">
      <c r="A382" s="90" t="s">
        <v>2283</v>
      </c>
      <c r="B382" s="34">
        <v>1</v>
      </c>
      <c r="C382" s="33">
        <v>0</v>
      </c>
      <c r="D382" s="202" t="s">
        <v>1669</v>
      </c>
      <c r="E382" s="239" t="s">
        <v>618</v>
      </c>
      <c r="F382" s="241">
        <v>7707274721619</v>
      </c>
    </row>
    <row r="383" spans="1:26" s="242" customFormat="1" ht="28.5">
      <c r="A383" s="243" t="s">
        <v>2136</v>
      </c>
      <c r="B383" s="244">
        <v>6</v>
      </c>
      <c r="C383" s="245">
        <v>0</v>
      </c>
      <c r="D383" s="246" t="s">
        <v>109</v>
      </c>
      <c r="E383" s="247" t="s">
        <v>2137</v>
      </c>
      <c r="F383" s="249">
        <v>7703712033344</v>
      </c>
    </row>
    <row r="384" spans="1:26" s="242" customFormat="1" ht="15">
      <c r="A384" s="250" t="s">
        <v>1831</v>
      </c>
      <c r="B384" s="34">
        <v>1</v>
      </c>
      <c r="C384" s="33">
        <v>0</v>
      </c>
      <c r="D384" s="34" t="s">
        <v>10</v>
      </c>
      <c r="E384" s="239" t="s">
        <v>1832</v>
      </c>
      <c r="F384" s="251">
        <v>6921875003290</v>
      </c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s="242" customFormat="1" ht="28.5">
      <c r="A385" s="242" t="s">
        <v>2906</v>
      </c>
      <c r="B385" s="248">
        <v>2</v>
      </c>
      <c r="C385" s="248">
        <v>0</v>
      </c>
      <c r="D385" s="248" t="s">
        <v>808</v>
      </c>
      <c r="E385" s="252" t="s">
        <v>2907</v>
      </c>
      <c r="F385" s="242">
        <v>7703546013017</v>
      </c>
    </row>
    <row r="386" spans="1:26" s="242" customFormat="1" ht="28.5">
      <c r="A386" s="242" t="s">
        <v>793</v>
      </c>
      <c r="B386" s="242">
        <v>2</v>
      </c>
      <c r="C386" s="242">
        <v>0</v>
      </c>
      <c r="D386" s="242" t="s">
        <v>156</v>
      </c>
      <c r="E386" s="252" t="s">
        <v>653</v>
      </c>
      <c r="F386" s="242">
        <v>7707288820247</v>
      </c>
    </row>
    <row r="387" spans="1:26" s="242" customFormat="1">
      <c r="A387" s="253" t="s">
        <v>2908</v>
      </c>
      <c r="B387" s="254">
        <v>1</v>
      </c>
      <c r="C387" s="128">
        <v>0.19</v>
      </c>
      <c r="D387" s="128" t="s">
        <v>2909</v>
      </c>
      <c r="E387" s="253" t="s">
        <v>2134</v>
      </c>
      <c r="F387" s="242">
        <v>7702132011017</v>
      </c>
    </row>
    <row r="388" spans="1:26" s="242" customFormat="1" ht="28.5">
      <c r="A388" s="252" t="s">
        <v>122</v>
      </c>
      <c r="B388" s="242">
        <v>1</v>
      </c>
      <c r="C388" s="255">
        <v>0.19</v>
      </c>
      <c r="D388" s="219" t="s">
        <v>123</v>
      </c>
      <c r="E388" s="252" t="s">
        <v>124</v>
      </c>
      <c r="F388" s="242">
        <v>751273778584</v>
      </c>
    </row>
    <row r="389" spans="1:26" s="242" customFormat="1">
      <c r="A389" s="242" t="s">
        <v>2910</v>
      </c>
      <c r="B389" s="248">
        <v>1</v>
      </c>
      <c r="C389" s="256">
        <v>0.19</v>
      </c>
      <c r="D389" s="248" t="s">
        <v>88</v>
      </c>
      <c r="E389" s="242" t="s">
        <v>2911</v>
      </c>
      <c r="F389" s="242">
        <v>7701684798261</v>
      </c>
    </row>
    <row r="390" spans="1:26" s="242" customFormat="1">
      <c r="A390" s="252" t="s">
        <v>2912</v>
      </c>
      <c r="B390" s="242">
        <v>1</v>
      </c>
      <c r="C390" s="218">
        <v>0</v>
      </c>
      <c r="D390" s="108" t="s">
        <v>53</v>
      </c>
      <c r="E390" s="252" t="s">
        <v>54</v>
      </c>
      <c r="F390" s="257">
        <v>7703038050346</v>
      </c>
    </row>
    <row r="391" spans="1:26" s="242" customFormat="1">
      <c r="A391" s="258" t="s">
        <v>2913</v>
      </c>
      <c r="B391" s="227">
        <v>1</v>
      </c>
      <c r="C391" s="70">
        <v>0.19</v>
      </c>
      <c r="D391" s="161" t="s">
        <v>29</v>
      </c>
      <c r="E391" s="258" t="s">
        <v>2914</v>
      </c>
      <c r="F391" s="227">
        <v>751273778744</v>
      </c>
      <c r="G391" s="227"/>
      <c r="H391" s="227"/>
      <c r="I391" s="227"/>
      <c r="J391" s="227"/>
      <c r="K391" s="227"/>
      <c r="L391" s="227"/>
      <c r="M391" s="227"/>
      <c r="N391" s="227"/>
      <c r="O391" s="227"/>
    </row>
    <row r="392" spans="1:26" s="242" customFormat="1">
      <c r="A392" s="260" t="s">
        <v>1791</v>
      </c>
      <c r="B392" s="161">
        <v>6</v>
      </c>
      <c r="C392" s="136">
        <v>0.19</v>
      </c>
      <c r="D392" s="261" t="s">
        <v>214</v>
      </c>
      <c r="E392" s="258" t="s">
        <v>1792</v>
      </c>
      <c r="F392" s="262">
        <v>7707271202791</v>
      </c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</row>
    <row r="393" spans="1:26" s="242" customFormat="1">
      <c r="A393" s="260" t="s">
        <v>2915</v>
      </c>
      <c r="B393" s="161">
        <v>6</v>
      </c>
      <c r="C393" s="136">
        <v>0.19</v>
      </c>
      <c r="D393" s="136" t="s">
        <v>293</v>
      </c>
      <c r="E393" s="258" t="s">
        <v>1792</v>
      </c>
      <c r="F393" s="262">
        <v>7707271202784</v>
      </c>
    </row>
    <row r="394" spans="1:26" s="242" customFormat="1">
      <c r="A394" s="262" t="s">
        <v>2852</v>
      </c>
      <c r="B394" s="161">
        <v>3</v>
      </c>
      <c r="C394" s="136">
        <v>0.19</v>
      </c>
      <c r="D394" s="261" t="s">
        <v>318</v>
      </c>
      <c r="E394" s="260" t="s">
        <v>2853</v>
      </c>
      <c r="F394" s="262">
        <v>7707271202777</v>
      </c>
      <c r="G394" s="262"/>
    </row>
    <row r="395" spans="1:26" s="242" customFormat="1">
      <c r="A395" s="262" t="s">
        <v>2069</v>
      </c>
      <c r="B395" s="161">
        <v>1</v>
      </c>
      <c r="C395" s="136">
        <v>0.19</v>
      </c>
      <c r="D395" s="261" t="s">
        <v>23</v>
      </c>
      <c r="E395" s="260" t="s">
        <v>2916</v>
      </c>
      <c r="F395" s="262">
        <v>7707271202760</v>
      </c>
      <c r="G395" s="262"/>
    </row>
    <row r="396" spans="1:26" s="242" customFormat="1">
      <c r="A396" s="252" t="s">
        <v>2917</v>
      </c>
      <c r="B396" s="242">
        <v>1</v>
      </c>
      <c r="C396" s="218">
        <v>0</v>
      </c>
      <c r="D396" s="108" t="s">
        <v>59</v>
      </c>
      <c r="E396" s="252" t="s">
        <v>2918</v>
      </c>
      <c r="F396" s="242">
        <v>7707019350920</v>
      </c>
    </row>
    <row r="397" spans="1:26" s="29" customFormat="1">
      <c r="B397" s="88"/>
      <c r="C397" s="88"/>
      <c r="D397" s="88"/>
    </row>
    <row r="398" spans="1:26" ht="15">
      <c r="A398" s="263" t="s">
        <v>992</v>
      </c>
      <c r="B398" s="264">
        <v>1</v>
      </c>
      <c r="C398" s="265">
        <v>0</v>
      </c>
      <c r="D398" s="266" t="s">
        <v>1296</v>
      </c>
      <c r="E398" s="267" t="s">
        <v>477</v>
      </c>
      <c r="F398" s="268">
        <v>7703546083225</v>
      </c>
    </row>
    <row r="399" spans="1:26">
      <c r="A399" s="22" t="s">
        <v>1211</v>
      </c>
      <c r="B399" s="41">
        <v>1</v>
      </c>
      <c r="C399" s="269">
        <v>0.19</v>
      </c>
      <c r="D399" s="38" t="s">
        <v>2919</v>
      </c>
      <c r="E399" s="22" t="s">
        <v>1213</v>
      </c>
      <c r="F399" s="22">
        <v>7707397792763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 spans="1:26" ht="28.5">
      <c r="A400" s="22" t="s">
        <v>1145</v>
      </c>
      <c r="B400">
        <v>1</v>
      </c>
      <c r="C400" s="133">
        <v>0</v>
      </c>
      <c r="D400" s="23" t="s">
        <v>638</v>
      </c>
      <c r="E400" s="22" t="s">
        <v>1146</v>
      </c>
      <c r="F400" s="42">
        <v>7704232000946</v>
      </c>
    </row>
    <row r="401" spans="1:26">
      <c r="A401" s="13" t="s">
        <v>1444</v>
      </c>
      <c r="B401" s="121">
        <v>2</v>
      </c>
      <c r="C401" s="270">
        <v>0</v>
      </c>
      <c r="D401" s="211" t="s">
        <v>464</v>
      </c>
      <c r="E401" s="13" t="s">
        <v>1446</v>
      </c>
      <c r="F401" s="13">
        <v>7704232001998</v>
      </c>
    </row>
    <row r="402" spans="1:26">
      <c r="A402" s="22" t="s">
        <v>736</v>
      </c>
      <c r="B402" s="39">
        <v>2</v>
      </c>
      <c r="C402" s="40">
        <v>0</v>
      </c>
      <c r="D402" s="39" t="s">
        <v>26</v>
      </c>
      <c r="E402" t="s">
        <v>737</v>
      </c>
      <c r="F402">
        <v>7703546421157</v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 spans="1:26">
      <c r="A403" s="71" t="s">
        <v>90</v>
      </c>
      <c r="B403" s="14">
        <v>3</v>
      </c>
      <c r="C403" s="105">
        <v>0.19</v>
      </c>
      <c r="D403" s="137" t="s">
        <v>23</v>
      </c>
      <c r="E403" s="12" t="s">
        <v>92</v>
      </c>
      <c r="F403" s="61">
        <v>7707277580459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6" ht="28.5">
      <c r="A404" s="22" t="s">
        <v>2920</v>
      </c>
      <c r="B404">
        <v>4</v>
      </c>
      <c r="C404" s="133">
        <v>0</v>
      </c>
      <c r="D404" s="183" t="s">
        <v>214</v>
      </c>
      <c r="E404" s="22" t="s">
        <v>2921</v>
      </c>
      <c r="F404">
        <v>7707271202821</v>
      </c>
    </row>
    <row r="405" spans="1:26" s="29" customFormat="1">
      <c r="B405" s="88"/>
      <c r="C405" s="88"/>
      <c r="D405" s="88"/>
    </row>
    <row r="406" spans="1:26">
      <c r="A406" t="s">
        <v>2092</v>
      </c>
      <c r="B406">
        <v>1</v>
      </c>
      <c r="C406" s="140">
        <v>0</v>
      </c>
      <c r="D406" s="134" t="s">
        <v>808</v>
      </c>
      <c r="E406" s="22" t="s">
        <v>2093</v>
      </c>
      <c r="F406">
        <v>7702605100965</v>
      </c>
    </row>
    <row r="407" spans="1:26">
      <c r="A407" t="s">
        <v>1887</v>
      </c>
      <c r="B407">
        <v>2</v>
      </c>
      <c r="C407">
        <v>0</v>
      </c>
      <c r="D407" s="23" t="s">
        <v>91</v>
      </c>
      <c r="E407" s="22" t="s">
        <v>1889</v>
      </c>
      <c r="F407" s="42">
        <v>7702003459016</v>
      </c>
    </row>
    <row r="408" spans="1:26" ht="15">
      <c r="A408" s="45" t="s">
        <v>555</v>
      </c>
      <c r="B408" s="74">
        <v>2</v>
      </c>
      <c r="C408" s="75">
        <v>0</v>
      </c>
      <c r="D408" s="74" t="s">
        <v>1366</v>
      </c>
      <c r="E408" s="76" t="s">
        <v>556</v>
      </c>
      <c r="F408" s="77">
        <v>7707288826935</v>
      </c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6" ht="28.5">
      <c r="A409" s="69" t="s">
        <v>531</v>
      </c>
      <c r="B409" s="12">
        <v>2</v>
      </c>
      <c r="C409" s="59">
        <v>0</v>
      </c>
      <c r="D409" s="111" t="s">
        <v>91</v>
      </c>
      <c r="E409" s="69" t="s">
        <v>532</v>
      </c>
      <c r="F409" s="71">
        <v>7702896000364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 spans="1:26">
      <c r="A410" s="29"/>
      <c r="B410" s="88"/>
      <c r="C410" s="88"/>
      <c r="D410" s="88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28.5">
      <c r="A411" s="13" t="s">
        <v>1113</v>
      </c>
      <c r="B411" s="12">
        <v>10</v>
      </c>
      <c r="C411" s="59">
        <v>0</v>
      </c>
      <c r="D411" s="12" t="s">
        <v>1114</v>
      </c>
      <c r="E411" s="13" t="s">
        <v>1115</v>
      </c>
      <c r="F411" s="12">
        <v>7706569001160</v>
      </c>
    </row>
    <row r="412" spans="1:26">
      <c r="A412" t="s">
        <v>1887</v>
      </c>
      <c r="B412">
        <v>2</v>
      </c>
      <c r="C412">
        <v>0</v>
      </c>
      <c r="D412" s="23" t="s">
        <v>91</v>
      </c>
      <c r="E412" s="22" t="s">
        <v>1889</v>
      </c>
      <c r="F412" s="42">
        <v>7702003459016</v>
      </c>
    </row>
    <row r="413" spans="1:26">
      <c r="A413" t="s">
        <v>2922</v>
      </c>
      <c r="B413">
        <v>8</v>
      </c>
      <c r="C413" s="133">
        <v>0</v>
      </c>
      <c r="D413" t="s">
        <v>214</v>
      </c>
      <c r="E413" s="22" t="s">
        <v>2923</v>
      </c>
      <c r="F413">
        <v>7707353301732</v>
      </c>
    </row>
    <row r="414" spans="1:26" ht="28.5">
      <c r="A414" t="s">
        <v>627</v>
      </c>
      <c r="B414">
        <v>1</v>
      </c>
      <c r="C414" s="133">
        <v>0.19</v>
      </c>
      <c r="D414" s="23" t="s">
        <v>750</v>
      </c>
      <c r="E414" s="22" t="s">
        <v>628</v>
      </c>
      <c r="F414">
        <v>8410190585997</v>
      </c>
    </row>
    <row r="415" spans="1:26" s="29" customFormat="1">
      <c r="B415" s="88"/>
      <c r="C415" s="88"/>
      <c r="D415" s="88"/>
    </row>
    <row r="416" spans="1:26" ht="28.5">
      <c r="A416" s="65" t="s">
        <v>1061</v>
      </c>
      <c r="B416" s="100">
        <v>1</v>
      </c>
      <c r="C416" s="101">
        <v>0</v>
      </c>
      <c r="D416" s="102" t="s">
        <v>2924</v>
      </c>
      <c r="E416" s="64" t="s">
        <v>1063</v>
      </c>
      <c r="F416" s="103">
        <v>7702195086748</v>
      </c>
    </row>
    <row r="417" spans="1:27">
      <c r="A417" s="22" t="s">
        <v>2925</v>
      </c>
      <c r="B417">
        <v>2</v>
      </c>
      <c r="C417" s="140">
        <v>0</v>
      </c>
      <c r="D417" s="134" t="s">
        <v>59</v>
      </c>
      <c r="E417" t="s">
        <v>868</v>
      </c>
      <c r="F417">
        <v>7707184160690</v>
      </c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7">
      <c r="A418" s="28" t="s">
        <v>93</v>
      </c>
      <c r="B418" s="28">
        <v>2</v>
      </c>
      <c r="C418" s="192">
        <v>0</v>
      </c>
      <c r="D418" s="193" t="s">
        <v>94</v>
      </c>
      <c r="E418" s="28" t="s">
        <v>95</v>
      </c>
      <c r="F418" s="63">
        <v>7702184011430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3"/>
    </row>
    <row r="419" spans="1:27">
      <c r="A419" s="22" t="s">
        <v>213</v>
      </c>
      <c r="B419">
        <v>4</v>
      </c>
      <c r="C419" s="133">
        <v>0</v>
      </c>
      <c r="D419" s="238" t="s">
        <v>214</v>
      </c>
      <c r="F419">
        <v>7707353301985</v>
      </c>
    </row>
    <row r="420" spans="1:27" ht="28.5">
      <c r="A420" s="22" t="s">
        <v>753</v>
      </c>
      <c r="B420">
        <v>3</v>
      </c>
      <c r="C420" s="133">
        <v>0</v>
      </c>
      <c r="D420" s="172" t="s">
        <v>585</v>
      </c>
      <c r="E420" s="22" t="s">
        <v>754</v>
      </c>
      <c r="F420">
        <v>8903726224403</v>
      </c>
    </row>
    <row r="421" spans="1:27">
      <c r="A421" s="13" t="s">
        <v>2926</v>
      </c>
      <c r="B421" s="12">
        <v>2</v>
      </c>
      <c r="C421" s="59">
        <v>0.19</v>
      </c>
      <c r="D421" s="28" t="s">
        <v>7</v>
      </c>
      <c r="E421" s="12" t="s">
        <v>2927</v>
      </c>
      <c r="F421" s="12">
        <v>7707353307307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7" s="29" customFormat="1">
      <c r="B422" s="88"/>
      <c r="C422" s="88"/>
      <c r="D422" s="88"/>
    </row>
    <row r="423" spans="1:27" ht="28.5">
      <c r="A423" s="22" t="s">
        <v>2928</v>
      </c>
      <c r="B423" s="39">
        <v>1</v>
      </c>
      <c r="C423" s="40">
        <v>0</v>
      </c>
      <c r="D423" s="94" t="s">
        <v>222</v>
      </c>
      <c r="E423" t="s">
        <v>2929</v>
      </c>
      <c r="F423">
        <v>7702057231125</v>
      </c>
    </row>
    <row r="424" spans="1:27">
      <c r="A424" s="12" t="s">
        <v>1874</v>
      </c>
      <c r="B424" s="12">
        <v>4</v>
      </c>
      <c r="C424" s="59">
        <v>0</v>
      </c>
      <c r="D424" s="12" t="s">
        <v>80</v>
      </c>
      <c r="E424" s="121" t="s">
        <v>8</v>
      </c>
      <c r="F424" s="61">
        <v>7703038065630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spans="1:27" ht="28.5">
      <c r="A425" s="12" t="s">
        <v>2930</v>
      </c>
      <c r="B425" s="12">
        <v>6</v>
      </c>
      <c r="C425" s="59">
        <v>0</v>
      </c>
      <c r="D425" s="12" t="s">
        <v>85</v>
      </c>
      <c r="E425" s="13" t="s">
        <v>86</v>
      </c>
      <c r="F425" s="61">
        <v>7709990383621</v>
      </c>
      <c r="G425" s="23"/>
      <c r="H425" s="23"/>
      <c r="I425" s="23"/>
      <c r="J425" s="23"/>
      <c r="K425" s="23"/>
      <c r="L425" s="23"/>
      <c r="M425" s="23"/>
      <c r="N425" s="23"/>
      <c r="O425" s="23"/>
    </row>
    <row r="426" spans="1:27">
      <c r="A426" s="24" t="s">
        <v>883</v>
      </c>
      <c r="B426" s="28">
        <v>5</v>
      </c>
      <c r="C426" s="31">
        <v>0</v>
      </c>
      <c r="D426" s="30" t="s">
        <v>2931</v>
      </c>
      <c r="E426" s="28" t="s">
        <v>884</v>
      </c>
      <c r="F426" s="28">
        <v>7702870071489</v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7">
      <c r="A427" s="69" t="s">
        <v>1872</v>
      </c>
      <c r="B427" s="71">
        <v>3</v>
      </c>
      <c r="C427" s="206">
        <v>0</v>
      </c>
      <c r="D427" s="207" t="s">
        <v>2932</v>
      </c>
      <c r="E427" s="69" t="s">
        <v>1873</v>
      </c>
      <c r="F427" s="61">
        <v>7702057067212</v>
      </c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7" ht="28.5">
      <c r="A428" s="24" t="s">
        <v>13</v>
      </c>
      <c r="B428" s="28">
        <v>2</v>
      </c>
      <c r="C428" s="192">
        <v>0</v>
      </c>
      <c r="D428" s="193" t="s">
        <v>14</v>
      </c>
      <c r="E428" s="24" t="s">
        <v>15</v>
      </c>
      <c r="F428" s="28">
        <v>7708952877130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7" s="271" customFormat="1" ht="28.5">
      <c r="A429" s="22" t="s">
        <v>1029</v>
      </c>
      <c r="B429">
        <v>2</v>
      </c>
      <c r="C429" s="51">
        <v>0</v>
      </c>
      <c r="D429" s="23" t="s">
        <v>497</v>
      </c>
      <c r="E429" s="22" t="s">
        <v>1030</v>
      </c>
      <c r="F429">
        <v>7709990087000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</row>
    <row r="430" spans="1:27">
      <c r="A430" s="22" t="s">
        <v>593</v>
      </c>
      <c r="B430">
        <v>2</v>
      </c>
      <c r="C430" s="133">
        <v>0</v>
      </c>
      <c r="D430" s="183" t="s">
        <v>32</v>
      </c>
      <c r="E430" s="22" t="s">
        <v>594</v>
      </c>
      <c r="F430">
        <v>7709930569436</v>
      </c>
    </row>
    <row r="431" spans="1:27">
      <c r="A431" s="28" t="s">
        <v>2933</v>
      </c>
      <c r="B431" s="28">
        <v>1</v>
      </c>
      <c r="C431" s="232">
        <v>0.19</v>
      </c>
      <c r="D431" s="232" t="s">
        <v>250</v>
      </c>
      <c r="E431" s="24" t="s">
        <v>2934</v>
      </c>
      <c r="F431" s="28">
        <v>7707016404954</v>
      </c>
    </row>
    <row r="432" spans="1:27" ht="15">
      <c r="A432" s="73" t="s">
        <v>325</v>
      </c>
      <c r="B432" s="17">
        <v>4</v>
      </c>
      <c r="C432" s="124">
        <v>0</v>
      </c>
      <c r="D432" s="17" t="s">
        <v>26</v>
      </c>
      <c r="E432" s="73" t="s">
        <v>326</v>
      </c>
      <c r="F432" s="110">
        <v>7702057012007</v>
      </c>
    </row>
    <row r="433" spans="1:26" s="29" customFormat="1">
      <c r="B433" s="88"/>
      <c r="C433" s="88"/>
      <c r="D433" s="88"/>
    </row>
    <row r="434" spans="1:26" ht="15">
      <c r="A434" s="16" t="s">
        <v>1825</v>
      </c>
      <c r="B434" s="18">
        <v>2</v>
      </c>
      <c r="C434" s="184">
        <v>0.19</v>
      </c>
      <c r="D434" s="124" t="s">
        <v>118</v>
      </c>
      <c r="E434" s="16" t="s">
        <v>1826</v>
      </c>
      <c r="F434" s="20">
        <v>7707280391301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69" t="s">
        <v>2935</v>
      </c>
      <c r="B435" s="71">
        <v>5</v>
      </c>
      <c r="C435" s="206">
        <v>0.19</v>
      </c>
      <c r="D435" s="135" t="s">
        <v>7</v>
      </c>
      <c r="E435" s="69" t="s">
        <v>2936</v>
      </c>
      <c r="F435" s="61">
        <v>7707280394531</v>
      </c>
    </row>
    <row r="436" spans="1:26">
      <c r="A436" t="s">
        <v>2937</v>
      </c>
      <c r="B436">
        <v>6</v>
      </c>
      <c r="C436" s="31">
        <v>0.19</v>
      </c>
      <c r="D436" s="31" t="s">
        <v>948</v>
      </c>
      <c r="E436" t="s">
        <v>2938</v>
      </c>
      <c r="F436">
        <v>7707280395354</v>
      </c>
    </row>
    <row r="437" spans="1:26">
      <c r="A437" t="s">
        <v>2937</v>
      </c>
      <c r="B437">
        <v>4</v>
      </c>
      <c r="C437" s="31">
        <v>0.19</v>
      </c>
      <c r="D437" s="31" t="s">
        <v>519</v>
      </c>
      <c r="E437" t="s">
        <v>2938</v>
      </c>
      <c r="F437">
        <v>7707280395354</v>
      </c>
    </row>
    <row r="438" spans="1:26" ht="28.5">
      <c r="A438" s="22" t="s">
        <v>2939</v>
      </c>
      <c r="B438" s="22">
        <v>1</v>
      </c>
      <c r="C438" s="175">
        <v>19</v>
      </c>
      <c r="D438" s="176" t="s">
        <v>109</v>
      </c>
      <c r="E438" s="22" t="s">
        <v>2940</v>
      </c>
      <c r="F438" s="22">
        <v>7707280399864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28.5">
      <c r="A439" s="24" t="s">
        <v>1264</v>
      </c>
      <c r="B439" s="28">
        <v>4</v>
      </c>
      <c r="C439" s="31">
        <v>0.19</v>
      </c>
      <c r="D439" s="99" t="s">
        <v>80</v>
      </c>
      <c r="E439" s="24" t="s">
        <v>1265</v>
      </c>
      <c r="F439" s="28">
        <v>7707202224281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6">
      <c r="A440" s="24" t="s">
        <v>1823</v>
      </c>
      <c r="B440" s="22">
        <v>4</v>
      </c>
      <c r="C440" s="175">
        <v>0.19</v>
      </c>
      <c r="D440" s="106" t="s">
        <v>366</v>
      </c>
      <c r="E440" s="22" t="s">
        <v>1824</v>
      </c>
      <c r="F440" s="273">
        <v>7707202223680</v>
      </c>
    </row>
    <row r="441" spans="1:26">
      <c r="A441" s="22" t="s">
        <v>1269</v>
      </c>
      <c r="B441">
        <v>2</v>
      </c>
      <c r="C441" s="133">
        <v>0.19</v>
      </c>
      <c r="D441" s="50" t="s">
        <v>38</v>
      </c>
      <c r="E441" t="s">
        <v>1271</v>
      </c>
      <c r="F441" s="42">
        <v>7707280392001</v>
      </c>
    </row>
    <row r="442" spans="1:26">
      <c r="A442" s="64" t="s">
        <v>2941</v>
      </c>
      <c r="B442" s="102">
        <v>2</v>
      </c>
      <c r="C442" s="101">
        <v>0.19</v>
      </c>
      <c r="D442" s="102" t="s">
        <v>38</v>
      </c>
      <c r="E442" s="64" t="s">
        <v>2942</v>
      </c>
      <c r="F442" s="65">
        <v>7707280395347</v>
      </c>
      <c r="G442" s="68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</row>
    <row r="443" spans="1:26" s="141" customFormat="1" ht="15">
      <c r="A443" s="274" t="s">
        <v>1829</v>
      </c>
      <c r="B443" s="275">
        <v>1</v>
      </c>
      <c r="C443" s="105">
        <v>0.19</v>
      </c>
      <c r="D443" s="276" t="s">
        <v>450</v>
      </c>
      <c r="E443" s="274" t="s">
        <v>1830</v>
      </c>
      <c r="F443" s="277">
        <v>7707280394609</v>
      </c>
      <c r="G443" s="275"/>
      <c r="H443" s="275"/>
      <c r="I443" s="275"/>
      <c r="J443" s="275"/>
      <c r="K443" s="275"/>
      <c r="L443" s="275"/>
      <c r="M443" s="275"/>
      <c r="N443" s="275"/>
      <c r="O443" s="275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</row>
    <row r="444" spans="1:26">
      <c r="A444" s="24" t="s">
        <v>2643</v>
      </c>
      <c r="B444" s="14">
        <v>1</v>
      </c>
      <c r="C444" s="105">
        <v>0.19</v>
      </c>
      <c r="D444" s="14" t="s">
        <v>7</v>
      </c>
      <c r="E444" s="28" t="s">
        <v>2644</v>
      </c>
      <c r="F444" s="28">
        <v>7709696714897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6" s="29" customFormat="1">
      <c r="B445" s="88"/>
      <c r="C445" s="88"/>
      <c r="D445" s="88"/>
    </row>
    <row r="446" spans="1:26" ht="28.5">
      <c r="A446" s="71" t="s">
        <v>2943</v>
      </c>
      <c r="B446" s="14">
        <v>1</v>
      </c>
      <c r="C446" s="14">
        <v>0</v>
      </c>
      <c r="D446" s="14" t="s">
        <v>14</v>
      </c>
      <c r="E446" s="69" t="s">
        <v>2944</v>
      </c>
      <c r="F446" s="71">
        <v>7702560008849</v>
      </c>
      <c r="G446" s="28"/>
      <c r="H446" s="28"/>
      <c r="I446" s="28"/>
      <c r="J446" s="28"/>
      <c r="K446" s="28"/>
      <c r="L446" s="28"/>
      <c r="M446" s="28"/>
      <c r="N446" s="28"/>
      <c r="O446" s="28"/>
    </row>
    <row r="447" spans="1:26" ht="57">
      <c r="A447" s="71" t="s">
        <v>1737</v>
      </c>
      <c r="B447" s="14">
        <v>1</v>
      </c>
      <c r="C447" s="14">
        <v>0</v>
      </c>
      <c r="D447" s="14" t="s">
        <v>948</v>
      </c>
      <c r="E447" s="69" t="s">
        <v>1738</v>
      </c>
      <c r="F447" s="71">
        <v>7702560027833</v>
      </c>
      <c r="G447" s="28"/>
      <c r="H447" s="28"/>
      <c r="I447" s="28"/>
      <c r="J447" s="28"/>
      <c r="K447" s="28"/>
      <c r="L447" s="28"/>
      <c r="M447" s="28"/>
      <c r="N447" s="28"/>
      <c r="O447" s="28"/>
    </row>
    <row r="448" spans="1:26">
      <c r="A448" s="22" t="s">
        <v>2945</v>
      </c>
      <c r="B448">
        <v>6</v>
      </c>
      <c r="C448" s="133">
        <v>0</v>
      </c>
      <c r="D448" s="183" t="s">
        <v>509</v>
      </c>
      <c r="E448" t="s">
        <v>513</v>
      </c>
      <c r="F448">
        <v>7707035580837</v>
      </c>
    </row>
    <row r="449" spans="1:26">
      <c r="A449" t="s">
        <v>2946</v>
      </c>
      <c r="B449">
        <v>1</v>
      </c>
      <c r="C449" s="133">
        <v>0</v>
      </c>
      <c r="D449" t="s">
        <v>464</v>
      </c>
      <c r="E449" s="22" t="s">
        <v>2947</v>
      </c>
      <c r="F449">
        <v>7705028092541</v>
      </c>
    </row>
    <row r="450" spans="1:26">
      <c r="A450" s="7" t="s">
        <v>1182</v>
      </c>
      <c r="B450" s="30">
        <v>2</v>
      </c>
      <c r="C450" s="31">
        <v>0</v>
      </c>
      <c r="D450" s="30" t="s">
        <v>91</v>
      </c>
      <c r="E450" s="8" t="s">
        <v>1166</v>
      </c>
      <c r="F450" s="8">
        <v>7707190180026</v>
      </c>
    </row>
    <row r="451" spans="1:26">
      <c r="A451" s="24" t="s">
        <v>1165</v>
      </c>
      <c r="B451" s="30">
        <v>1</v>
      </c>
      <c r="C451" s="31">
        <v>0</v>
      </c>
      <c r="D451" s="30" t="s">
        <v>1116</v>
      </c>
      <c r="E451" s="28" t="s">
        <v>1166</v>
      </c>
      <c r="F451" s="68">
        <v>7707190180019</v>
      </c>
    </row>
    <row r="452" spans="1:26" ht="15">
      <c r="A452" s="56" t="s">
        <v>360</v>
      </c>
      <c r="B452" s="153">
        <v>1</v>
      </c>
      <c r="C452" s="55">
        <v>0</v>
      </c>
      <c r="D452" s="153" t="s">
        <v>257</v>
      </c>
      <c r="E452" s="56" t="s">
        <v>361</v>
      </c>
      <c r="F452" s="226">
        <v>7703038067214</v>
      </c>
      <c r="G452" s="53"/>
      <c r="H452" s="53"/>
      <c r="I452" s="53"/>
      <c r="J452" s="53"/>
      <c r="K452" s="53"/>
      <c r="L452" s="53"/>
      <c r="M452" s="53"/>
      <c r="N452" s="53"/>
      <c r="O452" s="53"/>
    </row>
    <row r="453" spans="1:26" s="29" customFormat="1">
      <c r="B453" s="88"/>
      <c r="C453" s="88"/>
      <c r="D453" s="88"/>
    </row>
    <row r="454" spans="1:26">
      <c r="A454" t="s">
        <v>2671</v>
      </c>
      <c r="B454">
        <v>1</v>
      </c>
      <c r="C454" s="133">
        <v>0.19</v>
      </c>
      <c r="D454" t="s">
        <v>1366</v>
      </c>
      <c r="E454" s="22" t="s">
        <v>2672</v>
      </c>
      <c r="F454">
        <v>7891010037185</v>
      </c>
    </row>
    <row r="455" spans="1:26">
      <c r="A455" t="s">
        <v>2948</v>
      </c>
      <c r="B455" s="39">
        <v>1</v>
      </c>
      <c r="C455" s="40">
        <v>0.19</v>
      </c>
      <c r="D455" s="41" t="s">
        <v>56</v>
      </c>
      <c r="E455" s="22" t="s">
        <v>2949</v>
      </c>
      <c r="F455">
        <v>7891010037192</v>
      </c>
    </row>
    <row r="456" spans="1:26" ht="30">
      <c r="A456" s="278" t="s">
        <v>2950</v>
      </c>
      <c r="B456" s="130">
        <v>1</v>
      </c>
      <c r="C456" s="131">
        <v>0</v>
      </c>
      <c r="D456" s="279" t="s">
        <v>2662</v>
      </c>
      <c r="E456" s="130" t="s">
        <v>66</v>
      </c>
      <c r="F456" s="130">
        <v>7702870072943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>
      <c r="A457" s="22" t="s">
        <v>128</v>
      </c>
      <c r="B457" s="280">
        <v>3</v>
      </c>
      <c r="C457" s="281">
        <v>0</v>
      </c>
      <c r="D457" s="280" t="s">
        <v>1035</v>
      </c>
      <c r="E457" s="22" t="s">
        <v>130</v>
      </c>
      <c r="F457" s="282">
        <v>7705471206533</v>
      </c>
      <c r="G457" s="283"/>
      <c r="H457" s="283"/>
      <c r="I457" s="283"/>
      <c r="J457" s="283"/>
      <c r="K457" s="283"/>
      <c r="L457" s="283"/>
      <c r="M457" s="283"/>
      <c r="N457" s="283"/>
      <c r="O457" s="283"/>
    </row>
    <row r="458" spans="1:26">
      <c r="A458" s="8" t="s">
        <v>780</v>
      </c>
      <c r="B458" s="8">
        <v>2</v>
      </c>
      <c r="C458" s="9">
        <v>0</v>
      </c>
      <c r="D458" s="203" t="s">
        <v>781</v>
      </c>
      <c r="E458" s="7" t="s">
        <v>431</v>
      </c>
      <c r="F458" s="63">
        <v>7702057712938</v>
      </c>
    </row>
    <row r="459" spans="1:26" s="29" customFormat="1">
      <c r="B459" s="88"/>
      <c r="C459" s="88"/>
      <c r="D459" s="88"/>
    </row>
    <row r="460" spans="1:26" ht="28.5">
      <c r="A460" s="22" t="s">
        <v>2951</v>
      </c>
      <c r="B460" s="39">
        <v>2</v>
      </c>
      <c r="C460" s="39">
        <v>0</v>
      </c>
      <c r="D460" s="39" t="s">
        <v>2952</v>
      </c>
      <c r="E460" t="s">
        <v>2953</v>
      </c>
      <c r="F460">
        <v>6921875005423</v>
      </c>
    </row>
    <row r="461" spans="1:26">
      <c r="A461" s="22" t="s">
        <v>1348</v>
      </c>
      <c r="B461">
        <v>3</v>
      </c>
      <c r="C461" s="175">
        <v>0.19</v>
      </c>
      <c r="D461" s="176" t="s">
        <v>32</v>
      </c>
      <c r="E461" s="22" t="s">
        <v>136</v>
      </c>
      <c r="F461">
        <v>7707287990057</v>
      </c>
    </row>
    <row r="462" spans="1:26">
      <c r="A462" s="22" t="s">
        <v>1207</v>
      </c>
      <c r="B462" s="23">
        <v>3</v>
      </c>
      <c r="C462" s="51">
        <v>0</v>
      </c>
      <c r="D462" s="51" t="s">
        <v>133</v>
      </c>
      <c r="E462" s="39" t="s">
        <v>1208</v>
      </c>
      <c r="F462">
        <v>3594455200469</v>
      </c>
    </row>
    <row r="463" spans="1:26">
      <c r="A463" s="22" t="s">
        <v>2954</v>
      </c>
      <c r="B463">
        <v>3</v>
      </c>
      <c r="C463" s="133">
        <v>0</v>
      </c>
      <c r="D463" s="183" t="s">
        <v>1018</v>
      </c>
      <c r="E463" t="s">
        <v>116</v>
      </c>
      <c r="F463">
        <v>7703432927275</v>
      </c>
    </row>
    <row r="464" spans="1:26" ht="28.5">
      <c r="A464" s="8" t="s">
        <v>1303</v>
      </c>
      <c r="B464" s="8">
        <v>1</v>
      </c>
      <c r="C464" s="9">
        <v>0</v>
      </c>
      <c r="D464" s="203" t="s">
        <v>1304</v>
      </c>
      <c r="E464" s="7" t="s">
        <v>1305</v>
      </c>
      <c r="F464" s="8">
        <v>7594002621989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6" s="29" customFormat="1">
      <c r="B465" s="88"/>
      <c r="C465" s="88"/>
      <c r="D465" s="88"/>
    </row>
    <row r="466" spans="1:26" ht="15">
      <c r="A466" s="32" t="s">
        <v>175</v>
      </c>
      <c r="B466" s="17">
        <v>4</v>
      </c>
      <c r="C466" s="124">
        <v>0</v>
      </c>
      <c r="D466" s="124" t="s">
        <v>318</v>
      </c>
      <c r="E466" s="76" t="s">
        <v>121</v>
      </c>
      <c r="F466" s="20">
        <v>7501125176470</v>
      </c>
    </row>
    <row r="467" spans="1:26" ht="15">
      <c r="A467" s="18" t="s">
        <v>120</v>
      </c>
      <c r="B467" s="17">
        <v>6</v>
      </c>
      <c r="C467" s="124">
        <v>0</v>
      </c>
      <c r="D467" s="124" t="s">
        <v>38</v>
      </c>
      <c r="E467" s="16" t="s">
        <v>121</v>
      </c>
      <c r="F467" s="18">
        <v>7501125176548</v>
      </c>
    </row>
    <row r="468" spans="1:26" ht="15">
      <c r="A468" s="18" t="s">
        <v>762</v>
      </c>
      <c r="B468" s="17">
        <v>2</v>
      </c>
      <c r="C468" s="124">
        <v>0</v>
      </c>
      <c r="D468" s="124" t="s">
        <v>38</v>
      </c>
      <c r="E468" s="76" t="s">
        <v>121</v>
      </c>
      <c r="F468" s="20">
        <v>7501125184864</v>
      </c>
    </row>
    <row r="469" spans="1:26">
      <c r="A469" s="22" t="s">
        <v>2955</v>
      </c>
      <c r="B469" s="39">
        <v>1</v>
      </c>
      <c r="C469" s="84">
        <v>0</v>
      </c>
      <c r="D469" s="94" t="s">
        <v>59</v>
      </c>
      <c r="E469" t="s">
        <v>2956</v>
      </c>
      <c r="F469">
        <v>7709080992573</v>
      </c>
    </row>
    <row r="470" spans="1:26" ht="15">
      <c r="A470" s="45" t="s">
        <v>2957</v>
      </c>
      <c r="B470" s="36">
        <v>2</v>
      </c>
      <c r="C470" s="284">
        <v>0</v>
      </c>
      <c r="D470" s="285" t="s">
        <v>1366</v>
      </c>
      <c r="E470" s="21" t="s">
        <v>2958</v>
      </c>
      <c r="F470" s="21">
        <v>7709100506957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28.5">
      <c r="A471" t="s">
        <v>2959</v>
      </c>
      <c r="B471" s="39">
        <v>1</v>
      </c>
      <c r="C471" s="39">
        <v>0</v>
      </c>
      <c r="D471" s="39" t="s">
        <v>2960</v>
      </c>
      <c r="E471" s="22" t="s">
        <v>2961</v>
      </c>
      <c r="F471">
        <v>7707067620914</v>
      </c>
    </row>
    <row r="472" spans="1:26" s="29" customFormat="1">
      <c r="B472" s="88"/>
      <c r="C472" s="88"/>
      <c r="D472" s="88"/>
    </row>
    <row r="473" spans="1:26">
      <c r="A473" s="146" t="s">
        <v>1027</v>
      </c>
      <c r="B473" s="141">
        <v>10</v>
      </c>
      <c r="C473" s="148">
        <v>0</v>
      </c>
      <c r="D473" s="147" t="s">
        <v>80</v>
      </c>
      <c r="E473" s="146" t="s">
        <v>1028</v>
      </c>
      <c r="F473" s="169">
        <v>7706569000194</v>
      </c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</row>
    <row r="474" spans="1:26">
      <c r="A474" s="28" t="s">
        <v>557</v>
      </c>
      <c r="B474" s="28">
        <v>2</v>
      </c>
      <c r="C474" s="192">
        <v>0</v>
      </c>
      <c r="D474" s="193" t="s">
        <v>1240</v>
      </c>
      <c r="E474" s="28" t="s">
        <v>558</v>
      </c>
      <c r="F474" s="63">
        <v>7702132009748</v>
      </c>
      <c r="G474" s="28"/>
      <c r="H474" s="28"/>
      <c r="I474" s="28"/>
      <c r="J474" s="28"/>
      <c r="K474" s="28"/>
      <c r="L474" s="28"/>
      <c r="M474" s="28"/>
      <c r="N474" s="28"/>
      <c r="O474" s="28"/>
    </row>
    <row r="475" spans="1:26" ht="15">
      <c r="A475" s="32" t="s">
        <v>2776</v>
      </c>
      <c r="B475" s="32">
        <v>2</v>
      </c>
      <c r="C475" s="82">
        <v>0</v>
      </c>
      <c r="D475" s="83" t="s">
        <v>625</v>
      </c>
      <c r="E475" s="73" t="s">
        <v>2777</v>
      </c>
      <c r="F475" s="32">
        <v>7707274721107</v>
      </c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s="29" customFormat="1">
      <c r="B476" s="88"/>
      <c r="C476" s="88"/>
      <c r="D476" s="88"/>
    </row>
    <row r="477" spans="1:26">
      <c r="A477" t="s">
        <v>284</v>
      </c>
      <c r="B477" s="39">
        <v>4</v>
      </c>
      <c r="C477" s="39">
        <v>0</v>
      </c>
      <c r="D477" s="39" t="s">
        <v>527</v>
      </c>
      <c r="E477" t="s">
        <v>286</v>
      </c>
      <c r="F477">
        <v>7702605106523</v>
      </c>
    </row>
    <row r="478" spans="1:26">
      <c r="A478" s="24" t="s">
        <v>2962</v>
      </c>
      <c r="B478" s="28">
        <v>3</v>
      </c>
      <c r="C478" s="192">
        <v>0</v>
      </c>
      <c r="D478" s="62" t="s">
        <v>276</v>
      </c>
      <c r="E478" s="24" t="s">
        <v>326</v>
      </c>
      <c r="F478" s="28">
        <v>7361819980024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6">
      <c r="A479" s="24" t="s">
        <v>2962</v>
      </c>
      <c r="B479" s="28">
        <v>1</v>
      </c>
      <c r="C479" s="192">
        <v>0</v>
      </c>
      <c r="D479" s="62" t="s">
        <v>276</v>
      </c>
      <c r="E479" s="24" t="s">
        <v>326</v>
      </c>
      <c r="F479" s="28">
        <v>7361819980024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6">
      <c r="A480" s="28" t="s">
        <v>1949</v>
      </c>
      <c r="B480" s="28">
        <v>1</v>
      </c>
      <c r="C480" s="192">
        <v>0</v>
      </c>
      <c r="D480" s="193" t="s">
        <v>203</v>
      </c>
      <c r="E480" s="24" t="s">
        <v>95</v>
      </c>
      <c r="F480" s="63">
        <v>7703038050384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>
      <c r="A481" t="s">
        <v>825</v>
      </c>
      <c r="B481">
        <v>2</v>
      </c>
      <c r="C481" s="133">
        <v>0</v>
      </c>
      <c r="D481" s="23" t="s">
        <v>826</v>
      </c>
      <c r="E481" t="s">
        <v>827</v>
      </c>
      <c r="F481">
        <v>7703546402767</v>
      </c>
    </row>
    <row r="482" spans="1:26">
      <c r="A482" t="s">
        <v>825</v>
      </c>
      <c r="B482">
        <v>2</v>
      </c>
      <c r="C482" s="133">
        <v>0</v>
      </c>
      <c r="D482" s="23" t="s">
        <v>826</v>
      </c>
      <c r="E482" t="s">
        <v>827</v>
      </c>
      <c r="F482">
        <v>7703546402767</v>
      </c>
    </row>
    <row r="483" spans="1:26" s="29" customFormat="1">
      <c r="B483" s="88"/>
      <c r="C483" s="88"/>
      <c r="D483" s="88"/>
    </row>
    <row r="484" spans="1:26">
      <c r="A484" s="71" t="s">
        <v>6</v>
      </c>
      <c r="B484" s="14">
        <v>4</v>
      </c>
      <c r="C484" s="105">
        <v>0</v>
      </c>
      <c r="D484" s="137" t="s">
        <v>7</v>
      </c>
      <c r="E484" s="69" t="s">
        <v>8</v>
      </c>
      <c r="F484" s="61">
        <v>7703038067269</v>
      </c>
    </row>
    <row r="485" spans="1:26">
      <c r="A485" s="71" t="s">
        <v>2118</v>
      </c>
      <c r="B485" s="14">
        <v>10</v>
      </c>
      <c r="C485" s="105">
        <v>0</v>
      </c>
      <c r="D485" s="137" t="s">
        <v>519</v>
      </c>
      <c r="E485" s="69" t="s">
        <v>2119</v>
      </c>
      <c r="F485" s="71">
        <v>7703038060987</v>
      </c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</row>
    <row r="486" spans="1:26">
      <c r="A486" s="8" t="s">
        <v>778</v>
      </c>
      <c r="B486" s="30">
        <v>3</v>
      </c>
      <c r="C486" s="31">
        <v>0</v>
      </c>
      <c r="D486" s="98" t="s">
        <v>2963</v>
      </c>
      <c r="E486" s="8" t="s">
        <v>779</v>
      </c>
      <c r="F486" s="8">
        <v>7703038131663</v>
      </c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22" t="s">
        <v>1800</v>
      </c>
      <c r="B487" s="39">
        <v>2</v>
      </c>
      <c r="C487" s="40">
        <v>0</v>
      </c>
      <c r="D487" s="57" t="s">
        <v>91</v>
      </c>
      <c r="E487" s="22" t="s">
        <v>1799</v>
      </c>
      <c r="F487" s="42">
        <v>7707172681107</v>
      </c>
    </row>
    <row r="488" spans="1:26">
      <c r="A488" s="22" t="s">
        <v>1802</v>
      </c>
      <c r="B488" s="39">
        <v>2</v>
      </c>
      <c r="C488" s="40">
        <v>0</v>
      </c>
      <c r="D488" s="57" t="s">
        <v>91</v>
      </c>
      <c r="E488" s="22" t="s">
        <v>1799</v>
      </c>
      <c r="F488" s="42">
        <v>7707172681183</v>
      </c>
    </row>
    <row r="489" spans="1:26">
      <c r="A489" s="7" t="s">
        <v>1803</v>
      </c>
      <c r="B489" s="8">
        <v>2</v>
      </c>
      <c r="C489" s="9">
        <v>0</v>
      </c>
      <c r="D489" s="10" t="s">
        <v>112</v>
      </c>
      <c r="E489" s="7" t="s">
        <v>1799</v>
      </c>
      <c r="F489" s="8">
        <v>7707172681114</v>
      </c>
    </row>
    <row r="490" spans="1:26">
      <c r="A490" s="7" t="s">
        <v>1804</v>
      </c>
      <c r="B490" s="28">
        <v>2</v>
      </c>
      <c r="C490" s="31">
        <v>0</v>
      </c>
      <c r="D490" s="99" t="s">
        <v>112</v>
      </c>
      <c r="E490" s="7" t="s">
        <v>1805</v>
      </c>
      <c r="F490" s="142">
        <v>7707172681190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6">
      <c r="A491" s="24" t="s">
        <v>2962</v>
      </c>
      <c r="B491" s="28">
        <v>3</v>
      </c>
      <c r="C491" s="192">
        <v>0</v>
      </c>
      <c r="D491" s="62" t="s">
        <v>276</v>
      </c>
      <c r="E491" s="24" t="s">
        <v>326</v>
      </c>
      <c r="F491" s="28">
        <v>7361819980024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6">
      <c r="A492" s="24" t="s">
        <v>2962</v>
      </c>
      <c r="B492" s="28">
        <v>1</v>
      </c>
      <c r="C492" s="192">
        <v>0</v>
      </c>
      <c r="D492" s="62" t="s">
        <v>276</v>
      </c>
      <c r="E492" s="24" t="s">
        <v>326</v>
      </c>
      <c r="F492" s="28">
        <v>7361819980024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6">
      <c r="A493" s="146" t="s">
        <v>2058</v>
      </c>
      <c r="B493" s="147">
        <v>6</v>
      </c>
      <c r="C493" s="147">
        <v>0</v>
      </c>
      <c r="D493" s="149" t="s">
        <v>103</v>
      </c>
      <c r="E493" s="159" t="s">
        <v>1519</v>
      </c>
      <c r="F493" s="169">
        <v>7702605102327</v>
      </c>
    </row>
    <row r="494" spans="1:26">
      <c r="A494" s="141" t="s">
        <v>2964</v>
      </c>
      <c r="B494" s="141">
        <v>1</v>
      </c>
      <c r="C494" s="9">
        <v>0</v>
      </c>
      <c r="D494" s="9" t="s">
        <v>318</v>
      </c>
      <c r="E494" s="146" t="s">
        <v>2965</v>
      </c>
      <c r="F494">
        <v>7709121661475</v>
      </c>
    </row>
    <row r="495" spans="1:26" s="29" customFormat="1">
      <c r="B495" s="88"/>
      <c r="C495" s="88"/>
      <c r="D495" s="88"/>
    </row>
    <row r="496" spans="1:26" ht="15">
      <c r="A496" s="53" t="s">
        <v>193</v>
      </c>
      <c r="B496" s="53">
        <v>6</v>
      </c>
      <c r="C496" s="122">
        <v>0</v>
      </c>
      <c r="D496" s="153" t="s">
        <v>10</v>
      </c>
      <c r="E496" s="56" t="s">
        <v>194</v>
      </c>
      <c r="F496" s="53">
        <v>7707035510513</v>
      </c>
      <c r="G496" s="53"/>
      <c r="H496" s="53"/>
      <c r="I496" s="53"/>
      <c r="J496" s="53"/>
      <c r="K496" s="53"/>
      <c r="L496" s="53"/>
      <c r="M496" s="53"/>
      <c r="N496" s="53"/>
      <c r="O496" s="53"/>
    </row>
    <row r="497" spans="1:26" ht="29.25">
      <c r="A497" s="22" t="s">
        <v>2966</v>
      </c>
      <c r="B497">
        <v>2</v>
      </c>
      <c r="C497" s="133">
        <v>0.19</v>
      </c>
      <c r="D497" s="183" t="s">
        <v>91</v>
      </c>
      <c r="E497" s="22" t="s">
        <v>2967</v>
      </c>
      <c r="F497">
        <v>7702057707750</v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">
      <c r="A498" s="24" t="s">
        <v>1722</v>
      </c>
      <c r="B498" s="8">
        <v>8</v>
      </c>
      <c r="C498" s="209">
        <v>0</v>
      </c>
      <c r="D498" s="210" t="s">
        <v>7</v>
      </c>
      <c r="E498" s="8" t="s">
        <v>1723</v>
      </c>
      <c r="F498" s="28">
        <v>7709923870556</v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19"/>
    </row>
    <row r="499" spans="1:26" ht="28.5">
      <c r="A499" s="24" t="s">
        <v>1964</v>
      </c>
      <c r="B499" s="8">
        <v>2</v>
      </c>
      <c r="C499" s="40">
        <v>0</v>
      </c>
      <c r="D499" s="94" t="s">
        <v>1080</v>
      </c>
      <c r="E499" s="24" t="s">
        <v>1965</v>
      </c>
      <c r="F499" s="28">
        <v>7706142707106</v>
      </c>
      <c r="G499" s="28"/>
    </row>
    <row r="500" spans="1:26" ht="28.5">
      <c r="A500" s="24" t="s">
        <v>1239</v>
      </c>
      <c r="B500" s="30">
        <v>1</v>
      </c>
      <c r="C500" s="30">
        <v>0</v>
      </c>
      <c r="D500" s="30" t="s">
        <v>1240</v>
      </c>
      <c r="E500" s="24" t="s">
        <v>1241</v>
      </c>
      <c r="F500" s="63">
        <v>7706142707113</v>
      </c>
    </row>
    <row r="501" spans="1:26" ht="28.5">
      <c r="A501" s="13" t="s">
        <v>1966</v>
      </c>
      <c r="B501" s="121">
        <v>1</v>
      </c>
      <c r="C501" s="121">
        <v>0</v>
      </c>
      <c r="D501" s="121" t="s">
        <v>2342</v>
      </c>
      <c r="E501" s="13" t="s">
        <v>1967</v>
      </c>
      <c r="F501" s="211">
        <v>7706142707137</v>
      </c>
      <c r="G501" s="28"/>
    </row>
    <row r="502" spans="1:26">
      <c r="A502" s="24" t="s">
        <v>552</v>
      </c>
      <c r="B502" s="30">
        <v>1</v>
      </c>
      <c r="C502" s="31">
        <v>0.19</v>
      </c>
      <c r="D502" s="98" t="s">
        <v>2968</v>
      </c>
      <c r="E502" s="8" t="s">
        <v>554</v>
      </c>
      <c r="F502" s="28">
        <v>7703286109506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28.5">
      <c r="A503" s="146" t="s">
        <v>1882</v>
      </c>
      <c r="B503" s="150">
        <v>4</v>
      </c>
      <c r="C503" s="286">
        <v>0</v>
      </c>
      <c r="D503" s="287" t="s">
        <v>250</v>
      </c>
      <c r="E503" s="146" t="s">
        <v>1883</v>
      </c>
      <c r="F503" s="146">
        <v>7705366103022</v>
      </c>
    </row>
    <row r="504" spans="1:26" ht="28.5">
      <c r="A504" s="69" t="s">
        <v>788</v>
      </c>
      <c r="B504" s="14">
        <v>3</v>
      </c>
      <c r="C504" s="174">
        <v>0</v>
      </c>
      <c r="D504" s="137" t="s">
        <v>519</v>
      </c>
      <c r="E504" s="13" t="s">
        <v>789</v>
      </c>
      <c r="F504" s="61">
        <v>7705366102063</v>
      </c>
    </row>
    <row r="505" spans="1:26" ht="28.5">
      <c r="A505" s="69" t="s">
        <v>79</v>
      </c>
      <c r="B505" s="14">
        <v>15</v>
      </c>
      <c r="C505" s="136">
        <v>0</v>
      </c>
      <c r="D505" s="136" t="s">
        <v>80</v>
      </c>
      <c r="E505" s="13" t="s">
        <v>81</v>
      </c>
      <c r="F505" s="61">
        <v>7705366100014</v>
      </c>
    </row>
    <row r="506" spans="1:26" ht="15">
      <c r="A506" s="16" t="s">
        <v>2616</v>
      </c>
      <c r="B506" s="17">
        <v>6</v>
      </c>
      <c r="C506" s="124">
        <v>0</v>
      </c>
      <c r="D506" s="17" t="s">
        <v>80</v>
      </c>
      <c r="E506" s="16" t="s">
        <v>975</v>
      </c>
      <c r="F506" s="18">
        <v>7705366100021</v>
      </c>
      <c r="G506" s="28"/>
    </row>
    <row r="507" spans="1:26">
      <c r="A507" t="s">
        <v>2969</v>
      </c>
      <c r="B507">
        <v>2</v>
      </c>
      <c r="C507" s="133">
        <v>0</v>
      </c>
      <c r="D507" s="172" t="s">
        <v>91</v>
      </c>
      <c r="E507" t="s">
        <v>2970</v>
      </c>
      <c r="F507">
        <v>77014535</v>
      </c>
    </row>
    <row r="508" spans="1:26" ht="28.5">
      <c r="A508" s="13" t="s">
        <v>418</v>
      </c>
      <c r="B508" s="12">
        <v>5</v>
      </c>
      <c r="C508" s="59">
        <v>0</v>
      </c>
      <c r="D508" s="111" t="s">
        <v>118</v>
      </c>
      <c r="E508" s="13" t="s">
        <v>419</v>
      </c>
      <c r="F508" s="12">
        <v>7703712035485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s="29" customFormat="1">
      <c r="B509" s="88"/>
      <c r="C509" s="88"/>
      <c r="D509" s="88"/>
    </row>
    <row r="510" spans="1:26" s="29" customFormat="1" ht="28.5">
      <c r="A510" s="141" t="s">
        <v>1190</v>
      </c>
      <c r="B510" s="141">
        <v>1</v>
      </c>
      <c r="C510" s="236">
        <v>0</v>
      </c>
      <c r="D510" s="237" t="s">
        <v>2971</v>
      </c>
      <c r="E510" s="146" t="s">
        <v>1192</v>
      </c>
      <c r="F510" s="141">
        <v>7702207161166</v>
      </c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</row>
    <row r="511" spans="1:26" ht="15">
      <c r="A511" s="28" t="s">
        <v>478</v>
      </c>
      <c r="B511" s="28">
        <v>8</v>
      </c>
      <c r="C511" s="192">
        <v>0</v>
      </c>
      <c r="D511" s="30" t="s">
        <v>109</v>
      </c>
      <c r="E511" s="8" t="s">
        <v>479</v>
      </c>
      <c r="F511" s="28">
        <v>7708937097874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19"/>
    </row>
    <row r="512" spans="1:26" ht="28.5">
      <c r="A512" t="s">
        <v>2972</v>
      </c>
      <c r="B512" s="39">
        <v>1</v>
      </c>
      <c r="C512" s="39">
        <v>0</v>
      </c>
      <c r="D512" s="39" t="s">
        <v>1708</v>
      </c>
      <c r="E512" s="22" t="s">
        <v>2973</v>
      </c>
      <c r="F512">
        <v>7709718381243</v>
      </c>
    </row>
    <row r="513" spans="1:26">
      <c r="A513" t="s">
        <v>2974</v>
      </c>
      <c r="B513" s="39">
        <v>3</v>
      </c>
      <c r="C513" s="39">
        <v>0</v>
      </c>
      <c r="D513" s="39" t="s">
        <v>276</v>
      </c>
      <c r="E513" t="s">
        <v>2975</v>
      </c>
      <c r="F513">
        <v>7708904981441</v>
      </c>
    </row>
    <row r="514" spans="1:26">
      <c r="A514" s="24" t="s">
        <v>2976</v>
      </c>
      <c r="B514" s="8">
        <v>1</v>
      </c>
      <c r="C514" s="9">
        <v>0</v>
      </c>
      <c r="D514" s="203" t="s">
        <v>85</v>
      </c>
      <c r="E514" s="28" t="s">
        <v>2977</v>
      </c>
      <c r="F514" s="28">
        <v>7703038067290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 spans="1:26">
      <c r="A515" s="24" t="s">
        <v>2976</v>
      </c>
      <c r="B515" s="8">
        <v>3</v>
      </c>
      <c r="C515" s="9">
        <v>0</v>
      </c>
      <c r="D515" s="203" t="s">
        <v>85</v>
      </c>
      <c r="E515" s="28" t="s">
        <v>2977</v>
      </c>
      <c r="F515" s="28">
        <v>7703038067290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 spans="1:26">
      <c r="A516" s="13" t="s">
        <v>252</v>
      </c>
      <c r="B516" s="12">
        <v>1</v>
      </c>
      <c r="C516" s="12">
        <v>0</v>
      </c>
      <c r="D516" s="12" t="s">
        <v>293</v>
      </c>
      <c r="E516" s="12" t="s">
        <v>253</v>
      </c>
      <c r="F516" s="12">
        <v>7702057013585</v>
      </c>
    </row>
    <row r="517" spans="1:26">
      <c r="A517" s="64" t="s">
        <v>1950</v>
      </c>
      <c r="B517" s="102">
        <v>4</v>
      </c>
      <c r="C517" s="205">
        <v>0</v>
      </c>
      <c r="D517" s="125" t="s">
        <v>1951</v>
      </c>
      <c r="E517" s="64" t="s">
        <v>1952</v>
      </c>
      <c r="F517" s="68">
        <v>7702195051814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3"/>
    </row>
    <row r="518" spans="1:26">
      <c r="A518" t="s">
        <v>2978</v>
      </c>
      <c r="B518" s="147">
        <v>5</v>
      </c>
      <c r="C518" s="288">
        <v>0</v>
      </c>
      <c r="D518" s="147" t="s">
        <v>227</v>
      </c>
      <c r="E518" t="s">
        <v>2793</v>
      </c>
      <c r="F518">
        <v>8904159679969</v>
      </c>
    </row>
    <row r="519" spans="1:26">
      <c r="A519" s="69" t="s">
        <v>155</v>
      </c>
      <c r="B519" s="12">
        <v>1</v>
      </c>
      <c r="C519" s="59">
        <v>0</v>
      </c>
      <c r="D519" s="111" t="s">
        <v>156</v>
      </c>
      <c r="E519" s="121" t="s">
        <v>54</v>
      </c>
      <c r="F519" s="211">
        <v>7703038066606</v>
      </c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>
      <c r="A520" s="24" t="s">
        <v>678</v>
      </c>
      <c r="B520" s="30">
        <v>4</v>
      </c>
      <c r="C520" s="31">
        <v>0</v>
      </c>
      <c r="D520" s="30" t="s">
        <v>10</v>
      </c>
      <c r="E520" s="8" t="s">
        <v>679</v>
      </c>
      <c r="F520" s="28">
        <v>7705137100113</v>
      </c>
    </row>
    <row r="521" spans="1:26" s="29" customFormat="1">
      <c r="B521" s="88"/>
      <c r="C521" s="88"/>
      <c r="D521" s="88"/>
    </row>
    <row r="522" spans="1:26" ht="15">
      <c r="A522" s="19" t="s">
        <v>345</v>
      </c>
      <c r="B522" s="19">
        <v>35</v>
      </c>
      <c r="C522" s="19">
        <v>0</v>
      </c>
      <c r="D522" s="19" t="s">
        <v>74</v>
      </c>
      <c r="E522" s="43" t="s">
        <v>346</v>
      </c>
      <c r="F522" s="19">
        <v>7707996059205</v>
      </c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s="29" customFormat="1" ht="15">
      <c r="A523" s="189"/>
      <c r="B523" s="189"/>
      <c r="C523" s="189"/>
      <c r="D523" s="189"/>
      <c r="E523" s="2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 spans="1:26">
      <c r="A524" s="24" t="s">
        <v>1931</v>
      </c>
      <c r="B524">
        <v>9</v>
      </c>
      <c r="C524" s="128">
        <v>0</v>
      </c>
      <c r="D524" s="254" t="s">
        <v>80</v>
      </c>
      <c r="E524" s="8" t="s">
        <v>1723</v>
      </c>
      <c r="F524" s="28">
        <v>7709923870570</v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 spans="1:26">
      <c r="A525" s="24" t="s">
        <v>1663</v>
      </c>
      <c r="B525" s="28">
        <v>2</v>
      </c>
      <c r="C525" s="192">
        <v>0</v>
      </c>
      <c r="D525" s="98" t="s">
        <v>109</v>
      </c>
      <c r="E525" s="28" t="s">
        <v>1286</v>
      </c>
      <c r="F525" s="28">
        <v>7703038668015</v>
      </c>
    </row>
    <row r="526" spans="1:26">
      <c r="A526" s="24" t="s">
        <v>2090</v>
      </c>
      <c r="B526" s="28">
        <v>3</v>
      </c>
      <c r="C526" s="192">
        <v>0</v>
      </c>
      <c r="D526" s="193" t="s">
        <v>676</v>
      </c>
      <c r="E526" s="24" t="s">
        <v>2091</v>
      </c>
      <c r="F526" s="28">
        <v>7707210530046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s="29" customFormat="1">
      <c r="B527" s="88"/>
      <c r="C527" s="88"/>
      <c r="D527" s="88"/>
    </row>
    <row r="528" spans="1:26">
      <c r="A528" t="s">
        <v>924</v>
      </c>
      <c r="B528" s="39">
        <v>1</v>
      </c>
      <c r="C528" s="40">
        <v>0.19</v>
      </c>
      <c r="D528" s="39" t="s">
        <v>32</v>
      </c>
      <c r="E528" t="s">
        <v>925</v>
      </c>
      <c r="F528">
        <v>7891010031046</v>
      </c>
    </row>
    <row r="529" spans="1:26">
      <c r="A529" t="s">
        <v>2979</v>
      </c>
      <c r="B529" s="39">
        <v>2</v>
      </c>
      <c r="C529" s="40">
        <v>0.19</v>
      </c>
      <c r="D529" s="39" t="s">
        <v>80</v>
      </c>
      <c r="E529" t="s">
        <v>925</v>
      </c>
      <c r="F529">
        <v>7891010031046</v>
      </c>
    </row>
    <row r="530" spans="1:26">
      <c r="A530" s="13" t="s">
        <v>2161</v>
      </c>
      <c r="B530" s="14">
        <v>2</v>
      </c>
      <c r="C530" s="105">
        <v>0</v>
      </c>
      <c r="D530" s="137" t="s">
        <v>527</v>
      </c>
      <c r="E530" s="13" t="s">
        <v>431</v>
      </c>
      <c r="F530" s="12">
        <v>7703038067511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 spans="1:26">
      <c r="A531" t="s">
        <v>775</v>
      </c>
      <c r="B531" s="39">
        <v>1</v>
      </c>
      <c r="C531" s="40">
        <v>0</v>
      </c>
      <c r="D531" s="39" t="s">
        <v>1309</v>
      </c>
      <c r="E531" t="s">
        <v>776</v>
      </c>
      <c r="F531">
        <v>7703038862031</v>
      </c>
    </row>
    <row r="532" spans="1:26" ht="28.5">
      <c r="A532" s="64" t="s">
        <v>1597</v>
      </c>
      <c r="B532" s="102">
        <v>1</v>
      </c>
      <c r="C532" s="101">
        <v>0</v>
      </c>
      <c r="D532" s="125" t="s">
        <v>1366</v>
      </c>
      <c r="E532" s="64" t="s">
        <v>1599</v>
      </c>
      <c r="F532" s="68">
        <v>7706849110865</v>
      </c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23"/>
    </row>
    <row r="533" spans="1:26" ht="28.5">
      <c r="A533" s="13" t="s">
        <v>1600</v>
      </c>
      <c r="B533" s="14">
        <v>1</v>
      </c>
      <c r="C533" s="105">
        <v>0</v>
      </c>
      <c r="D533" s="105" t="s">
        <v>241</v>
      </c>
      <c r="E533" s="13" t="s">
        <v>1601</v>
      </c>
      <c r="F533" s="61">
        <v>7706849110889</v>
      </c>
      <c r="G533" s="12"/>
    </row>
    <row r="534" spans="1:26">
      <c r="A534" s="24" t="s">
        <v>1383</v>
      </c>
      <c r="B534" s="30">
        <v>2</v>
      </c>
      <c r="C534" s="31">
        <v>0</v>
      </c>
      <c r="D534" s="98" t="s">
        <v>56</v>
      </c>
      <c r="E534" s="7" t="s">
        <v>1385</v>
      </c>
      <c r="F534" s="129">
        <v>7704412000186</v>
      </c>
    </row>
    <row r="535" spans="1:26" s="29" customFormat="1">
      <c r="B535" s="88"/>
      <c r="C535" s="88"/>
      <c r="D535" s="88"/>
    </row>
    <row r="536" spans="1:26" ht="28.5">
      <c r="A536" t="s">
        <v>2980</v>
      </c>
      <c r="B536" s="39">
        <v>1</v>
      </c>
      <c r="C536" s="39">
        <v>0</v>
      </c>
      <c r="D536" s="39" t="s">
        <v>808</v>
      </c>
      <c r="E536" s="22" t="s">
        <v>2981</v>
      </c>
      <c r="F536">
        <v>7702057708962</v>
      </c>
    </row>
    <row r="537" spans="1:26">
      <c r="A537" t="s">
        <v>292</v>
      </c>
      <c r="B537">
        <v>1</v>
      </c>
      <c r="C537" s="133">
        <v>0</v>
      </c>
      <c r="D537" s="134" t="s">
        <v>250</v>
      </c>
      <c r="E537" t="s">
        <v>294</v>
      </c>
      <c r="F537">
        <v>7705959885434</v>
      </c>
    </row>
    <row r="538" spans="1:26" ht="15">
      <c r="A538" s="16" t="s">
        <v>2539</v>
      </c>
      <c r="B538" s="73">
        <v>1</v>
      </c>
      <c r="C538" s="290">
        <v>0.19</v>
      </c>
      <c r="D538" s="291" t="s">
        <v>1450</v>
      </c>
      <c r="E538" s="35" t="s">
        <v>2540</v>
      </c>
      <c r="F538" s="110">
        <v>36600813719</v>
      </c>
    </row>
    <row r="539" spans="1:26" ht="15">
      <c r="A539" s="16" t="s">
        <v>2541</v>
      </c>
      <c r="B539" s="73">
        <v>1</v>
      </c>
      <c r="C539" s="290">
        <v>0.19</v>
      </c>
      <c r="D539" s="291" t="s">
        <v>1450</v>
      </c>
      <c r="E539" s="35" t="s">
        <v>2540</v>
      </c>
      <c r="F539" s="110">
        <v>36600814013</v>
      </c>
    </row>
    <row r="540" spans="1:26" ht="15">
      <c r="A540" s="16" t="s">
        <v>2982</v>
      </c>
      <c r="B540" s="73">
        <v>1</v>
      </c>
      <c r="C540" s="290">
        <v>0.19</v>
      </c>
      <c r="D540" s="291" t="s">
        <v>1450</v>
      </c>
      <c r="E540" s="35" t="s">
        <v>2540</v>
      </c>
      <c r="F540" s="110">
        <v>36600814617</v>
      </c>
    </row>
    <row r="541" spans="1:26" ht="28.5">
      <c r="A541" s="13" t="s">
        <v>1976</v>
      </c>
      <c r="B541" s="14">
        <v>1</v>
      </c>
      <c r="C541" s="290">
        <v>0.19</v>
      </c>
      <c r="D541" s="17" t="s">
        <v>1366</v>
      </c>
      <c r="E541" s="13" t="s">
        <v>1525</v>
      </c>
      <c r="F541" s="12">
        <v>7702132002633</v>
      </c>
    </row>
    <row r="542" spans="1:26" ht="15">
      <c r="A542" s="16" t="s">
        <v>2983</v>
      </c>
      <c r="B542" s="73">
        <v>1</v>
      </c>
      <c r="C542" s="290">
        <v>0.19</v>
      </c>
      <c r="D542" s="291" t="s">
        <v>74</v>
      </c>
      <c r="E542" s="35" t="s">
        <v>2540</v>
      </c>
      <c r="F542" s="110">
        <v>7702132009458</v>
      </c>
    </row>
    <row r="543" spans="1:26" ht="28.5">
      <c r="A543" s="13" t="s">
        <v>1524</v>
      </c>
      <c r="B543" s="12">
        <v>1</v>
      </c>
      <c r="C543" s="290">
        <v>0.19</v>
      </c>
      <c r="D543" s="291" t="s">
        <v>74</v>
      </c>
      <c r="E543" s="13" t="s">
        <v>1525</v>
      </c>
      <c r="F543" s="12">
        <v>7702132004606</v>
      </c>
    </row>
    <row r="544" spans="1:26">
      <c r="A544" s="8" t="s">
        <v>2844</v>
      </c>
      <c r="B544" s="30">
        <v>1</v>
      </c>
      <c r="C544" s="128">
        <v>0</v>
      </c>
      <c r="D544" s="220" t="s">
        <v>888</v>
      </c>
      <c r="E544" s="7" t="s">
        <v>2845</v>
      </c>
      <c r="F544" s="8">
        <v>7702195104572</v>
      </c>
    </row>
    <row r="545" spans="1:26">
      <c r="A545" s="24" t="s">
        <v>2976</v>
      </c>
      <c r="B545" s="28">
        <v>3</v>
      </c>
      <c r="C545" s="192">
        <v>0</v>
      </c>
      <c r="D545" s="193" t="s">
        <v>91</v>
      </c>
      <c r="E545" s="28" t="s">
        <v>2977</v>
      </c>
      <c r="F545" s="28">
        <v>7703038067320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>
      <c r="A546" s="24" t="s">
        <v>2976</v>
      </c>
      <c r="B546" s="28">
        <v>1</v>
      </c>
      <c r="C546" s="192">
        <v>0</v>
      </c>
      <c r="D546" s="193" t="s">
        <v>91</v>
      </c>
      <c r="E546" s="28" t="s">
        <v>2977</v>
      </c>
      <c r="F546" s="28">
        <v>7703038067320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>
      <c r="A547" s="64" t="s">
        <v>224</v>
      </c>
      <c r="B547" s="102">
        <v>1</v>
      </c>
      <c r="C547" s="101">
        <v>0</v>
      </c>
      <c r="D547" s="125" t="s">
        <v>59</v>
      </c>
      <c r="E547" s="64" t="s">
        <v>225</v>
      </c>
      <c r="F547" s="68">
        <v>7703038067092</v>
      </c>
    </row>
    <row r="548" spans="1:26" ht="15">
      <c r="A548" s="45" t="s">
        <v>2984</v>
      </c>
      <c r="B548" s="37">
        <v>1</v>
      </c>
      <c r="C548" s="177">
        <v>0.19</v>
      </c>
      <c r="D548" s="292" t="s">
        <v>1429</v>
      </c>
      <c r="E548" s="21" t="s">
        <v>928</v>
      </c>
      <c r="F548" s="21">
        <v>7702027479625</v>
      </c>
      <c r="G548" s="21"/>
      <c r="H548" s="21"/>
      <c r="I548" s="21"/>
      <c r="J548" s="21"/>
      <c r="K548" s="21"/>
      <c r="L548" s="21"/>
      <c r="M548" s="21"/>
      <c r="N548" s="21"/>
      <c r="O548" s="21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6">
      <c r="A549" s="24" t="s">
        <v>2327</v>
      </c>
      <c r="B549" s="28">
        <v>1</v>
      </c>
      <c r="C549" s="31">
        <v>0.19</v>
      </c>
      <c r="D549" s="30" t="s">
        <v>2985</v>
      </c>
      <c r="E549" s="28" t="s">
        <v>2328</v>
      </c>
      <c r="F549" s="28">
        <v>7702027479632</v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 spans="1:26" s="29" customFormat="1">
      <c r="B550" s="88"/>
      <c r="C550" s="88"/>
      <c r="D550" s="88"/>
    </row>
    <row r="551" spans="1:26">
      <c r="A551" t="s">
        <v>1246</v>
      </c>
      <c r="B551">
        <v>2</v>
      </c>
      <c r="C551" s="140">
        <v>0</v>
      </c>
      <c r="D551" s="23" t="s">
        <v>203</v>
      </c>
      <c r="E551" t="s">
        <v>921</v>
      </c>
      <c r="F551">
        <v>6921875009230</v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13" t="s">
        <v>2723</v>
      </c>
      <c r="B552" s="14">
        <v>1</v>
      </c>
      <c r="C552" s="174">
        <v>0</v>
      </c>
      <c r="D552" s="14" t="s">
        <v>262</v>
      </c>
      <c r="E552" s="13" t="s">
        <v>263</v>
      </c>
      <c r="F552" s="15">
        <v>7702195072093</v>
      </c>
    </row>
    <row r="553" spans="1:26">
      <c r="A553" s="64" t="s">
        <v>1607</v>
      </c>
      <c r="B553" s="102">
        <v>6</v>
      </c>
      <c r="C553" s="101">
        <v>0</v>
      </c>
      <c r="D553" s="125" t="s">
        <v>408</v>
      </c>
      <c r="E553" s="64" t="s">
        <v>1519</v>
      </c>
      <c r="F553" s="68">
        <v>7707274722715</v>
      </c>
    </row>
    <row r="554" spans="1:26">
      <c r="A554" s="64" t="s">
        <v>1607</v>
      </c>
      <c r="B554" s="102">
        <v>1</v>
      </c>
      <c r="C554" s="101">
        <v>0</v>
      </c>
      <c r="D554" s="125" t="s">
        <v>408</v>
      </c>
      <c r="E554" s="64" t="s">
        <v>1519</v>
      </c>
      <c r="F554" s="68">
        <v>7707274722715</v>
      </c>
    </row>
    <row r="555" spans="1:26">
      <c r="A555" s="22" t="s">
        <v>593</v>
      </c>
      <c r="B555">
        <v>4</v>
      </c>
      <c r="C555" s="133">
        <v>0</v>
      </c>
      <c r="D555" s="183" t="s">
        <v>85</v>
      </c>
      <c r="E555" s="22" t="s">
        <v>594</v>
      </c>
      <c r="F555">
        <v>7709930569436</v>
      </c>
    </row>
    <row r="556" spans="1:26" s="29" customFormat="1">
      <c r="B556" s="88"/>
      <c r="C556" s="88"/>
      <c r="D556" s="88"/>
    </row>
    <row r="557" spans="1:26">
      <c r="A557" s="8" t="s">
        <v>2986</v>
      </c>
      <c r="B557" s="8">
        <v>3</v>
      </c>
      <c r="C557" s="167">
        <v>0</v>
      </c>
      <c r="D557" s="203" t="s">
        <v>88</v>
      </c>
      <c r="E557" s="8" t="s">
        <v>2987</v>
      </c>
      <c r="F557" s="8">
        <v>7612797196953</v>
      </c>
    </row>
    <row r="558" spans="1:26" s="29" customFormat="1">
      <c r="B558" s="88"/>
      <c r="C558" s="88"/>
      <c r="D558" s="88"/>
    </row>
    <row r="559" spans="1:26" ht="15">
      <c r="A559" s="56" t="s">
        <v>1916</v>
      </c>
      <c r="B559" s="153">
        <v>1</v>
      </c>
      <c r="C559" s="293">
        <v>0.19</v>
      </c>
      <c r="D559" s="225" t="s">
        <v>358</v>
      </c>
      <c r="E559" s="56" t="s">
        <v>1917</v>
      </c>
      <c r="F559" s="53">
        <v>7709990750942</v>
      </c>
      <c r="G559" s="53"/>
      <c r="H559" s="53"/>
      <c r="I559" s="53"/>
      <c r="J559" s="53"/>
      <c r="K559" s="53"/>
      <c r="L559" s="53"/>
      <c r="M559" s="53"/>
      <c r="N559" s="53"/>
      <c r="O559" s="53"/>
      <c r="P559" s="53"/>
    </row>
    <row r="560" spans="1:26" ht="28.5">
      <c r="A560" t="s">
        <v>2988</v>
      </c>
      <c r="B560" s="39">
        <v>2</v>
      </c>
      <c r="C560" s="39">
        <v>0</v>
      </c>
      <c r="D560" s="39" t="s">
        <v>91</v>
      </c>
      <c r="E560" s="22" t="s">
        <v>1870</v>
      </c>
      <c r="F560">
        <v>6141434296370</v>
      </c>
    </row>
    <row r="561" spans="1:6" s="29" customFormat="1">
      <c r="B561" s="88"/>
      <c r="C561" s="88"/>
      <c r="D561" s="88"/>
    </row>
    <row r="562" spans="1:6">
      <c r="A562" t="s">
        <v>2750</v>
      </c>
      <c r="B562">
        <v>20</v>
      </c>
      <c r="C562">
        <v>0</v>
      </c>
      <c r="D562" s="134" t="s">
        <v>2751</v>
      </c>
      <c r="E562" s="22" t="s">
        <v>2752</v>
      </c>
      <c r="F562">
        <v>7708304516267</v>
      </c>
    </row>
    <row r="563" spans="1:6" s="29" customFormat="1">
      <c r="B563" s="88"/>
      <c r="C563" s="88"/>
      <c r="D563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55"/>
  <sheetViews>
    <sheetView tabSelected="1" topLeftCell="D1" workbookViewId="0">
      <selection activeCell="F1340" sqref="F1340"/>
    </sheetView>
  </sheetViews>
  <sheetFormatPr baseColWidth="10" defaultRowHeight="14.25"/>
  <cols>
    <col min="1" max="1" width="100.125" customWidth="1"/>
    <col min="2" max="2" width="23.875" style="23" customWidth="1"/>
    <col min="3" max="3" width="11" style="23"/>
    <col min="4" max="4" width="13.875" style="446" bestFit="1" customWidth="1"/>
    <col min="5" max="5" width="71.625" style="39" customWidth="1"/>
    <col min="6" max="6" width="21.75" style="42" customWidth="1"/>
    <col min="8" max="8" width="15.625" customWidth="1"/>
    <col min="9" max="9" width="127.25" customWidth="1"/>
  </cols>
  <sheetData>
    <row r="1" spans="1:9">
      <c r="A1" s="1" t="s">
        <v>0</v>
      </c>
      <c r="B1" s="504" t="s">
        <v>1</v>
      </c>
      <c r="C1" s="508" t="s">
        <v>2</v>
      </c>
      <c r="D1" s="476" t="s">
        <v>3</v>
      </c>
      <c r="E1" s="78" t="s">
        <v>4</v>
      </c>
      <c r="F1" s="500" t="s">
        <v>5</v>
      </c>
      <c r="G1" t="s">
        <v>2989</v>
      </c>
      <c r="H1" t="s">
        <v>2990</v>
      </c>
      <c r="I1" t="s">
        <v>2992</v>
      </c>
    </row>
    <row r="2" spans="1:9">
      <c r="A2" s="7" t="s">
        <v>778</v>
      </c>
      <c r="B2" s="30">
        <v>1</v>
      </c>
      <c r="C2" s="31">
        <v>0</v>
      </c>
      <c r="D2" s="447" t="s">
        <v>238</v>
      </c>
      <c r="E2" s="8" t="s">
        <v>779</v>
      </c>
      <c r="F2" s="63">
        <v>7703038131663</v>
      </c>
      <c r="G2">
        <f>IFERROR(VALUE(SUBSTITUTE(LEFT(LOWER(D2),FIND("x",LOWER(D2))-1),",","")),VALUE(SUBSTITUTE(D2,",","")))</f>
        <v>6000</v>
      </c>
      <c r="H2">
        <f>IFERROR(VALUE(MID(LOWER(D2),FIND("x",LOWER(D2))+1,20)),1)</f>
        <v>3</v>
      </c>
      <c r="I2" t="str">
        <f>TRIM(A2)</f>
        <v>AZITROMICINA LAPROFF *60 TABLETAS</v>
      </c>
    </row>
    <row r="3" spans="1:9">
      <c r="A3" s="13" t="s">
        <v>2723</v>
      </c>
      <c r="B3" s="14">
        <v>1</v>
      </c>
      <c r="C3" s="174">
        <v>0</v>
      </c>
      <c r="D3" s="308" t="s">
        <v>2655</v>
      </c>
      <c r="E3" s="13" t="s">
        <v>263</v>
      </c>
      <c r="F3" s="61">
        <v>7702195072093</v>
      </c>
      <c r="G3">
        <f t="shared" ref="G3:G5" si="0">IFERROR(VALUE(SUBSTITUTE(LEFT(LOWER(D3),FIND("x",LOWER(D3))-1),",","")),VALUE(SUBSTITUTE(D3,",","")))</f>
        <v>7500</v>
      </c>
      <c r="H3">
        <f t="shared" ref="H3:H5" si="1">IFERROR(VALUE(MID(LOWER(D3),FIND("x",LOWER(D3))+1,20)),1)</f>
        <v>10</v>
      </c>
      <c r="I3" t="str">
        <f t="shared" ref="I3:I66" si="2">TRIM(A3)</f>
        <v>CEFALEXINA 500MG *250 CAPS RECIPHE</v>
      </c>
    </row>
    <row r="4" spans="1:9" ht="15">
      <c r="A4" s="16" t="s">
        <v>735</v>
      </c>
      <c r="B4" s="17">
        <v>1</v>
      </c>
      <c r="C4" s="509">
        <v>0</v>
      </c>
      <c r="D4" s="321" t="s">
        <v>80</v>
      </c>
      <c r="E4" s="73" t="s">
        <v>81</v>
      </c>
      <c r="F4" s="20">
        <v>7501125132056</v>
      </c>
      <c r="G4">
        <f t="shared" si="0"/>
        <v>6000</v>
      </c>
      <c r="H4">
        <f t="shared" si="1"/>
        <v>1</v>
      </c>
      <c r="I4" t="str">
        <f t="shared" si="2"/>
        <v>SUERO FISIOLÓGICO/ CLORURO SODIO PiSA 500ML/CC</v>
      </c>
    </row>
    <row r="5" spans="1:9">
      <c r="A5" s="22" t="s">
        <v>2174</v>
      </c>
      <c r="B5" s="23">
        <v>1</v>
      </c>
      <c r="C5" s="238">
        <v>0</v>
      </c>
      <c r="D5" s="446" t="s">
        <v>427</v>
      </c>
      <c r="E5" s="39" t="s">
        <v>2175</v>
      </c>
      <c r="F5" s="42">
        <v>7703712035980</v>
      </c>
      <c r="G5">
        <f t="shared" si="0"/>
        <v>2500</v>
      </c>
      <c r="H5">
        <f t="shared" si="1"/>
        <v>10</v>
      </c>
      <c r="I5" t="str">
        <f t="shared" si="2"/>
        <v>ENLAPRIL 20MG - MEDIBRAND X330 TABS</v>
      </c>
    </row>
    <row r="6" spans="1:9">
      <c r="A6" s="24" t="s">
        <v>524</v>
      </c>
      <c r="B6" s="25">
        <v>2</v>
      </c>
      <c r="C6" s="26">
        <v>0</v>
      </c>
      <c r="D6" s="305" t="s">
        <v>1356</v>
      </c>
      <c r="E6" s="7" t="s">
        <v>525</v>
      </c>
      <c r="F6" s="129">
        <v>7707336090585</v>
      </c>
      <c r="G6">
        <f t="shared" ref="G6:G8" si="3">IFERROR(VALUE(SUBSTITUTE(LEFT(LOWER(D6),FIND("x",LOWER(D6))-1),",","")),VALUE(SUBSTITUTE(D6,",","")))</f>
        <v>1500</v>
      </c>
      <c r="H6">
        <f t="shared" ref="H6:H8" si="4">IFERROR(VALUE(MID(LOWER(D6),FIND("x",LOWER(D6))+1,20)),1)</f>
        <v>1</v>
      </c>
      <c r="I6" t="str">
        <f t="shared" si="2"/>
        <v>GASA ESTERIL 10*10 ZIBOJECT X25 PACKS</v>
      </c>
    </row>
    <row r="7" spans="1:9">
      <c r="A7" s="8" t="s">
        <v>1771</v>
      </c>
      <c r="B7" s="30">
        <v>10</v>
      </c>
      <c r="C7" s="31">
        <v>0</v>
      </c>
      <c r="D7" s="447" t="s">
        <v>1772</v>
      </c>
      <c r="E7" s="8" t="s">
        <v>1773</v>
      </c>
      <c r="F7" s="63">
        <v>7702195079559</v>
      </c>
      <c r="G7">
        <f t="shared" si="3"/>
        <v>14000</v>
      </c>
      <c r="H7">
        <f t="shared" si="4"/>
        <v>8</v>
      </c>
      <c r="I7" t="str">
        <f t="shared" si="2"/>
        <v>CEFRADINA CAPS RECIPE X24 / BUSSIÉ</v>
      </c>
    </row>
    <row r="8" spans="1:9" ht="15">
      <c r="A8" s="32" t="s">
        <v>1850</v>
      </c>
      <c r="B8" s="17">
        <v>5</v>
      </c>
      <c r="C8" s="33">
        <v>0</v>
      </c>
      <c r="D8" s="477" t="s">
        <v>10</v>
      </c>
      <c r="E8" s="73" t="s">
        <v>1851</v>
      </c>
      <c r="F8" s="20">
        <v>7703038859246</v>
      </c>
      <c r="G8">
        <f t="shared" si="3"/>
        <v>8000</v>
      </c>
      <c r="H8">
        <f t="shared" si="4"/>
        <v>1</v>
      </c>
      <c r="I8" t="str">
        <f t="shared" si="2"/>
        <v>ACIDO FUSIDICO- LAPROFF CREMA</v>
      </c>
    </row>
    <row r="9" spans="1:9">
      <c r="A9" s="24" t="s">
        <v>1379</v>
      </c>
      <c r="B9" s="30">
        <v>2</v>
      </c>
      <c r="C9" s="31">
        <v>0</v>
      </c>
      <c r="D9" s="447" t="s">
        <v>1948</v>
      </c>
      <c r="E9" s="7" t="s">
        <v>1381</v>
      </c>
      <c r="F9" s="63">
        <v>7702123006817</v>
      </c>
      <c r="G9">
        <f>IFERROR(VALUE(SUBSTITUTE(LEFT(LOWER(D9),FIND("x",LOWER(D9))-1),",","")),VALUE(SUBSTITUTE(D9,",","")))</f>
        <v>15000</v>
      </c>
      <c r="H9">
        <f>IFERROR(VALUE(MID(LOWER(D9),FIND("x",LOWER(D9))+1,20)),1)</f>
        <v>28</v>
      </c>
      <c r="I9" t="str">
        <f t="shared" si="2"/>
        <v>ASPIRINA 100 MG X140 TABS- ACIDO ACETILSALICILICO 100MG</v>
      </c>
    </row>
    <row r="10" spans="1:9">
      <c r="A10" s="22" t="s">
        <v>1991</v>
      </c>
      <c r="B10" s="23">
        <v>4</v>
      </c>
      <c r="C10" s="51">
        <v>0</v>
      </c>
      <c r="D10" s="446">
        <v>13000</v>
      </c>
      <c r="E10" s="41" t="s">
        <v>1992</v>
      </c>
      <c r="F10" s="42">
        <v>7709990202717</v>
      </c>
      <c r="G10">
        <f>IFERROR(VALUE(SUBSTITUTE(LEFT(LOWER(D10),FIND("x",LOWER(D10))-1),",","")),VALUE(SUBSTITUTE(D10,",","")))</f>
        <v>13000</v>
      </c>
      <c r="H10">
        <f>IFERROR(VALUE(MID(LOWER(D10),FIND("x",LOWER(D10))+1,20)),1)</f>
        <v>1</v>
      </c>
      <c r="I10" t="str">
        <f t="shared" si="2"/>
        <v>BENLIC CREMA *20GR / BETAMETASONA + CLOTRIMAZOL + GENTAMICINA</v>
      </c>
    </row>
    <row r="11" spans="1:9" ht="15">
      <c r="A11" s="43" t="s">
        <v>512</v>
      </c>
      <c r="B11" s="36">
        <v>4</v>
      </c>
      <c r="C11" s="164">
        <v>0</v>
      </c>
      <c r="D11" s="378" t="s">
        <v>74</v>
      </c>
      <c r="E11" s="76" t="s">
        <v>513</v>
      </c>
      <c r="F11" s="46">
        <v>7709990202793</v>
      </c>
      <c r="G11">
        <f t="shared" ref="G11:G30" si="5">IFERROR(VALUE(SUBSTITUTE(LEFT(LOWER(D11),FIND("x",LOWER(D11))-1),",","")),VALUE(SUBSTITUTE(D11,",","")))</f>
        <v>20000</v>
      </c>
      <c r="H11">
        <f t="shared" ref="H11:H30" si="6">IFERROR(VALUE(MID(LOWER(D11),FIND("x",LOWER(D11))+1,20)),1)</f>
        <v>1</v>
      </c>
      <c r="I11" t="str">
        <f t="shared" si="2"/>
        <v>BENLIC CREMA X40GR / BETAMETASONA + CLOTRIMAZOL + GENTAMICINA</v>
      </c>
    </row>
    <row r="12" spans="1:9" ht="15">
      <c r="A12" s="47" t="s">
        <v>2478</v>
      </c>
      <c r="B12" s="409">
        <v>2</v>
      </c>
      <c r="C12" s="410">
        <v>0</v>
      </c>
      <c r="D12" s="474" t="s">
        <v>1040</v>
      </c>
      <c r="E12" s="92" t="s">
        <v>116</v>
      </c>
      <c r="F12" s="490">
        <v>7704412870383</v>
      </c>
      <c r="G12">
        <f t="shared" si="5"/>
        <v>13000</v>
      </c>
      <c r="H12">
        <f t="shared" si="6"/>
        <v>30</v>
      </c>
      <c r="I12" t="str">
        <f t="shared" si="2"/>
        <v>CARVEDILOL 12,5 - MEMPHIS X30 TABLETAS</v>
      </c>
    </row>
    <row r="13" spans="1:9">
      <c r="A13" t="s">
        <v>1638</v>
      </c>
      <c r="B13" s="23">
        <v>5</v>
      </c>
      <c r="C13" s="51">
        <v>0</v>
      </c>
      <c r="D13" s="446" t="s">
        <v>7</v>
      </c>
      <c r="E13" s="41" t="s">
        <v>1639</v>
      </c>
      <c r="F13" s="42">
        <v>7703038011903</v>
      </c>
      <c r="G13">
        <f t="shared" si="5"/>
        <v>7000</v>
      </c>
      <c r="H13">
        <f t="shared" si="6"/>
        <v>1</v>
      </c>
      <c r="I13" t="str">
        <f t="shared" si="2"/>
        <v>GUAYAPROFF- GUAYACOLATO</v>
      </c>
    </row>
    <row r="14" spans="1:9" ht="15">
      <c r="A14" s="53" t="s">
        <v>423</v>
      </c>
      <c r="B14" s="153">
        <v>2</v>
      </c>
      <c r="C14" s="55">
        <v>0</v>
      </c>
      <c r="D14" s="375" t="s">
        <v>424</v>
      </c>
      <c r="E14" s="152" t="s">
        <v>425</v>
      </c>
      <c r="F14" s="155">
        <v>7703038050261</v>
      </c>
      <c r="G14">
        <f t="shared" si="5"/>
        <v>1200</v>
      </c>
      <c r="H14">
        <f t="shared" si="6"/>
        <v>10</v>
      </c>
      <c r="I14" t="str">
        <f t="shared" si="2"/>
        <v>HIDROCLOROTIAZIDA 25MG -*400 TABLETAS</v>
      </c>
    </row>
    <row r="15" spans="1:9">
      <c r="A15" s="22" t="s">
        <v>1626</v>
      </c>
      <c r="B15" s="23">
        <v>2</v>
      </c>
      <c r="C15" s="51">
        <v>0.19</v>
      </c>
      <c r="D15" s="446" t="s">
        <v>1627</v>
      </c>
      <c r="E15" s="41" t="s">
        <v>1628</v>
      </c>
      <c r="F15" s="42">
        <v>7705471206571</v>
      </c>
      <c r="G15">
        <f t="shared" si="5"/>
        <v>18000</v>
      </c>
      <c r="H15">
        <f t="shared" si="6"/>
        <v>1</v>
      </c>
      <c r="I15" t="str">
        <f t="shared" si="2"/>
        <v>HIELO MINERAL SPRAY *250ML -CON CANNBIS</v>
      </c>
    </row>
    <row r="16" spans="1:9">
      <c r="A16" s="13" t="s">
        <v>1479</v>
      </c>
      <c r="B16" s="14">
        <v>2</v>
      </c>
      <c r="C16" s="105">
        <v>0</v>
      </c>
      <c r="D16" s="308" t="s">
        <v>53</v>
      </c>
      <c r="E16" s="13" t="s">
        <v>425</v>
      </c>
      <c r="F16" s="61">
        <v>7703038050339</v>
      </c>
      <c r="G16">
        <f t="shared" si="5"/>
        <v>1500</v>
      </c>
      <c r="H16">
        <f t="shared" si="6"/>
        <v>10</v>
      </c>
      <c r="I16" t="str">
        <f t="shared" si="2"/>
        <v>LORATADINA TAB- LAPROFF 10MG *400 TABLETAS</v>
      </c>
    </row>
    <row r="17" spans="1:9">
      <c r="A17" s="28" t="s">
        <v>1262</v>
      </c>
      <c r="B17" s="30">
        <v>1</v>
      </c>
      <c r="C17" s="30">
        <v>0</v>
      </c>
      <c r="D17" s="447" t="s">
        <v>2724</v>
      </c>
      <c r="E17" s="7" t="s">
        <v>1263</v>
      </c>
      <c r="F17" s="63">
        <v>7702057168056</v>
      </c>
      <c r="G17">
        <f t="shared" si="5"/>
        <v>2000</v>
      </c>
      <c r="H17">
        <f t="shared" si="6"/>
        <v>1</v>
      </c>
      <c r="I17" t="str">
        <f t="shared" si="2"/>
        <v>NORAVER GARGANTA MENTA *96 TABS</v>
      </c>
    </row>
    <row r="18" spans="1:9">
      <c r="A18" s="13" t="s">
        <v>1600</v>
      </c>
      <c r="B18" s="14">
        <v>2</v>
      </c>
      <c r="C18" s="105">
        <v>0</v>
      </c>
      <c r="D18" s="308" t="s">
        <v>381</v>
      </c>
      <c r="E18" s="13" t="s">
        <v>1601</v>
      </c>
      <c r="F18" s="61">
        <v>7706849110889</v>
      </c>
      <c r="G18">
        <f t="shared" si="5"/>
        <v>40000</v>
      </c>
      <c r="H18">
        <f t="shared" si="6"/>
        <v>1</v>
      </c>
      <c r="I18" t="str">
        <f t="shared" si="2"/>
        <v>ANTAX *360ML</v>
      </c>
    </row>
    <row r="19" spans="1:9">
      <c r="A19" s="64" t="s">
        <v>1597</v>
      </c>
      <c r="B19" s="102">
        <v>2</v>
      </c>
      <c r="C19" s="101">
        <v>0</v>
      </c>
      <c r="D19" s="443" t="s">
        <v>1366</v>
      </c>
      <c r="E19" s="64" t="s">
        <v>1599</v>
      </c>
      <c r="F19" s="103">
        <v>7706849110865</v>
      </c>
      <c r="G19">
        <f t="shared" si="5"/>
        <v>19000</v>
      </c>
      <c r="H19">
        <f t="shared" si="6"/>
        <v>1</v>
      </c>
      <c r="I19" t="str">
        <f t="shared" si="2"/>
        <v>ANTAX *170ML</v>
      </c>
    </row>
    <row r="20" spans="1:9">
      <c r="A20" s="69" t="s">
        <v>2725</v>
      </c>
      <c r="B20" s="14">
        <v>3</v>
      </c>
      <c r="C20" s="136">
        <v>0</v>
      </c>
      <c r="D20" s="469" t="s">
        <v>2726</v>
      </c>
      <c r="E20" s="13" t="s">
        <v>134</v>
      </c>
      <c r="F20" s="61">
        <v>7705959881016</v>
      </c>
      <c r="G20">
        <f t="shared" si="5"/>
        <v>16500</v>
      </c>
      <c r="H20">
        <f t="shared" si="6"/>
        <v>30</v>
      </c>
      <c r="I20" t="str">
        <f t="shared" si="2"/>
        <v>QUETIAPINA 25MG- GENFAR X30</v>
      </c>
    </row>
    <row r="21" spans="1:9" ht="15">
      <c r="A21" s="18" t="s">
        <v>169</v>
      </c>
      <c r="B21" s="17">
        <v>2</v>
      </c>
      <c r="C21" s="124">
        <v>0</v>
      </c>
      <c r="D21" s="321" t="s">
        <v>94</v>
      </c>
      <c r="E21" s="73" t="s">
        <v>171</v>
      </c>
      <c r="F21" s="20">
        <v>7709071926723</v>
      </c>
      <c r="G21">
        <f t="shared" si="5"/>
        <v>2000</v>
      </c>
      <c r="H21">
        <f t="shared" si="6"/>
        <v>15</v>
      </c>
      <c r="I21" t="str">
        <f t="shared" si="2"/>
        <v>OMEPRAZOL 20 MG - CHINOIN / FARMACOL</v>
      </c>
    </row>
    <row r="22" spans="1:9" ht="15">
      <c r="A22" s="45" t="s">
        <v>555</v>
      </c>
      <c r="B22" s="36">
        <v>2</v>
      </c>
      <c r="C22" s="164">
        <v>0</v>
      </c>
      <c r="D22" s="378" t="s">
        <v>491</v>
      </c>
      <c r="E22" s="76" t="s">
        <v>556</v>
      </c>
      <c r="F22" s="77">
        <v>7707288826935</v>
      </c>
      <c r="G22">
        <f t="shared" si="5"/>
        <v>24000</v>
      </c>
      <c r="H22">
        <f t="shared" si="6"/>
        <v>1</v>
      </c>
      <c r="I22" t="str">
        <f t="shared" si="2"/>
        <v>BEDOYECTA 3 JERINGA</v>
      </c>
    </row>
    <row r="23" spans="1:9">
      <c r="A23" s="22" t="s">
        <v>2727</v>
      </c>
      <c r="B23" s="23">
        <v>10</v>
      </c>
      <c r="C23" s="51">
        <v>0</v>
      </c>
      <c r="D23" s="446" t="s">
        <v>227</v>
      </c>
      <c r="E23" s="39" t="s">
        <v>116</v>
      </c>
      <c r="F23" s="42">
        <v>7703432059693</v>
      </c>
      <c r="G23">
        <f t="shared" si="5"/>
        <v>8000</v>
      </c>
      <c r="H23">
        <f t="shared" si="6"/>
        <v>10</v>
      </c>
      <c r="I23" t="str">
        <f t="shared" si="2"/>
        <v>ZOPICLONA EXPOFARMA X30</v>
      </c>
    </row>
    <row r="24" spans="1:9">
      <c r="A24" s="8" t="s">
        <v>1108</v>
      </c>
      <c r="B24" s="30">
        <v>25</v>
      </c>
      <c r="C24" s="31">
        <v>0</v>
      </c>
      <c r="D24" s="447" t="s">
        <v>2720</v>
      </c>
      <c r="E24" s="8" t="s">
        <v>1109</v>
      </c>
      <c r="F24" s="63">
        <v>7707336090790</v>
      </c>
      <c r="G24">
        <f t="shared" si="5"/>
        <v>2500</v>
      </c>
      <c r="H24">
        <f t="shared" si="6"/>
        <v>1</v>
      </c>
      <c r="I24" t="str">
        <f t="shared" si="2"/>
        <v>VENOCLISES MACROGOTERO ZIBOJECT</v>
      </c>
    </row>
    <row r="25" spans="1:9">
      <c r="A25" s="65" t="s">
        <v>1061</v>
      </c>
      <c r="B25" s="102">
        <v>2</v>
      </c>
      <c r="C25" s="101">
        <v>0</v>
      </c>
      <c r="D25" s="443" t="s">
        <v>1062</v>
      </c>
      <c r="E25" s="64" t="s">
        <v>1063</v>
      </c>
      <c r="F25" s="103">
        <v>7702195086748</v>
      </c>
      <c r="G25">
        <f t="shared" si="5"/>
        <v>6000</v>
      </c>
      <c r="H25">
        <f t="shared" si="6"/>
        <v>20</v>
      </c>
      <c r="I25" t="str">
        <f t="shared" si="2"/>
        <v>BISACODILO *100 TAB - RECIPE (X20)</v>
      </c>
    </row>
    <row r="26" spans="1:9">
      <c r="A26" s="22" t="s">
        <v>1339</v>
      </c>
      <c r="B26" s="14">
        <v>6</v>
      </c>
      <c r="C26" s="105">
        <v>0</v>
      </c>
      <c r="D26" s="308" t="s">
        <v>173</v>
      </c>
      <c r="E26" s="13" t="s">
        <v>1340</v>
      </c>
      <c r="F26" s="61">
        <v>7703689000448</v>
      </c>
      <c r="G26">
        <f t="shared" si="5"/>
        <v>22000</v>
      </c>
      <c r="H26">
        <f t="shared" si="6"/>
        <v>1</v>
      </c>
      <c r="I26" t="str">
        <f t="shared" si="2"/>
        <v>CYCLOFEM</v>
      </c>
    </row>
    <row r="27" spans="1:9">
      <c r="A27" t="s">
        <v>202</v>
      </c>
      <c r="B27" s="23">
        <v>3</v>
      </c>
      <c r="C27" s="23">
        <v>0</v>
      </c>
      <c r="D27" s="446" t="s">
        <v>1309</v>
      </c>
      <c r="E27" s="41" t="s">
        <v>204</v>
      </c>
      <c r="F27" s="42">
        <v>7702184010457</v>
      </c>
      <c r="G27">
        <f t="shared" si="5"/>
        <v>4000</v>
      </c>
      <c r="H27">
        <f t="shared" si="6"/>
        <v>10</v>
      </c>
      <c r="I27" t="str">
        <f t="shared" si="2"/>
        <v>DIPIRONA TABLETAS X50 - ECAR</v>
      </c>
    </row>
    <row r="28" spans="1:9">
      <c r="A28" s="24" t="s">
        <v>2202</v>
      </c>
      <c r="B28" s="14">
        <v>8</v>
      </c>
      <c r="C28" s="105">
        <v>0</v>
      </c>
      <c r="D28" s="308" t="s">
        <v>91</v>
      </c>
      <c r="E28" s="13" t="s">
        <v>1639</v>
      </c>
      <c r="F28" s="61">
        <v>7709805542847</v>
      </c>
      <c r="G28">
        <f t="shared" si="5"/>
        <v>16000</v>
      </c>
      <c r="H28">
        <f t="shared" si="6"/>
        <v>1</v>
      </c>
      <c r="I28" t="str">
        <f t="shared" si="2"/>
        <v>NOKTOS NIÑOS/ GUAYACOLATO + BROMHEXINA SUSP</v>
      </c>
    </row>
    <row r="29" spans="1:9">
      <c r="A29" s="22" t="s">
        <v>709</v>
      </c>
      <c r="B29" s="23">
        <v>10</v>
      </c>
      <c r="C29" s="107">
        <v>0</v>
      </c>
      <c r="D29" s="482" t="s">
        <v>38</v>
      </c>
      <c r="E29" s="39" t="s">
        <v>611</v>
      </c>
      <c r="F29" s="42">
        <v>8901117247888</v>
      </c>
      <c r="G29">
        <f t="shared" si="5"/>
        <v>9000</v>
      </c>
      <c r="H29">
        <f t="shared" si="6"/>
        <v>1</v>
      </c>
      <c r="I29" t="str">
        <f t="shared" si="2"/>
        <v>SALBUMED - SALBUTAMOL INHALADOR</v>
      </c>
    </row>
    <row r="30" spans="1:9">
      <c r="A30" s="24" t="s">
        <v>817</v>
      </c>
      <c r="B30" s="30">
        <v>4</v>
      </c>
      <c r="C30" s="31">
        <v>0</v>
      </c>
      <c r="D30" s="447" t="s">
        <v>818</v>
      </c>
      <c r="E30" s="7" t="s">
        <v>428</v>
      </c>
      <c r="F30" s="63">
        <v>7703038050018</v>
      </c>
      <c r="G30">
        <f t="shared" si="5"/>
        <v>800</v>
      </c>
      <c r="H30">
        <f t="shared" si="6"/>
        <v>10</v>
      </c>
      <c r="I30" t="str">
        <f t="shared" si="2"/>
        <v>ACETAMINOFEN 500MG - LAPROFF X300</v>
      </c>
    </row>
    <row r="31" spans="1:9" ht="15">
      <c r="A31" s="16" t="s">
        <v>1831</v>
      </c>
      <c r="B31" s="17">
        <v>1</v>
      </c>
      <c r="C31" s="33">
        <v>0</v>
      </c>
      <c r="D31" s="477" t="s">
        <v>7</v>
      </c>
      <c r="E31" s="73" t="s">
        <v>1832</v>
      </c>
      <c r="F31" s="110">
        <v>6921875003290</v>
      </c>
      <c r="G31">
        <f t="shared" ref="G31:G94" si="7">IFERROR(VALUE(SUBSTITUTE(LEFT(LOWER(D31),FIND("x",LOWER(D31))-1),",","")),VALUE(SUBSTITUTE(D31,",","")))</f>
        <v>7000</v>
      </c>
      <c r="H31">
        <f t="shared" ref="H31:H94" si="8">IFERROR(VALUE(MID(LOWER(D31),FIND("x",LOWER(D31))+1,20)),1)</f>
        <v>1</v>
      </c>
      <c r="I31" t="str">
        <f t="shared" si="2"/>
        <v>AMPIDELT- AMPICILINA SULBACTAM 1,5GR / X10 AMPOLLAS</v>
      </c>
    </row>
    <row r="32" spans="1:9">
      <c r="A32" s="12" t="s">
        <v>234</v>
      </c>
      <c r="B32" s="14">
        <v>1</v>
      </c>
      <c r="C32" s="174">
        <v>0</v>
      </c>
      <c r="D32" s="308" t="s">
        <v>1032</v>
      </c>
      <c r="E32" s="13" t="s">
        <v>236</v>
      </c>
      <c r="F32" s="61">
        <v>7702057092344</v>
      </c>
      <c r="G32">
        <f t="shared" si="7"/>
        <v>2200</v>
      </c>
      <c r="H32">
        <f t="shared" si="8"/>
        <v>1</v>
      </c>
      <c r="I32" t="str">
        <f t="shared" si="2"/>
        <v>IBUFLASH MIGRAN X30</v>
      </c>
    </row>
    <row r="33" spans="1:9" ht="15">
      <c r="A33" s="112" t="s">
        <v>2728</v>
      </c>
      <c r="B33" s="37">
        <v>1</v>
      </c>
      <c r="C33" s="114">
        <v>0</v>
      </c>
      <c r="D33" s="489" t="s">
        <v>2589</v>
      </c>
      <c r="E33" s="117" t="s">
        <v>946</v>
      </c>
      <c r="F33" s="115">
        <v>7702057091439</v>
      </c>
      <c r="G33">
        <f t="shared" si="7"/>
        <v>3000</v>
      </c>
      <c r="H33">
        <f t="shared" si="8"/>
        <v>1</v>
      </c>
      <c r="I33" t="str">
        <f t="shared" si="2"/>
        <v>DURAFLEX MUSCULAR ADVANCE / NAPROXENO + ACETAMINOFEN + CAFEINA</v>
      </c>
    </row>
    <row r="34" spans="1:9">
      <c r="A34" s="71" t="s">
        <v>457</v>
      </c>
      <c r="B34" s="14">
        <v>3</v>
      </c>
      <c r="C34" s="14">
        <v>0</v>
      </c>
      <c r="D34" s="308" t="s">
        <v>2729</v>
      </c>
      <c r="E34" s="13" t="s">
        <v>459</v>
      </c>
      <c r="F34" s="61">
        <v>7705713400019</v>
      </c>
      <c r="G34">
        <f t="shared" si="7"/>
        <v>33000</v>
      </c>
      <c r="H34">
        <f t="shared" si="8"/>
        <v>1</v>
      </c>
      <c r="I34" t="str">
        <f t="shared" si="2"/>
        <v>METATITANE</v>
      </c>
    </row>
    <row r="35" spans="1:9" ht="15">
      <c r="A35" s="43" t="s">
        <v>2480</v>
      </c>
      <c r="B35" s="37">
        <v>1</v>
      </c>
      <c r="C35" s="423">
        <v>0</v>
      </c>
      <c r="D35" s="376" t="s">
        <v>85</v>
      </c>
      <c r="E35" s="73" t="s">
        <v>251</v>
      </c>
      <c r="F35" s="115">
        <v>7702057012298</v>
      </c>
      <c r="G35">
        <f t="shared" si="7"/>
        <v>11000</v>
      </c>
      <c r="H35">
        <f t="shared" si="8"/>
        <v>1</v>
      </c>
      <c r="I35" t="str">
        <f t="shared" si="2"/>
        <v>HIDRAPLUS COCO ZINC 75 *400ML</v>
      </c>
    </row>
    <row r="36" spans="1:9" ht="15">
      <c r="A36" s="16" t="s">
        <v>371</v>
      </c>
      <c r="B36" s="17">
        <v>1</v>
      </c>
      <c r="C36" s="124">
        <v>0</v>
      </c>
      <c r="D36" s="321" t="s">
        <v>85</v>
      </c>
      <c r="E36" s="73" t="s">
        <v>251</v>
      </c>
      <c r="F36" s="20">
        <v>7702057010874</v>
      </c>
      <c r="G36">
        <f t="shared" si="7"/>
        <v>11000</v>
      </c>
      <c r="H36">
        <f t="shared" si="8"/>
        <v>1</v>
      </c>
      <c r="I36" t="str">
        <f t="shared" si="2"/>
        <v>HIDRAPLUS 75 CEREZA *400ML</v>
      </c>
    </row>
    <row r="37" spans="1:9" ht="15">
      <c r="A37" s="53" t="s">
        <v>1706</v>
      </c>
      <c r="B37" s="153">
        <v>1</v>
      </c>
      <c r="C37" s="55">
        <v>0</v>
      </c>
      <c r="D37" s="375" t="s">
        <v>85</v>
      </c>
      <c r="E37" s="96" t="s">
        <v>251</v>
      </c>
      <c r="F37" s="155">
        <v>7702057010928</v>
      </c>
      <c r="G37">
        <f t="shared" si="7"/>
        <v>11000</v>
      </c>
      <c r="H37">
        <f t="shared" si="8"/>
        <v>1</v>
      </c>
      <c r="I37" t="str">
        <f t="shared" si="2"/>
        <v>HIDRAPLUS 75 UVA *400ML</v>
      </c>
    </row>
    <row r="38" spans="1:9" ht="15">
      <c r="A38" s="16" t="s">
        <v>2180</v>
      </c>
      <c r="B38" s="17">
        <v>1</v>
      </c>
      <c r="C38" s="17">
        <v>0</v>
      </c>
      <c r="D38" s="321" t="s">
        <v>85</v>
      </c>
      <c r="E38" s="32" t="s">
        <v>251</v>
      </c>
      <c r="F38" s="20">
        <v>7702057015428</v>
      </c>
      <c r="G38">
        <f t="shared" si="7"/>
        <v>11000</v>
      </c>
      <c r="H38">
        <f t="shared" si="8"/>
        <v>1</v>
      </c>
      <c r="I38" t="str">
        <f t="shared" si="2"/>
        <v>HIDRAPLUS 75 MANZANA VERDE X400ML</v>
      </c>
    </row>
    <row r="39" spans="1:9">
      <c r="A39" s="13" t="s">
        <v>183</v>
      </c>
      <c r="B39" s="14">
        <v>4</v>
      </c>
      <c r="C39" s="105">
        <v>0</v>
      </c>
      <c r="D39" s="308" t="s">
        <v>118</v>
      </c>
      <c r="E39" s="13" t="s">
        <v>184</v>
      </c>
      <c r="F39" s="61">
        <v>7703712012097</v>
      </c>
      <c r="G39">
        <f t="shared" si="7"/>
        <v>13000</v>
      </c>
      <c r="H39">
        <f t="shared" si="8"/>
        <v>1</v>
      </c>
      <c r="I39" t="str">
        <f t="shared" si="2"/>
        <v>DERMASKIN *20GR</v>
      </c>
    </row>
    <row r="40" spans="1:9">
      <c r="A40" s="13" t="s">
        <v>172</v>
      </c>
      <c r="B40" s="14">
        <v>3</v>
      </c>
      <c r="C40" s="105">
        <v>0</v>
      </c>
      <c r="D40" s="308" t="s">
        <v>173</v>
      </c>
      <c r="E40" s="13" t="s">
        <v>174</v>
      </c>
      <c r="F40" s="61">
        <v>7703712012110</v>
      </c>
      <c r="G40">
        <f t="shared" si="7"/>
        <v>22000</v>
      </c>
      <c r="H40">
        <f t="shared" si="8"/>
        <v>1</v>
      </c>
      <c r="I40" t="str">
        <f t="shared" si="2"/>
        <v>DERMASKIN *40GR</v>
      </c>
    </row>
    <row r="41" spans="1:9" ht="15">
      <c r="A41" s="53" t="s">
        <v>2730</v>
      </c>
      <c r="B41" s="153">
        <v>5</v>
      </c>
      <c r="C41" s="55">
        <v>0</v>
      </c>
      <c r="D41" s="375" t="s">
        <v>366</v>
      </c>
      <c r="E41" s="152" t="s">
        <v>2731</v>
      </c>
      <c r="F41" s="42">
        <v>7707184160676</v>
      </c>
      <c r="G41">
        <f t="shared" si="7"/>
        <v>5000</v>
      </c>
      <c r="H41">
        <f t="shared" si="8"/>
        <v>1</v>
      </c>
      <c r="I41" t="str">
        <f t="shared" si="2"/>
        <v>GENTAMICINA 160MG - AMP FARMIONI</v>
      </c>
    </row>
    <row r="42" spans="1:9" ht="15">
      <c r="A42" s="32" t="s">
        <v>2732</v>
      </c>
      <c r="B42" s="17">
        <v>5</v>
      </c>
      <c r="C42" s="124">
        <v>0</v>
      </c>
      <c r="D42" s="321" t="s">
        <v>32</v>
      </c>
      <c r="E42" s="73" t="s">
        <v>2733</v>
      </c>
      <c r="F42" s="20">
        <v>7707210531753</v>
      </c>
      <c r="G42">
        <f t="shared" si="7"/>
        <v>12000</v>
      </c>
      <c r="H42">
        <f t="shared" si="8"/>
        <v>1</v>
      </c>
      <c r="I42" t="str">
        <f t="shared" si="2"/>
        <v>SIMPIOX 6%- GOTAS / IVERMECTINA</v>
      </c>
    </row>
    <row r="43" spans="1:9">
      <c r="A43" s="24" t="s">
        <v>907</v>
      </c>
      <c r="B43" s="25">
        <v>6</v>
      </c>
      <c r="C43" s="26">
        <v>0</v>
      </c>
      <c r="D43" s="447" t="s">
        <v>902</v>
      </c>
      <c r="E43" s="7" t="s">
        <v>909</v>
      </c>
      <c r="F43" s="129">
        <v>7706569020659</v>
      </c>
      <c r="G43">
        <f t="shared" si="7"/>
        <v>8000</v>
      </c>
      <c r="H43">
        <f t="shared" si="8"/>
        <v>100</v>
      </c>
      <c r="I43" t="str">
        <f t="shared" si="2"/>
        <v>ACETAMINOFEN 500MG AG- TAB X100</v>
      </c>
    </row>
    <row r="44" spans="1:9">
      <c r="A44" s="64" t="s">
        <v>1983</v>
      </c>
      <c r="B44" s="102">
        <v>6</v>
      </c>
      <c r="C44" s="101">
        <v>0</v>
      </c>
      <c r="D44" s="443" t="s">
        <v>321</v>
      </c>
      <c r="E44" s="64" t="s">
        <v>904</v>
      </c>
      <c r="F44" s="103">
        <v>7702605100019</v>
      </c>
      <c r="G44">
        <f t="shared" si="7"/>
        <v>9000</v>
      </c>
      <c r="H44">
        <f t="shared" si="8"/>
        <v>100</v>
      </c>
      <c r="I44" t="str">
        <f t="shared" si="2"/>
        <v>ACETAMINOFEN TAB - GENFAR</v>
      </c>
    </row>
    <row r="45" spans="1:9" ht="15">
      <c r="A45" s="19" t="s">
        <v>1353</v>
      </c>
      <c r="B45" s="37">
        <v>3</v>
      </c>
      <c r="C45" s="429">
        <v>0</v>
      </c>
      <c r="D45" s="376" t="s">
        <v>427</v>
      </c>
      <c r="E45" s="112" t="s">
        <v>1354</v>
      </c>
      <c r="F45" s="115">
        <v>7705959012397</v>
      </c>
      <c r="G45">
        <f t="shared" si="7"/>
        <v>2500</v>
      </c>
      <c r="H45">
        <f t="shared" si="8"/>
        <v>10</v>
      </c>
      <c r="I45" t="str">
        <f t="shared" si="2"/>
        <v>ACIDO ACETILSALICILICO GENFAR - ASA X100 TABS</v>
      </c>
    </row>
    <row r="46" spans="1:9" ht="12.75" customHeight="1">
      <c r="A46" s="24" t="s">
        <v>1497</v>
      </c>
      <c r="B46" s="30">
        <v>3</v>
      </c>
      <c r="C46" s="128">
        <v>0</v>
      </c>
      <c r="D46" s="480" t="s">
        <v>91</v>
      </c>
      <c r="E46" s="7" t="s">
        <v>24</v>
      </c>
      <c r="F46" s="129">
        <v>7707357200086</v>
      </c>
      <c r="G46">
        <f t="shared" si="7"/>
        <v>16000</v>
      </c>
      <c r="H46">
        <f t="shared" si="8"/>
        <v>1</v>
      </c>
      <c r="I46" t="str">
        <f t="shared" si="2"/>
        <v>DOSFLEM NIÑOS *120ML / GUAYACOLATO 1GR + BROMHEXINA CLORHIDRATO 0,040GR</v>
      </c>
    </row>
    <row r="47" spans="1:9" ht="15">
      <c r="A47" s="130" t="s">
        <v>1154</v>
      </c>
      <c r="B47" s="132">
        <v>2</v>
      </c>
      <c r="C47" s="510">
        <v>0</v>
      </c>
      <c r="D47" s="492" t="s">
        <v>408</v>
      </c>
      <c r="E47" s="214" t="s">
        <v>827</v>
      </c>
      <c r="F47" s="478">
        <v>8903726224441</v>
      </c>
      <c r="G47">
        <f t="shared" si="7"/>
        <v>9000</v>
      </c>
      <c r="H47">
        <f t="shared" si="8"/>
        <v>10</v>
      </c>
      <c r="I47" t="str">
        <f t="shared" si="2"/>
        <v>NEUBALIN 75MG- PREGABALINA 75MG X30</v>
      </c>
    </row>
    <row r="48" spans="1:9" ht="15">
      <c r="A48" s="53" t="s">
        <v>193</v>
      </c>
      <c r="B48" s="153">
        <v>7</v>
      </c>
      <c r="C48" s="55">
        <v>0</v>
      </c>
      <c r="D48" s="375" t="s">
        <v>10</v>
      </c>
      <c r="E48" s="152" t="s">
        <v>194</v>
      </c>
      <c r="F48" s="155">
        <v>7707035510513</v>
      </c>
      <c r="G48">
        <f t="shared" si="7"/>
        <v>8000</v>
      </c>
      <c r="H48">
        <f t="shared" si="8"/>
        <v>1</v>
      </c>
      <c r="I48" t="str">
        <f t="shared" si="2"/>
        <v>ACICLOVIR 5% CREMA ANGLOPHARMA</v>
      </c>
    </row>
    <row r="49" spans="1:9">
      <c r="A49" s="22" t="s">
        <v>686</v>
      </c>
      <c r="B49" s="23">
        <v>6</v>
      </c>
      <c r="C49" s="51">
        <v>0</v>
      </c>
      <c r="D49" s="446" t="s">
        <v>10</v>
      </c>
      <c r="E49" s="39" t="s">
        <v>687</v>
      </c>
      <c r="F49" s="42">
        <v>7702184020258</v>
      </c>
      <c r="G49">
        <f t="shared" si="7"/>
        <v>8000</v>
      </c>
      <c r="H49">
        <f t="shared" si="8"/>
        <v>1</v>
      </c>
      <c r="I49" t="str">
        <f t="shared" si="2"/>
        <v>CLORFERINAMINA SUS. ECAR</v>
      </c>
    </row>
    <row r="50" spans="1:9">
      <c r="A50" t="s">
        <v>2734</v>
      </c>
      <c r="B50" s="23">
        <v>1</v>
      </c>
      <c r="C50" s="23">
        <v>0</v>
      </c>
      <c r="D50" s="446" t="s">
        <v>156</v>
      </c>
      <c r="E50" s="39" t="s">
        <v>2735</v>
      </c>
      <c r="F50" s="42">
        <v>7707035530535</v>
      </c>
      <c r="G50">
        <f t="shared" si="7"/>
        <v>3000</v>
      </c>
      <c r="H50">
        <f t="shared" si="8"/>
        <v>10</v>
      </c>
      <c r="I50" t="str">
        <f t="shared" si="2"/>
        <v>HIDROXICINA *250 TABS - ANGLOPHARMA</v>
      </c>
    </row>
    <row r="51" spans="1:9">
      <c r="A51" t="s">
        <v>1132</v>
      </c>
      <c r="B51" s="23">
        <v>10</v>
      </c>
      <c r="C51" s="51">
        <v>0</v>
      </c>
      <c r="D51" s="446" t="s">
        <v>109</v>
      </c>
      <c r="E51" s="41" t="s">
        <v>1133</v>
      </c>
      <c r="F51" s="42">
        <v>7702195061400</v>
      </c>
      <c r="G51">
        <f t="shared" si="7"/>
        <v>10000</v>
      </c>
      <c r="H51">
        <f t="shared" si="8"/>
        <v>1</v>
      </c>
      <c r="I51" t="str">
        <f t="shared" si="2"/>
        <v>METOCLOPRAMIDA GOTAS- RECIPHE</v>
      </c>
    </row>
    <row r="52" spans="1:9">
      <c r="A52" s="69" t="s">
        <v>79</v>
      </c>
      <c r="B52" s="14">
        <v>10</v>
      </c>
      <c r="C52" s="136">
        <v>0</v>
      </c>
      <c r="D52" s="469" t="s">
        <v>80</v>
      </c>
      <c r="E52" s="13" t="s">
        <v>81</v>
      </c>
      <c r="F52" s="61">
        <v>7705366100014</v>
      </c>
      <c r="G52">
        <f t="shared" si="7"/>
        <v>6000</v>
      </c>
      <c r="H52">
        <f t="shared" si="8"/>
        <v>1</v>
      </c>
      <c r="I52" t="str">
        <f t="shared" si="2"/>
        <v>SUERO FISIOLÓGICO/ CLORURO SODIO CORPAUL 500ML/CC</v>
      </c>
    </row>
    <row r="53" spans="1:9">
      <c r="A53" s="12" t="s">
        <v>64</v>
      </c>
      <c r="B53" s="14">
        <v>1</v>
      </c>
      <c r="C53" s="105">
        <v>0</v>
      </c>
      <c r="D53" s="308" t="s">
        <v>65</v>
      </c>
      <c r="E53" s="13" t="s">
        <v>66</v>
      </c>
      <c r="F53" s="61">
        <v>7702870003596</v>
      </c>
      <c r="G53">
        <f t="shared" si="7"/>
        <v>10000</v>
      </c>
      <c r="H53">
        <f t="shared" si="8"/>
        <v>21</v>
      </c>
      <c r="I53" t="str">
        <f t="shared" si="2"/>
        <v>SINOVUL X21</v>
      </c>
    </row>
    <row r="54" spans="1:9" ht="15">
      <c r="A54" s="16" t="s">
        <v>1120</v>
      </c>
      <c r="B54" s="17">
        <v>1</v>
      </c>
      <c r="C54" s="124">
        <v>0</v>
      </c>
      <c r="D54" s="321" t="s">
        <v>948</v>
      </c>
      <c r="E54" s="73" t="s">
        <v>1121</v>
      </c>
      <c r="F54" s="20">
        <v>7500435107020</v>
      </c>
      <c r="G54">
        <f t="shared" si="7"/>
        <v>6500</v>
      </c>
      <c r="H54">
        <f t="shared" si="8"/>
        <v>1</v>
      </c>
      <c r="I54" t="str">
        <f t="shared" si="2"/>
        <v>VICK VAPORUB 12GR CAJA X12 UNDS</v>
      </c>
    </row>
    <row r="55" spans="1:9" ht="15">
      <c r="A55" t="s">
        <v>2736</v>
      </c>
      <c r="B55" s="23">
        <v>2</v>
      </c>
      <c r="C55" s="51">
        <v>0</v>
      </c>
      <c r="D55" s="446" t="s">
        <v>10</v>
      </c>
      <c r="E55" s="73" t="s">
        <v>1832</v>
      </c>
      <c r="F55" s="42">
        <v>6900191011042</v>
      </c>
      <c r="G55">
        <f t="shared" si="7"/>
        <v>8000</v>
      </c>
      <c r="H55">
        <f t="shared" si="8"/>
        <v>1</v>
      </c>
      <c r="I55" t="str">
        <f t="shared" si="2"/>
        <v>CEFTRIDELT - CEFTRIAXONA 1GR / X10 AMPOLLAS</v>
      </c>
    </row>
    <row r="56" spans="1:9">
      <c r="A56" t="s">
        <v>2737</v>
      </c>
      <c r="B56" s="23">
        <v>2</v>
      </c>
      <c r="C56" s="51">
        <v>0.19</v>
      </c>
      <c r="D56" s="446" t="s">
        <v>74</v>
      </c>
      <c r="E56" s="41" t="s">
        <v>2738</v>
      </c>
      <c r="F56" s="42">
        <v>7701684055364</v>
      </c>
      <c r="G56">
        <f t="shared" si="7"/>
        <v>20000</v>
      </c>
      <c r="H56">
        <f t="shared" si="8"/>
        <v>1</v>
      </c>
      <c r="I56" t="str">
        <f t="shared" si="2"/>
        <v>ALMIPRO CREMA EXTRA HUMECTANTE - X120GR</v>
      </c>
    </row>
    <row r="57" spans="1:9" ht="15">
      <c r="A57" s="73" t="s">
        <v>1412</v>
      </c>
      <c r="B57" s="17">
        <v>1</v>
      </c>
      <c r="C57" s="124">
        <v>0.19</v>
      </c>
      <c r="D57" s="321" t="s">
        <v>1366</v>
      </c>
      <c r="E57" s="73" t="s">
        <v>1413</v>
      </c>
      <c r="F57" s="110">
        <v>7701684798261</v>
      </c>
      <c r="G57">
        <f t="shared" si="7"/>
        <v>19000</v>
      </c>
      <c r="H57">
        <f t="shared" si="8"/>
        <v>1</v>
      </c>
      <c r="I57" t="str">
        <f t="shared" si="2"/>
        <v>ALMIPRO BARRA - SYNDET ALOE VERA Y AVENA</v>
      </c>
    </row>
    <row r="58" spans="1:9">
      <c r="A58" s="24" t="s">
        <v>58</v>
      </c>
      <c r="B58" s="30">
        <v>2</v>
      </c>
      <c r="C58" s="31">
        <v>0</v>
      </c>
      <c r="D58" s="447" t="s">
        <v>59</v>
      </c>
      <c r="E58" s="7" t="s">
        <v>60</v>
      </c>
      <c r="F58" s="63">
        <v>7706127006378</v>
      </c>
      <c r="G58">
        <f t="shared" si="7"/>
        <v>3000</v>
      </c>
      <c r="H58">
        <f t="shared" si="8"/>
        <v>1</v>
      </c>
      <c r="I58" t="str">
        <f t="shared" si="2"/>
        <v>PAX NOCHE LIMON X24 SOBRES</v>
      </c>
    </row>
    <row r="59" spans="1:9">
      <c r="A59" s="64" t="s">
        <v>2716</v>
      </c>
      <c r="B59" s="102">
        <v>5</v>
      </c>
      <c r="C59" s="102">
        <v>0</v>
      </c>
      <c r="D59" s="443">
        <v>7707288826430</v>
      </c>
      <c r="E59" s="64" t="s">
        <v>198</v>
      </c>
      <c r="F59" s="103">
        <v>7709695236826</v>
      </c>
      <c r="G59">
        <f t="shared" si="7"/>
        <v>7707288826430</v>
      </c>
      <c r="H59">
        <f t="shared" si="8"/>
        <v>1</v>
      </c>
      <c r="I59" t="str">
        <f t="shared" si="2"/>
        <v>PROPOTUSSIN ADULTOS</v>
      </c>
    </row>
    <row r="60" spans="1:9">
      <c r="A60" t="s">
        <v>2739</v>
      </c>
      <c r="B60" s="23">
        <v>3</v>
      </c>
      <c r="C60" s="51">
        <v>0</v>
      </c>
      <c r="D60" s="446" t="s">
        <v>2740</v>
      </c>
      <c r="E60" s="39" t="s">
        <v>2741</v>
      </c>
      <c r="F60" s="42">
        <v>7707288826430</v>
      </c>
      <c r="G60">
        <f t="shared" si="7"/>
        <v>41000</v>
      </c>
      <c r="H60">
        <f t="shared" si="8"/>
        <v>30</v>
      </c>
      <c r="I60" t="str">
        <f t="shared" si="2"/>
        <v>QUETIAPINA 100MG - QUEPINA HUMAX X30</v>
      </c>
    </row>
    <row r="61" spans="1:9">
      <c r="A61" s="22" t="s">
        <v>496</v>
      </c>
      <c r="B61" s="23">
        <v>1</v>
      </c>
      <c r="C61" s="238">
        <v>0</v>
      </c>
      <c r="D61" s="446" t="s">
        <v>56</v>
      </c>
      <c r="E61" s="41" t="s">
        <v>498</v>
      </c>
      <c r="F61" s="42">
        <v>7704588000416</v>
      </c>
      <c r="G61">
        <f t="shared" si="7"/>
        <v>28000</v>
      </c>
      <c r="H61">
        <f t="shared" si="8"/>
        <v>1</v>
      </c>
      <c r="I61" t="str">
        <f t="shared" si="2"/>
        <v>ROXICAINA 2% - JALEA</v>
      </c>
    </row>
    <row r="62" spans="1:9" ht="13.5" customHeight="1">
      <c r="A62" s="22" t="s">
        <v>2742</v>
      </c>
      <c r="B62" s="23">
        <v>1</v>
      </c>
      <c r="C62" s="23">
        <v>0</v>
      </c>
      <c r="D62" s="446" t="s">
        <v>2743</v>
      </c>
      <c r="E62" s="39" t="s">
        <v>2744</v>
      </c>
      <c r="F62" s="42">
        <v>7707234230717</v>
      </c>
      <c r="G62">
        <f t="shared" si="7"/>
        <v>40000</v>
      </c>
      <c r="H62">
        <f t="shared" si="8"/>
        <v>1</v>
      </c>
      <c r="I62" t="str">
        <f t="shared" si="2"/>
        <v>BETAMETASONA ACETATO + BETAMETASONA FOSFATO 3+3 MG X1ML / 25 AMPOLLAS</v>
      </c>
    </row>
    <row r="63" spans="1:9" ht="15">
      <c r="A63" s="45" t="s">
        <v>1836</v>
      </c>
      <c r="B63" s="36">
        <v>1</v>
      </c>
      <c r="C63" s="164">
        <v>0</v>
      </c>
      <c r="D63" s="378" t="s">
        <v>2745</v>
      </c>
      <c r="E63" s="76" t="s">
        <v>258</v>
      </c>
      <c r="F63" s="46">
        <v>7703038050124</v>
      </c>
      <c r="G63">
        <f t="shared" si="7"/>
        <v>5000</v>
      </c>
      <c r="H63">
        <f t="shared" si="8"/>
        <v>10</v>
      </c>
      <c r="I63" t="str">
        <f t="shared" si="2"/>
        <v>CARBAMAZEPINA 200MG *300 TAB</v>
      </c>
    </row>
    <row r="64" spans="1:9">
      <c r="A64" s="64" t="s">
        <v>224</v>
      </c>
      <c r="B64" s="102">
        <v>1</v>
      </c>
      <c r="C64" s="101">
        <v>0</v>
      </c>
      <c r="D64" s="443" t="s">
        <v>156</v>
      </c>
      <c r="E64" s="64" t="s">
        <v>225</v>
      </c>
      <c r="F64" s="103">
        <v>7703038067092</v>
      </c>
      <c r="G64">
        <f t="shared" si="7"/>
        <v>3000</v>
      </c>
      <c r="H64">
        <f t="shared" si="8"/>
        <v>10</v>
      </c>
      <c r="I64" t="str">
        <f t="shared" si="2"/>
        <v>FLUOXETINA 20MG *300 CAPS- LAPROFF</v>
      </c>
    </row>
    <row r="65" spans="1:9">
      <c r="A65" s="146" t="s">
        <v>1709</v>
      </c>
      <c r="B65" s="147">
        <v>1</v>
      </c>
      <c r="C65" s="148">
        <v>0</v>
      </c>
      <c r="D65" s="444" t="s">
        <v>697</v>
      </c>
      <c r="E65" s="159" t="s">
        <v>1710</v>
      </c>
      <c r="F65" s="151">
        <v>7861073963523</v>
      </c>
      <c r="G65">
        <f t="shared" si="7"/>
        <v>2500</v>
      </c>
      <c r="H65">
        <f t="shared" si="8"/>
        <v>1</v>
      </c>
      <c r="I65" t="str">
        <f t="shared" si="2"/>
        <v>LOMOTIL CAJA *48</v>
      </c>
    </row>
    <row r="66" spans="1:9" ht="15">
      <c r="A66" s="152" t="s">
        <v>1623</v>
      </c>
      <c r="B66" s="153">
        <v>1</v>
      </c>
      <c r="C66" s="153">
        <v>0</v>
      </c>
      <c r="D66" s="375" t="s">
        <v>1624</v>
      </c>
      <c r="E66" s="152" t="s">
        <v>1625</v>
      </c>
      <c r="F66" s="155">
        <v>7703038050322</v>
      </c>
      <c r="G66">
        <f t="shared" si="7"/>
        <v>2000</v>
      </c>
      <c r="H66">
        <f t="shared" si="8"/>
        <v>6</v>
      </c>
      <c r="I66" t="str">
        <f t="shared" si="2"/>
        <v>LOPERAMIDA 2MG LA PROFF</v>
      </c>
    </row>
    <row r="67" spans="1:9" ht="15">
      <c r="A67" s="32" t="s">
        <v>370</v>
      </c>
      <c r="B67" s="30">
        <v>4</v>
      </c>
      <c r="C67" s="31">
        <v>0</v>
      </c>
      <c r="D67" s="447" t="s">
        <v>2746</v>
      </c>
      <c r="E67" s="73" t="s">
        <v>165</v>
      </c>
      <c r="F67" s="20">
        <v>7501033957376</v>
      </c>
      <c r="G67">
        <f t="shared" si="7"/>
        <v>10500</v>
      </c>
      <c r="H67">
        <f t="shared" si="8"/>
        <v>1</v>
      </c>
      <c r="I67" t="str">
        <f t="shared" ref="I67:I130" si="9">TRIM(A67)</f>
        <v>PEDIALYTE UVA 60 mEq ZINC MAX</v>
      </c>
    </row>
    <row r="68" spans="1:9" ht="15">
      <c r="A68" s="53" t="s">
        <v>770</v>
      </c>
      <c r="B68" s="153">
        <v>4</v>
      </c>
      <c r="C68" s="55">
        <v>0</v>
      </c>
      <c r="D68" s="375" t="s">
        <v>1270</v>
      </c>
      <c r="E68" s="152" t="s">
        <v>165</v>
      </c>
      <c r="F68" s="155">
        <v>7501033957369</v>
      </c>
      <c r="G68">
        <f t="shared" si="7"/>
        <v>10500</v>
      </c>
      <c r="H68">
        <f t="shared" si="8"/>
        <v>1</v>
      </c>
      <c r="I68" t="str">
        <f t="shared" si="9"/>
        <v>PEDIALYTE MANZANA 60 mEq MAX</v>
      </c>
    </row>
    <row r="69" spans="1:9" ht="15">
      <c r="A69" s="56" t="s">
        <v>2382</v>
      </c>
      <c r="B69" s="153">
        <v>2</v>
      </c>
      <c r="C69" s="293">
        <v>0</v>
      </c>
      <c r="D69" s="375" t="s">
        <v>29</v>
      </c>
      <c r="E69" s="152" t="s">
        <v>2384</v>
      </c>
      <c r="F69" s="42">
        <v>7704412429284</v>
      </c>
      <c r="G69">
        <f t="shared" si="7"/>
        <v>15000</v>
      </c>
      <c r="H69">
        <f t="shared" si="8"/>
        <v>10</v>
      </c>
      <c r="I69" t="str">
        <f t="shared" si="9"/>
        <v>CLINDAMICINA 300MG- MEMPHIS X40</v>
      </c>
    </row>
    <row r="70" spans="1:9">
      <c r="A70" s="13" t="s">
        <v>536</v>
      </c>
      <c r="B70" s="14">
        <v>2</v>
      </c>
      <c r="C70" s="105">
        <v>0</v>
      </c>
      <c r="D70" s="308" t="s">
        <v>115</v>
      </c>
      <c r="E70" s="13" t="s">
        <v>537</v>
      </c>
      <c r="F70" s="61">
        <v>7703153016050</v>
      </c>
      <c r="G70">
        <f t="shared" si="7"/>
        <v>18000</v>
      </c>
      <c r="H70">
        <f t="shared" si="8"/>
        <v>10</v>
      </c>
      <c r="I70" t="str">
        <f t="shared" si="9"/>
        <v>CLOTRIMAZOL OVULOS X10- COLMED</v>
      </c>
    </row>
    <row r="71" spans="1:9">
      <c r="A71" t="s">
        <v>2747</v>
      </c>
      <c r="B71" s="23">
        <v>6</v>
      </c>
      <c r="C71" s="23">
        <v>0</v>
      </c>
      <c r="D71" s="446" t="s">
        <v>80</v>
      </c>
      <c r="E71" s="41" t="s">
        <v>15</v>
      </c>
      <c r="F71" s="42">
        <v>7703712034679</v>
      </c>
      <c r="G71">
        <f t="shared" si="7"/>
        <v>6000</v>
      </c>
      <c r="H71">
        <f t="shared" si="8"/>
        <v>1</v>
      </c>
      <c r="I71" t="str">
        <f t="shared" si="9"/>
        <v>HIDROCORTISONA CREMA COASPHARMA</v>
      </c>
    </row>
    <row r="72" spans="1:9" ht="15">
      <c r="A72" s="16" t="s">
        <v>1215</v>
      </c>
      <c r="B72" s="14">
        <v>1</v>
      </c>
      <c r="C72" s="105">
        <v>0</v>
      </c>
      <c r="D72" s="308" t="s">
        <v>59</v>
      </c>
      <c r="E72" s="32" t="s">
        <v>1216</v>
      </c>
      <c r="F72" s="20">
        <v>7702195300516</v>
      </c>
      <c r="G72">
        <f t="shared" si="7"/>
        <v>3000</v>
      </c>
      <c r="H72">
        <f t="shared" si="8"/>
        <v>1</v>
      </c>
      <c r="I72" t="str">
        <f t="shared" si="9"/>
        <v>ISODINE OVULOS - YODOPOVIDONA X24</v>
      </c>
    </row>
    <row r="73" spans="1:9">
      <c r="A73" s="12" t="s">
        <v>1989</v>
      </c>
      <c r="B73" s="14">
        <v>3</v>
      </c>
      <c r="C73" s="105">
        <v>0</v>
      </c>
      <c r="D73" s="308" t="s">
        <v>262</v>
      </c>
      <c r="E73" s="13" t="s">
        <v>1519</v>
      </c>
      <c r="F73" s="61">
        <v>7707341100071</v>
      </c>
      <c r="G73">
        <f t="shared" si="7"/>
        <v>7000</v>
      </c>
      <c r="H73">
        <f t="shared" si="8"/>
        <v>10</v>
      </c>
      <c r="I73" t="str">
        <f t="shared" si="9"/>
        <v>MELOXICAM 15MG- IMPOMEL-X</v>
      </c>
    </row>
    <row r="74" spans="1:9">
      <c r="A74" s="71" t="s">
        <v>1064</v>
      </c>
      <c r="B74" s="14">
        <v>3</v>
      </c>
      <c r="C74" s="105">
        <v>0</v>
      </c>
      <c r="D74" s="308" t="s">
        <v>2222</v>
      </c>
      <c r="E74" s="13" t="s">
        <v>1065</v>
      </c>
      <c r="F74" s="61">
        <v>7703153032111</v>
      </c>
      <c r="G74">
        <f t="shared" si="7"/>
        <v>4500</v>
      </c>
      <c r="H74">
        <f t="shared" si="8"/>
        <v>10</v>
      </c>
      <c r="I74" t="str">
        <f t="shared" si="9"/>
        <v>METRONIST OVULOS / METRONIDAZOL + NISTATINA</v>
      </c>
    </row>
    <row r="75" spans="1:9">
      <c r="A75" s="146" t="s">
        <v>1365</v>
      </c>
      <c r="B75" s="147">
        <v>3</v>
      </c>
      <c r="C75" s="148">
        <v>0</v>
      </c>
      <c r="D75" s="444" t="s">
        <v>1366</v>
      </c>
      <c r="E75" s="159" t="s">
        <v>1367</v>
      </c>
      <c r="F75" s="160">
        <v>7703712010000</v>
      </c>
      <c r="G75">
        <f t="shared" si="7"/>
        <v>19000</v>
      </c>
      <c r="H75">
        <f t="shared" si="8"/>
        <v>1</v>
      </c>
      <c r="I75" t="str">
        <f t="shared" si="9"/>
        <v>NELIND- NISTATINA + OXIDO DEZINC 40GR</v>
      </c>
    </row>
    <row r="76" spans="1:9" ht="15">
      <c r="A76" s="53" t="s">
        <v>2748</v>
      </c>
      <c r="B76" s="153">
        <v>1</v>
      </c>
      <c r="C76" s="153">
        <v>0</v>
      </c>
      <c r="D76" s="375" t="s">
        <v>214</v>
      </c>
      <c r="E76" s="152" t="s">
        <v>2749</v>
      </c>
      <c r="F76" s="155">
        <v>7702057169176</v>
      </c>
      <c r="G76">
        <f t="shared" si="7"/>
        <v>2000</v>
      </c>
      <c r="H76">
        <f t="shared" si="8"/>
        <v>1</v>
      </c>
      <c r="I76" t="str">
        <f t="shared" si="9"/>
        <v>NORAVER GRIPA *60 CÁPSULAS</v>
      </c>
    </row>
    <row r="77" spans="1:9">
      <c r="A77" s="12" t="s">
        <v>965</v>
      </c>
      <c r="B77" s="14">
        <v>6</v>
      </c>
      <c r="C77" s="136">
        <v>0</v>
      </c>
      <c r="D77" s="469" t="s">
        <v>118</v>
      </c>
      <c r="E77" s="13" t="s">
        <v>966</v>
      </c>
      <c r="F77" s="61">
        <v>7707177971616</v>
      </c>
      <c r="G77">
        <f t="shared" si="7"/>
        <v>13000</v>
      </c>
      <c r="H77">
        <f t="shared" si="8"/>
        <v>1</v>
      </c>
      <c r="I77" t="str">
        <f t="shared" si="9"/>
        <v>SILDENAFIL 100MG - ERASSIN</v>
      </c>
    </row>
    <row r="78" spans="1:9">
      <c r="A78" t="s">
        <v>2750</v>
      </c>
      <c r="B78" s="23">
        <v>10</v>
      </c>
      <c r="C78" s="23">
        <v>0</v>
      </c>
      <c r="D78" s="446" t="s">
        <v>2751</v>
      </c>
      <c r="E78" s="41" t="s">
        <v>2752</v>
      </c>
      <c r="F78" s="42">
        <v>7708304516267</v>
      </c>
      <c r="G78">
        <f t="shared" si="7"/>
        <v>12000</v>
      </c>
      <c r="H78">
        <f t="shared" si="8"/>
        <v>1</v>
      </c>
      <c r="I78" t="str">
        <f t="shared" si="9"/>
        <v>CLOTRISHER CLOT/NEOM/DEXA *20GR</v>
      </c>
    </row>
    <row r="79" spans="1:9">
      <c r="A79" t="s">
        <v>2753</v>
      </c>
      <c r="B79" s="23">
        <v>2</v>
      </c>
      <c r="C79" s="23">
        <v>0</v>
      </c>
      <c r="D79" s="446" t="s">
        <v>56</v>
      </c>
      <c r="E79" s="41" t="s">
        <v>2754</v>
      </c>
      <c r="F79" s="42">
        <v>7709969869422</v>
      </c>
      <c r="G79">
        <f t="shared" si="7"/>
        <v>28000</v>
      </c>
      <c r="H79">
        <f t="shared" si="8"/>
        <v>1</v>
      </c>
      <c r="I79" t="str">
        <f t="shared" si="9"/>
        <v>IBUCOFLEX - ANTISEPTICO SPRAY</v>
      </c>
    </row>
    <row r="80" spans="1:9">
      <c r="A80" t="s">
        <v>2755</v>
      </c>
      <c r="B80" s="23">
        <v>6</v>
      </c>
      <c r="C80" s="23">
        <v>0</v>
      </c>
      <c r="D80" s="446" t="s">
        <v>227</v>
      </c>
      <c r="E80" s="41" t="s">
        <v>107</v>
      </c>
      <c r="F80" s="42">
        <v>7707019338782</v>
      </c>
      <c r="G80">
        <f t="shared" si="7"/>
        <v>8000</v>
      </c>
      <c r="H80">
        <f t="shared" si="8"/>
        <v>10</v>
      </c>
      <c r="I80" t="str">
        <f t="shared" si="9"/>
        <v>DESLORATADINA TABS X30 - NEWTARPAN</v>
      </c>
    </row>
    <row r="81" spans="1:9" ht="15">
      <c r="A81" s="73" t="s">
        <v>2161</v>
      </c>
      <c r="B81" s="17">
        <v>3</v>
      </c>
      <c r="C81" s="124">
        <v>0</v>
      </c>
      <c r="D81" s="321" t="s">
        <v>527</v>
      </c>
      <c r="E81" s="73" t="s">
        <v>431</v>
      </c>
      <c r="F81" s="20">
        <v>7703038067511</v>
      </c>
      <c r="G81">
        <f t="shared" si="7"/>
        <v>11000</v>
      </c>
      <c r="H81">
        <f t="shared" si="8"/>
        <v>10</v>
      </c>
      <c r="I81" t="str">
        <f t="shared" si="9"/>
        <v>ACICLOVIR 800MG - X50 TABS LAPROFF (X10)</v>
      </c>
    </row>
    <row r="82" spans="1:9">
      <c r="A82" s="7" t="s">
        <v>31</v>
      </c>
      <c r="B82" s="30">
        <v>10</v>
      </c>
      <c r="C82" s="31">
        <v>0</v>
      </c>
      <c r="D82" s="447" t="s">
        <v>32</v>
      </c>
      <c r="E82" s="8" t="s">
        <v>33</v>
      </c>
      <c r="F82" s="63">
        <v>7705486010002</v>
      </c>
      <c r="G82">
        <f t="shared" si="7"/>
        <v>12000</v>
      </c>
      <c r="H82">
        <f t="shared" si="8"/>
        <v>1</v>
      </c>
      <c r="I82" t="str">
        <f t="shared" si="9"/>
        <v>ANTIBIL</v>
      </c>
    </row>
    <row r="83" spans="1:9">
      <c r="A83" t="s">
        <v>1735</v>
      </c>
      <c r="B83" s="23">
        <v>3</v>
      </c>
      <c r="C83" s="51">
        <v>0</v>
      </c>
      <c r="D83" s="446" t="s">
        <v>747</v>
      </c>
      <c r="E83" s="41" t="s">
        <v>1736</v>
      </c>
      <c r="F83" s="42">
        <v>7701205202284</v>
      </c>
      <c r="G83">
        <f t="shared" si="7"/>
        <v>14000</v>
      </c>
      <c r="H83">
        <f t="shared" si="8"/>
        <v>1</v>
      </c>
      <c r="I83" t="str">
        <f t="shared" si="9"/>
        <v>CLORHEXIDINA 4% X120ML - JABON QUIRURGICO ASEPTIDINA -</v>
      </c>
    </row>
    <row r="84" spans="1:9" ht="15">
      <c r="A84" s="45" t="s">
        <v>2756</v>
      </c>
      <c r="B84" s="36">
        <v>6</v>
      </c>
      <c r="C84" s="164">
        <v>0</v>
      </c>
      <c r="D84" s="378" t="s">
        <v>808</v>
      </c>
      <c r="E84" s="76" t="s">
        <v>477</v>
      </c>
      <c r="F84" s="46">
        <v>7707019381085</v>
      </c>
      <c r="G84">
        <f t="shared" si="7"/>
        <v>13000</v>
      </c>
      <c r="H84">
        <f t="shared" si="8"/>
        <v>10</v>
      </c>
      <c r="I84" t="str">
        <f t="shared" si="9"/>
        <v>TIZANIDINA 2MG - MIO REALX</v>
      </c>
    </row>
    <row r="85" spans="1:9" ht="15">
      <c r="A85" s="45" t="s">
        <v>1406</v>
      </c>
      <c r="B85" s="36">
        <v>2</v>
      </c>
      <c r="C85" s="165">
        <v>0.19</v>
      </c>
      <c r="D85" s="488" t="s">
        <v>56</v>
      </c>
      <c r="E85" s="76" t="s">
        <v>1407</v>
      </c>
      <c r="F85" s="46">
        <v>7702123013693</v>
      </c>
      <c r="G85">
        <f t="shared" si="7"/>
        <v>28000</v>
      </c>
      <c r="H85">
        <f t="shared" si="8"/>
        <v>1</v>
      </c>
      <c r="I85" t="str">
        <f t="shared" si="9"/>
        <v>ACID MANTLE TATTOO *30GR</v>
      </c>
    </row>
    <row r="86" spans="1:9" ht="15">
      <c r="A86" s="76" t="s">
        <v>2757</v>
      </c>
      <c r="B86" s="36">
        <v>1</v>
      </c>
      <c r="C86" s="164">
        <v>0</v>
      </c>
      <c r="D86" s="378" t="s">
        <v>2758</v>
      </c>
      <c r="E86" s="76" t="s">
        <v>316</v>
      </c>
      <c r="F86" s="46">
        <v>7702057712396</v>
      </c>
      <c r="G86">
        <f t="shared" si="7"/>
        <v>13600</v>
      </c>
      <c r="H86">
        <f t="shared" si="8"/>
        <v>15</v>
      </c>
      <c r="I86" t="str">
        <f t="shared" si="9"/>
        <v>BIPERIDENO 2MG / X90 TABLETAS</v>
      </c>
    </row>
    <row r="87" spans="1:9">
      <c r="A87" s="7" t="s">
        <v>1383</v>
      </c>
      <c r="B87" s="30">
        <v>3</v>
      </c>
      <c r="C87" s="31">
        <v>0</v>
      </c>
      <c r="D87" s="447" t="s">
        <v>1384</v>
      </c>
      <c r="E87" s="7" t="s">
        <v>1385</v>
      </c>
      <c r="F87" s="129">
        <v>7704412000186</v>
      </c>
      <c r="G87">
        <f t="shared" si="7"/>
        <v>26000</v>
      </c>
      <c r="H87">
        <f t="shared" si="8"/>
        <v>30</v>
      </c>
      <c r="I87" t="str">
        <f t="shared" si="9"/>
        <v>ESCITALOPRAM 10MG- MEMPHIS *30</v>
      </c>
    </row>
    <row r="88" spans="1:9">
      <c r="A88" s="22" t="s">
        <v>1957</v>
      </c>
      <c r="B88" s="11">
        <v>1</v>
      </c>
      <c r="C88" s="166">
        <v>0</v>
      </c>
      <c r="D88" s="483" t="s">
        <v>1955</v>
      </c>
      <c r="E88" s="41" t="s">
        <v>1958</v>
      </c>
      <c r="F88" s="273">
        <v>7702057016029</v>
      </c>
      <c r="G88">
        <f t="shared" si="7"/>
        <v>3600</v>
      </c>
      <c r="H88">
        <f t="shared" si="8"/>
        <v>1</v>
      </c>
      <c r="I88" t="str">
        <f t="shared" si="9"/>
        <v>FENCAFEN X50 TABLETAS</v>
      </c>
    </row>
    <row r="89" spans="1:9">
      <c r="A89" t="s">
        <v>2759</v>
      </c>
      <c r="B89" s="23">
        <v>3</v>
      </c>
      <c r="C89" s="23">
        <v>0</v>
      </c>
      <c r="D89" s="446" t="s">
        <v>1579</v>
      </c>
      <c r="E89" s="41" t="s">
        <v>107</v>
      </c>
      <c r="F89" s="42">
        <v>8904159631615</v>
      </c>
      <c r="G89">
        <f t="shared" si="7"/>
        <v>15500</v>
      </c>
      <c r="H89">
        <f t="shared" si="8"/>
        <v>10</v>
      </c>
      <c r="I89" t="str">
        <f t="shared" si="9"/>
        <v>METFORMINA 500MG - METSAFE X30</v>
      </c>
    </row>
    <row r="90" spans="1:9" ht="15">
      <c r="A90" s="73" t="s">
        <v>1049</v>
      </c>
      <c r="B90" s="17">
        <v>2</v>
      </c>
      <c r="C90" s="124">
        <v>0</v>
      </c>
      <c r="D90" s="321" t="s">
        <v>476</v>
      </c>
      <c r="E90" s="32" t="s">
        <v>1050</v>
      </c>
      <c r="F90" s="20">
        <v>7703038050414</v>
      </c>
      <c r="G90">
        <f t="shared" si="7"/>
        <v>2000</v>
      </c>
      <c r="H90">
        <f t="shared" si="8"/>
        <v>10</v>
      </c>
      <c r="I90" t="str">
        <f t="shared" si="9"/>
        <v>METOPROLOL 50MG- LAPORFF</v>
      </c>
    </row>
    <row r="91" spans="1:9">
      <c r="A91" s="24" t="s">
        <v>397</v>
      </c>
      <c r="B91" s="30">
        <v>1</v>
      </c>
      <c r="C91" s="31">
        <v>0</v>
      </c>
      <c r="D91" s="447" t="s">
        <v>310</v>
      </c>
      <c r="E91" s="7" t="s">
        <v>398</v>
      </c>
      <c r="F91" s="63">
        <v>7707232099354</v>
      </c>
      <c r="G91">
        <f t="shared" si="7"/>
        <v>27000</v>
      </c>
      <c r="H91">
        <f t="shared" si="8"/>
        <v>1</v>
      </c>
      <c r="I91" t="str">
        <f t="shared" si="9"/>
        <v>MIELTERTOS JARABE NIÑO</v>
      </c>
    </row>
    <row r="92" spans="1:9">
      <c r="A92" s="24" t="s">
        <v>1720</v>
      </c>
      <c r="B92" s="30">
        <v>4</v>
      </c>
      <c r="C92" s="31">
        <v>0</v>
      </c>
      <c r="D92" s="447" t="s">
        <v>2679</v>
      </c>
      <c r="E92" s="7" t="s">
        <v>1721</v>
      </c>
      <c r="F92" s="63">
        <v>7704412004276</v>
      </c>
      <c r="G92">
        <f t="shared" si="7"/>
        <v>8000</v>
      </c>
      <c r="H92">
        <f t="shared" si="8"/>
        <v>2</v>
      </c>
      <c r="I92" t="str">
        <f t="shared" si="9"/>
        <v>SECNIDAZOL 1GR MEMPHIS X10</v>
      </c>
    </row>
    <row r="93" spans="1:9">
      <c r="A93" s="7" t="s">
        <v>2760</v>
      </c>
      <c r="B93" s="30">
        <v>4</v>
      </c>
      <c r="C93" s="173">
        <v>0</v>
      </c>
      <c r="D93" s="447" t="s">
        <v>214</v>
      </c>
      <c r="E93" s="7" t="s">
        <v>2761</v>
      </c>
      <c r="F93" s="42">
        <v>7707364802150</v>
      </c>
      <c r="G93">
        <f t="shared" si="7"/>
        <v>2000</v>
      </c>
      <c r="H93">
        <f t="shared" si="8"/>
        <v>1</v>
      </c>
      <c r="I93" t="str">
        <f t="shared" si="9"/>
        <v>VENDA ELÁSTICA 2" *5 YDS MEDICAL SUPPLIES</v>
      </c>
    </row>
    <row r="94" spans="1:9">
      <c r="A94" s="7" t="s">
        <v>445</v>
      </c>
      <c r="B94" s="30">
        <v>4</v>
      </c>
      <c r="C94" s="173">
        <v>0</v>
      </c>
      <c r="D94" s="447" t="s">
        <v>59</v>
      </c>
      <c r="E94" s="7" t="s">
        <v>446</v>
      </c>
      <c r="F94" s="42">
        <v>7707364802167</v>
      </c>
      <c r="G94">
        <f t="shared" si="7"/>
        <v>3000</v>
      </c>
      <c r="H94">
        <f t="shared" si="8"/>
        <v>1</v>
      </c>
      <c r="I94" t="str">
        <f t="shared" si="9"/>
        <v>VENDA ELÁSTICA 3" *5 YDS MEDICAL SUPPLIES</v>
      </c>
    </row>
    <row r="95" spans="1:9">
      <c r="A95" s="7" t="s">
        <v>447</v>
      </c>
      <c r="B95" s="30">
        <v>4</v>
      </c>
      <c r="C95" s="173">
        <v>0</v>
      </c>
      <c r="D95" s="447" t="s">
        <v>519</v>
      </c>
      <c r="E95" s="7" t="s">
        <v>448</v>
      </c>
      <c r="F95" s="42">
        <v>7707364802174</v>
      </c>
      <c r="G95">
        <f t="shared" ref="G95:G158" si="10">IFERROR(VALUE(SUBSTITUTE(LEFT(LOWER(D95),FIND("x",LOWER(D95))-1),",","")),VALUE(SUBSTITUTE(D95,",","")))</f>
        <v>4500</v>
      </c>
      <c r="H95">
        <f t="shared" ref="H95:H158" si="11">IFERROR(VALUE(MID(LOWER(D95),FIND("x",LOWER(D95))+1,20)),1)</f>
        <v>1</v>
      </c>
      <c r="I95" t="str">
        <f t="shared" si="9"/>
        <v>VENDA ELÁSTICA 4" *5 YDS MEDICAL SUPPLIES</v>
      </c>
    </row>
    <row r="96" spans="1:9">
      <c r="A96" s="7" t="s">
        <v>2104</v>
      </c>
      <c r="B96" s="30">
        <v>4</v>
      </c>
      <c r="C96" s="173">
        <v>0</v>
      </c>
      <c r="D96" s="447" t="s">
        <v>80</v>
      </c>
      <c r="E96" s="7" t="s">
        <v>2105</v>
      </c>
      <c r="F96" s="42">
        <v>7707364802181</v>
      </c>
      <c r="G96">
        <f t="shared" si="10"/>
        <v>6000</v>
      </c>
      <c r="H96">
        <f t="shared" si="11"/>
        <v>1</v>
      </c>
      <c r="I96" t="str">
        <f t="shared" si="9"/>
        <v>VENDA ELÁSTICA 5" *5 YDS MEDICAL SUPPLIES</v>
      </c>
    </row>
    <row r="97" spans="1:9">
      <c r="A97" t="s">
        <v>1930</v>
      </c>
      <c r="B97" s="23">
        <v>9</v>
      </c>
      <c r="C97" s="51">
        <v>0</v>
      </c>
      <c r="D97" s="446" t="s">
        <v>1040</v>
      </c>
      <c r="E97" s="39" t="s">
        <v>1473</v>
      </c>
      <c r="F97" s="42">
        <v>8903726176696</v>
      </c>
      <c r="G97">
        <f t="shared" si="10"/>
        <v>13000</v>
      </c>
      <c r="H97">
        <f t="shared" si="11"/>
        <v>30</v>
      </c>
      <c r="I97" t="str">
        <f t="shared" si="9"/>
        <v>QUETIAPINA 25MG / TIQUEPIN 25MG X30</v>
      </c>
    </row>
    <row r="98" spans="1:9">
      <c r="A98" s="159" t="s">
        <v>605</v>
      </c>
      <c r="B98" s="147">
        <v>5</v>
      </c>
      <c r="C98" s="148">
        <v>0</v>
      </c>
      <c r="D98" s="444" t="s">
        <v>747</v>
      </c>
      <c r="E98" s="159" t="s">
        <v>606</v>
      </c>
      <c r="F98" s="160">
        <v>7703451000010</v>
      </c>
      <c r="G98">
        <f t="shared" si="10"/>
        <v>14000</v>
      </c>
      <c r="H98">
        <f t="shared" si="11"/>
        <v>1</v>
      </c>
      <c r="I98" t="str">
        <f t="shared" si="9"/>
        <v>LAB SOREL LOCIÓN</v>
      </c>
    </row>
    <row r="99" spans="1:9">
      <c r="A99" s="146" t="s">
        <v>1152</v>
      </c>
      <c r="B99" s="147">
        <v>1</v>
      </c>
      <c r="C99" s="147">
        <v>0</v>
      </c>
      <c r="D99" s="444" t="s">
        <v>2495</v>
      </c>
      <c r="E99" s="159" t="s">
        <v>1153</v>
      </c>
      <c r="F99" s="160">
        <v>7891317018986</v>
      </c>
      <c r="G99">
        <f t="shared" si="10"/>
        <v>6500</v>
      </c>
      <c r="H99">
        <f t="shared" si="11"/>
        <v>4</v>
      </c>
      <c r="I99" t="str">
        <f t="shared" si="9"/>
        <v>NEOSALDINA 300MG X25 BLISTER X4 CADA UNA</v>
      </c>
    </row>
    <row r="100" spans="1:9">
      <c r="A100" s="146" t="s">
        <v>2178</v>
      </c>
      <c r="B100" s="147">
        <v>3</v>
      </c>
      <c r="C100" s="148">
        <v>0</v>
      </c>
      <c r="D100" s="444" t="s">
        <v>85</v>
      </c>
      <c r="E100" s="41" t="s">
        <v>2179</v>
      </c>
      <c r="F100" s="160">
        <v>7501033959967</v>
      </c>
      <c r="G100">
        <f t="shared" si="10"/>
        <v>11000</v>
      </c>
      <c r="H100">
        <f t="shared" si="11"/>
        <v>1</v>
      </c>
      <c r="I100" t="str">
        <f t="shared" si="9"/>
        <v>PEDIALYTE CEREZA 30 mEq ACTIVE</v>
      </c>
    </row>
    <row r="101" spans="1:9" ht="15">
      <c r="A101" s="53" t="s">
        <v>2368</v>
      </c>
      <c r="B101" s="153">
        <v>3</v>
      </c>
      <c r="C101" s="55">
        <v>0</v>
      </c>
      <c r="D101" s="447" t="s">
        <v>85</v>
      </c>
      <c r="E101" s="152" t="s">
        <v>165</v>
      </c>
      <c r="F101" s="155">
        <v>7501033961540</v>
      </c>
      <c r="G101">
        <f t="shared" si="10"/>
        <v>11000</v>
      </c>
      <c r="H101">
        <f t="shared" si="11"/>
        <v>1</v>
      </c>
      <c r="I101" t="str">
        <f t="shared" si="9"/>
        <v>PEDIALYTE 60- COCO</v>
      </c>
    </row>
    <row r="102" spans="1:9" ht="15">
      <c r="A102" s="73" t="s">
        <v>164</v>
      </c>
      <c r="B102" s="30">
        <v>3</v>
      </c>
      <c r="C102" s="31">
        <v>0</v>
      </c>
      <c r="D102" s="447" t="s">
        <v>85</v>
      </c>
      <c r="E102" s="73" t="s">
        <v>165</v>
      </c>
      <c r="F102" s="110">
        <v>7501033961557</v>
      </c>
      <c r="G102">
        <f t="shared" si="10"/>
        <v>11000</v>
      </c>
      <c r="H102">
        <f t="shared" si="11"/>
        <v>1</v>
      </c>
      <c r="I102" t="str">
        <f t="shared" si="9"/>
        <v>PEDIALYTE FRESA 60 mEq</v>
      </c>
    </row>
    <row r="103" spans="1:9">
      <c r="A103" s="146" t="s">
        <v>2058</v>
      </c>
      <c r="B103" s="147">
        <v>2</v>
      </c>
      <c r="C103" s="147">
        <v>0</v>
      </c>
      <c r="D103" s="444" t="s">
        <v>103</v>
      </c>
      <c r="E103" s="159" t="s">
        <v>1519</v>
      </c>
      <c r="F103" s="160">
        <v>7702605102327</v>
      </c>
      <c r="G103">
        <f t="shared" si="10"/>
        <v>5000</v>
      </c>
      <c r="H103">
        <f t="shared" si="11"/>
        <v>10</v>
      </c>
      <c r="I103" t="str">
        <f t="shared" si="9"/>
        <v>PIROXICAM 20MG- GENFAR</v>
      </c>
    </row>
    <row r="104" spans="1:9">
      <c r="A104" s="141" t="s">
        <v>1959</v>
      </c>
      <c r="B104" s="147">
        <v>3</v>
      </c>
      <c r="C104" s="148">
        <v>0</v>
      </c>
      <c r="D104" s="444" t="s">
        <v>74</v>
      </c>
      <c r="E104" s="159" t="s">
        <v>1960</v>
      </c>
      <c r="F104" s="160">
        <v>7709990383645</v>
      </c>
      <c r="G104">
        <f t="shared" si="10"/>
        <v>20000</v>
      </c>
      <c r="H104">
        <f t="shared" si="11"/>
        <v>1</v>
      </c>
      <c r="I104" t="str">
        <f t="shared" si="9"/>
        <v>TRIMICORT LOCIÓN *60ML</v>
      </c>
    </row>
    <row r="105" spans="1:9">
      <c r="A105" t="s">
        <v>2762</v>
      </c>
      <c r="B105" s="23">
        <v>3</v>
      </c>
      <c r="C105" s="51">
        <v>0.19</v>
      </c>
      <c r="D105" s="446" t="s">
        <v>7</v>
      </c>
      <c r="E105" s="39" t="s">
        <v>2763</v>
      </c>
      <c r="F105" s="42">
        <v>7707353303545</v>
      </c>
      <c r="G105">
        <f t="shared" si="10"/>
        <v>7000</v>
      </c>
      <c r="H105">
        <f t="shared" si="11"/>
        <v>1</v>
      </c>
      <c r="I105" t="str">
        <f t="shared" si="9"/>
        <v>ACIDO BORICO *200GR- PROMARQUIN</v>
      </c>
    </row>
    <row r="106" spans="1:9">
      <c r="A106" s="71" t="s">
        <v>1812</v>
      </c>
      <c r="B106" s="14">
        <v>5</v>
      </c>
      <c r="C106" s="174">
        <v>0</v>
      </c>
      <c r="D106" s="308" t="s">
        <v>7</v>
      </c>
      <c r="E106" s="13" t="s">
        <v>1813</v>
      </c>
      <c r="F106" s="61">
        <v>7702184020227</v>
      </c>
      <c r="G106">
        <f t="shared" si="10"/>
        <v>7000</v>
      </c>
      <c r="H106">
        <f t="shared" si="11"/>
        <v>1</v>
      </c>
      <c r="I106" t="str">
        <f t="shared" si="9"/>
        <v>CETIRIZINA JARABE - ECAR</v>
      </c>
    </row>
    <row r="107" spans="1:9" ht="28.5">
      <c r="A107" s="22" t="s">
        <v>211</v>
      </c>
      <c r="B107" s="11">
        <v>5</v>
      </c>
      <c r="C107" s="194">
        <v>0</v>
      </c>
      <c r="D107" s="483" t="s">
        <v>109</v>
      </c>
      <c r="E107" s="41" t="s">
        <v>212</v>
      </c>
      <c r="F107" s="273">
        <v>7703038878728</v>
      </c>
      <c r="G107">
        <f t="shared" si="10"/>
        <v>10000</v>
      </c>
      <c r="H107">
        <f t="shared" si="11"/>
        <v>1</v>
      </c>
      <c r="I107" t="str">
        <f t="shared" si="9"/>
        <v>CLOTRIMAZOL VAGINAL 1% - LAPROFF X40GR</v>
      </c>
    </row>
    <row r="108" spans="1:9" ht="15">
      <c r="A108" s="21" t="s">
        <v>1102</v>
      </c>
      <c r="B108" s="36">
        <v>3</v>
      </c>
      <c r="C108" s="164">
        <v>0</v>
      </c>
      <c r="D108" s="378" t="s">
        <v>1103</v>
      </c>
      <c r="E108" s="76" t="s">
        <v>1104</v>
      </c>
      <c r="F108" s="46">
        <v>7702057088835</v>
      </c>
      <c r="G108">
        <f t="shared" si="10"/>
        <v>10000</v>
      </c>
      <c r="H108">
        <f t="shared" si="11"/>
        <v>1</v>
      </c>
      <c r="I108" t="str">
        <f t="shared" si="9"/>
        <v>CREMA No.4 *20GR</v>
      </c>
    </row>
    <row r="109" spans="1:9" ht="15">
      <c r="A109" s="178" t="s">
        <v>688</v>
      </c>
      <c r="B109" s="179">
        <v>3</v>
      </c>
      <c r="C109" s="180">
        <v>0</v>
      </c>
      <c r="D109" s="494" t="s">
        <v>23</v>
      </c>
      <c r="E109" s="181" t="s">
        <v>689</v>
      </c>
      <c r="F109" s="467">
        <v>7707321982093</v>
      </c>
      <c r="G109">
        <f t="shared" si="10"/>
        <v>15000</v>
      </c>
      <c r="H109">
        <f t="shared" si="11"/>
        <v>1</v>
      </c>
      <c r="I109" t="str">
        <f t="shared" si="9"/>
        <v>DIHIDROCODEINA HUMAX</v>
      </c>
    </row>
    <row r="110" spans="1:9">
      <c r="A110" s="69" t="s">
        <v>1872</v>
      </c>
      <c r="B110" s="14">
        <v>2</v>
      </c>
      <c r="C110" s="105">
        <v>0</v>
      </c>
      <c r="D110" s="308" t="s">
        <v>348</v>
      </c>
      <c r="E110" s="13" t="s">
        <v>1873</v>
      </c>
      <c r="F110" s="61">
        <v>7702057067212</v>
      </c>
      <c r="G110">
        <f t="shared" si="10"/>
        <v>36000</v>
      </c>
      <c r="H110">
        <f t="shared" si="11"/>
        <v>1</v>
      </c>
      <c r="I110" t="str">
        <f t="shared" si="9"/>
        <v>HEMOCYTON ELIXIR</v>
      </c>
    </row>
    <row r="111" spans="1:9">
      <c r="A111" t="s">
        <v>1016</v>
      </c>
      <c r="B111" s="23">
        <v>1</v>
      </c>
      <c r="C111" s="51">
        <v>0</v>
      </c>
      <c r="D111" s="446" t="s">
        <v>1507</v>
      </c>
      <c r="E111" s="41" t="s">
        <v>779</v>
      </c>
      <c r="F111" s="42">
        <v>7702870070888</v>
      </c>
      <c r="G111">
        <f t="shared" si="10"/>
        <v>3200</v>
      </c>
      <c r="H111">
        <f t="shared" si="11"/>
        <v>2</v>
      </c>
      <c r="I111" t="str">
        <f t="shared" si="9"/>
        <v>SEVEDOL EXTRAFUERTE x60</v>
      </c>
    </row>
    <row r="112" spans="1:9">
      <c r="A112" t="s">
        <v>1000</v>
      </c>
      <c r="B112" s="23">
        <v>3</v>
      </c>
      <c r="C112" s="51">
        <v>0</v>
      </c>
      <c r="D112" s="446" t="s">
        <v>491</v>
      </c>
      <c r="E112" s="39" t="s">
        <v>1001</v>
      </c>
      <c r="F112" s="42">
        <v>7703689240998</v>
      </c>
      <c r="G112">
        <f t="shared" si="10"/>
        <v>24000</v>
      </c>
      <c r="H112">
        <f t="shared" si="11"/>
        <v>1</v>
      </c>
      <c r="I112" t="str">
        <f t="shared" si="9"/>
        <v>ILEINE - ACETATO DE MEDROXIPROGESTERONA</v>
      </c>
    </row>
    <row r="113" spans="1:9">
      <c r="A113" t="s">
        <v>2053</v>
      </c>
      <c r="B113" s="23">
        <v>1</v>
      </c>
      <c r="C113" s="23">
        <v>0</v>
      </c>
      <c r="D113" s="446" t="s">
        <v>227</v>
      </c>
      <c r="E113" s="41" t="s">
        <v>107</v>
      </c>
      <c r="F113" s="42">
        <v>7702057711368</v>
      </c>
      <c r="G113">
        <f t="shared" si="10"/>
        <v>8000</v>
      </c>
      <c r="H113">
        <f t="shared" si="11"/>
        <v>10</v>
      </c>
      <c r="I113" t="str">
        <f t="shared" si="9"/>
        <v>PROPANOLOL 40MG - MK X30TABS</v>
      </c>
    </row>
    <row r="114" spans="1:9" ht="15">
      <c r="A114" s="18" t="s">
        <v>102</v>
      </c>
      <c r="B114" s="17">
        <v>1</v>
      </c>
      <c r="C114" s="124">
        <v>0</v>
      </c>
      <c r="D114" s="321" t="s">
        <v>2222</v>
      </c>
      <c r="E114" s="73" t="s">
        <v>104</v>
      </c>
      <c r="F114" s="20">
        <v>7703038050452</v>
      </c>
      <c r="G114">
        <f t="shared" si="10"/>
        <v>4500</v>
      </c>
      <c r="H114">
        <f t="shared" si="11"/>
        <v>10</v>
      </c>
      <c r="I114" t="str">
        <f t="shared" si="9"/>
        <v>NAPROXENO 500MG x300 tabs</v>
      </c>
    </row>
    <row r="115" spans="1:9">
      <c r="A115" t="s">
        <v>2764</v>
      </c>
      <c r="B115" s="23">
        <v>2</v>
      </c>
      <c r="C115" s="51">
        <v>0.19</v>
      </c>
      <c r="D115" s="446" t="s">
        <v>88</v>
      </c>
      <c r="E115" s="39" t="s">
        <v>2765</v>
      </c>
      <c r="F115" s="42">
        <v>7701684650026</v>
      </c>
      <c r="G115">
        <f t="shared" si="10"/>
        <v>18000</v>
      </c>
      <c r="H115">
        <f t="shared" si="11"/>
        <v>1</v>
      </c>
      <c r="I115" t="str">
        <f t="shared" si="9"/>
        <v>ALMIPRO EMOLIENTE CORPORAL X200GR</v>
      </c>
    </row>
    <row r="116" spans="1:9">
      <c r="A116" t="s">
        <v>1410</v>
      </c>
      <c r="B116" s="23">
        <v>1</v>
      </c>
      <c r="C116" s="51">
        <v>0.19</v>
      </c>
      <c r="D116" s="446" t="s">
        <v>56</v>
      </c>
      <c r="E116" s="39" t="s">
        <v>1411</v>
      </c>
      <c r="F116" s="42">
        <v>7709514060571</v>
      </c>
      <c r="G116">
        <f t="shared" si="10"/>
        <v>28000</v>
      </c>
      <c r="H116">
        <f t="shared" si="11"/>
        <v>1</v>
      </c>
      <c r="I116" t="str">
        <f t="shared" si="9"/>
        <v>ALMIPRO EMOLIENTE CORPORAL X400GR</v>
      </c>
    </row>
    <row r="117" spans="1:9">
      <c r="A117" t="s">
        <v>1491</v>
      </c>
      <c r="B117" s="23">
        <v>2</v>
      </c>
      <c r="C117" s="51">
        <v>0</v>
      </c>
      <c r="D117" s="446" t="s">
        <v>56</v>
      </c>
      <c r="E117" s="41" t="s">
        <v>1492</v>
      </c>
      <c r="F117" s="42">
        <v>7704588000430</v>
      </c>
      <c r="G117">
        <f t="shared" si="10"/>
        <v>28000</v>
      </c>
      <c r="H117">
        <f t="shared" si="11"/>
        <v>1</v>
      </c>
      <c r="I117" t="str">
        <f t="shared" si="9"/>
        <v>ROXICAINA 5%- POMADA</v>
      </c>
    </row>
    <row r="118" spans="1:9">
      <c r="A118" s="24" t="s">
        <v>2766</v>
      </c>
      <c r="B118" s="30">
        <v>1</v>
      </c>
      <c r="C118" s="31">
        <v>0</v>
      </c>
      <c r="D118" s="447" t="s">
        <v>430</v>
      </c>
      <c r="E118" s="7" t="s">
        <v>2767</v>
      </c>
      <c r="F118" s="63">
        <v>7703889152558</v>
      </c>
      <c r="G118">
        <f t="shared" si="10"/>
        <v>3000</v>
      </c>
      <c r="H118">
        <f t="shared" si="11"/>
        <v>2</v>
      </c>
      <c r="I118" t="str">
        <f t="shared" si="9"/>
        <v>DESCONGEL GRIPA *100 CA´P</v>
      </c>
    </row>
    <row r="119" spans="1:9" ht="28.5">
      <c r="A119" s="22" t="s">
        <v>502</v>
      </c>
      <c r="B119" s="11">
        <v>1</v>
      </c>
      <c r="C119" s="194">
        <v>0</v>
      </c>
      <c r="D119" s="483" t="s">
        <v>381</v>
      </c>
      <c r="E119" s="41" t="s">
        <v>504</v>
      </c>
      <c r="F119" s="273">
        <v>7702132011369</v>
      </c>
      <c r="G119">
        <f t="shared" si="10"/>
        <v>40000</v>
      </c>
      <c r="H119">
        <f t="shared" si="11"/>
        <v>1</v>
      </c>
      <c r="I119" t="str">
        <f t="shared" si="9"/>
        <v>MUCOSINA JAB</v>
      </c>
    </row>
    <row r="120" spans="1:9">
      <c r="A120" t="s">
        <v>2768</v>
      </c>
      <c r="B120" s="23">
        <v>3</v>
      </c>
      <c r="C120" s="23">
        <v>0</v>
      </c>
      <c r="D120" s="446" t="s">
        <v>567</v>
      </c>
      <c r="E120" s="41" t="s">
        <v>83</v>
      </c>
      <c r="F120" s="42">
        <v>7702057707033</v>
      </c>
      <c r="G120">
        <f t="shared" si="10"/>
        <v>18000</v>
      </c>
      <c r="H120">
        <f t="shared" si="11"/>
        <v>30</v>
      </c>
      <c r="I120" t="str">
        <f t="shared" si="9"/>
        <v>TELMISARTAN 40MG X30 - MK</v>
      </c>
    </row>
    <row r="121" spans="1:9">
      <c r="A121" t="s">
        <v>2038</v>
      </c>
      <c r="B121" s="23">
        <v>1</v>
      </c>
      <c r="C121" s="23">
        <v>0</v>
      </c>
      <c r="D121" s="446" t="s">
        <v>2039</v>
      </c>
      <c r="E121" s="39" t="s">
        <v>2040</v>
      </c>
      <c r="F121" s="42">
        <v>7702605109173</v>
      </c>
      <c r="G121">
        <f t="shared" si="10"/>
        <v>190000</v>
      </c>
      <c r="H121">
        <f t="shared" si="11"/>
        <v>21</v>
      </c>
      <c r="I121" t="str">
        <f t="shared" si="9"/>
        <v>VALACICLOVIR 1GR X21 TABS - GENFAR</v>
      </c>
    </row>
    <row r="122" spans="1:9">
      <c r="A122" s="22" t="s">
        <v>354</v>
      </c>
      <c r="B122" s="23">
        <v>1</v>
      </c>
      <c r="C122" s="23">
        <v>0</v>
      </c>
      <c r="D122" s="446" t="s">
        <v>355</v>
      </c>
      <c r="E122" s="41" t="s">
        <v>356</v>
      </c>
      <c r="F122" s="42">
        <v>7707355059365</v>
      </c>
      <c r="G122">
        <f t="shared" si="10"/>
        <v>10000</v>
      </c>
      <c r="H122">
        <f t="shared" si="11"/>
        <v>10</v>
      </c>
      <c r="I122" t="str">
        <f t="shared" si="9"/>
        <v>ADOREM PLUS X130 - ACETAMINOGEN + CAFEINA 500MG/50MG</v>
      </c>
    </row>
    <row r="123" spans="1:9" ht="15">
      <c r="A123" s="195" t="s">
        <v>950</v>
      </c>
      <c r="B123" s="197">
        <v>1</v>
      </c>
      <c r="C123" s="198">
        <v>0</v>
      </c>
      <c r="D123" s="382" t="s">
        <v>2769</v>
      </c>
      <c r="E123" s="195" t="s">
        <v>951</v>
      </c>
      <c r="F123" s="420">
        <v>7702057071813</v>
      </c>
      <c r="G123">
        <f t="shared" si="10"/>
        <v>50000</v>
      </c>
      <c r="H123">
        <f t="shared" si="11"/>
        <v>30</v>
      </c>
      <c r="I123" t="str">
        <f t="shared" si="9"/>
        <v>BIOCALCIUM D *30 SOBRES</v>
      </c>
    </row>
    <row r="124" spans="1:9" ht="15">
      <c r="A124" s="19" t="s">
        <v>794</v>
      </c>
      <c r="B124" s="37">
        <v>1</v>
      </c>
      <c r="C124" s="37">
        <v>0</v>
      </c>
      <c r="D124" s="376" t="s">
        <v>355</v>
      </c>
      <c r="E124" s="117" t="s">
        <v>795</v>
      </c>
      <c r="F124" s="115">
        <v>7702057233211</v>
      </c>
      <c r="G124">
        <f t="shared" si="10"/>
        <v>10000</v>
      </c>
      <c r="H124">
        <f t="shared" si="11"/>
        <v>10</v>
      </c>
      <c r="I124" t="str">
        <f t="shared" si="9"/>
        <v>CELECOXIB 100MG - MK - X20</v>
      </c>
    </row>
    <row r="125" spans="1:9">
      <c r="A125" s="24" t="s">
        <v>2203</v>
      </c>
      <c r="B125" s="14">
        <v>12</v>
      </c>
      <c r="C125" s="105">
        <v>0</v>
      </c>
      <c r="D125" s="308" t="s">
        <v>91</v>
      </c>
      <c r="E125" s="7" t="s">
        <v>1639</v>
      </c>
      <c r="F125" s="63">
        <v>7709740450399</v>
      </c>
      <c r="G125">
        <f t="shared" si="10"/>
        <v>16000</v>
      </c>
      <c r="H125">
        <f t="shared" si="11"/>
        <v>1</v>
      </c>
      <c r="I125" t="str">
        <f t="shared" si="9"/>
        <v>NOKTOS ADULTO / GUAYACOLATO + BROMHEXINA SUSP</v>
      </c>
    </row>
    <row r="126" spans="1:9">
      <c r="A126" s="24" t="s">
        <v>1355</v>
      </c>
      <c r="B126" s="30">
        <v>1</v>
      </c>
      <c r="C126" s="31">
        <v>0</v>
      </c>
      <c r="D126" s="447" t="s">
        <v>1356</v>
      </c>
      <c r="E126" s="7" t="s">
        <v>1357</v>
      </c>
      <c r="F126" s="63">
        <v>7702870070604</v>
      </c>
      <c r="G126">
        <f t="shared" si="10"/>
        <v>1500</v>
      </c>
      <c r="H126">
        <f t="shared" si="11"/>
        <v>1</v>
      </c>
      <c r="I126" t="str">
        <f t="shared" si="9"/>
        <v>COLIK FORTE - NAPROXENO 220 MG - ACETAMINOFEN 250 MG - CAFEINA 65 MG / X15 TABLETAS</v>
      </c>
    </row>
    <row r="127" spans="1:9" ht="15">
      <c r="A127" s="16" t="s">
        <v>2991</v>
      </c>
      <c r="B127" s="17">
        <v>1</v>
      </c>
      <c r="C127" s="33">
        <v>0</v>
      </c>
      <c r="D127" s="477" t="s">
        <v>59</v>
      </c>
      <c r="E127" s="73" t="s">
        <v>412</v>
      </c>
      <c r="F127" s="20">
        <v>7702057162436</v>
      </c>
      <c r="G127">
        <f t="shared" si="10"/>
        <v>3000</v>
      </c>
      <c r="H127">
        <f t="shared" si="11"/>
        <v>1</v>
      </c>
      <c r="I127" t="str">
        <f>TRIM(A127)</f>
        <v>NORAVER FAST TOTAL X60 TABS / IBUPROFENO- FENILEFRINA CLORH- LEVOCETIRIZINA DICLRH - DEXTROMETORFANO BROMH</v>
      </c>
    </row>
    <row r="128" spans="1:9">
      <c r="A128" s="24" t="s">
        <v>2770</v>
      </c>
      <c r="B128" s="30">
        <v>1</v>
      </c>
      <c r="C128" s="31">
        <v>0</v>
      </c>
      <c r="D128" s="447" t="s">
        <v>222</v>
      </c>
      <c r="E128" s="7" t="s">
        <v>2771</v>
      </c>
      <c r="F128" s="63">
        <v>7702870001929</v>
      </c>
      <c r="G128">
        <f t="shared" si="10"/>
        <v>1500</v>
      </c>
      <c r="H128">
        <f t="shared" si="11"/>
        <v>1</v>
      </c>
      <c r="I128" t="str">
        <f t="shared" si="9"/>
        <v>SEVEDOL X24 / ACETAMINOFEN+ACIDO ACETILSALICILICO+ CAFEINA</v>
      </c>
    </row>
    <row r="129" spans="1:9">
      <c r="A129" s="28" t="s">
        <v>2772</v>
      </c>
      <c r="B129" s="30">
        <v>2</v>
      </c>
      <c r="C129" s="30">
        <v>0</v>
      </c>
      <c r="D129" s="447" t="s">
        <v>381</v>
      </c>
      <c r="E129" s="8" t="s">
        <v>2773</v>
      </c>
      <c r="F129" s="63">
        <v>7707239270060</v>
      </c>
      <c r="G129">
        <f t="shared" si="10"/>
        <v>40000</v>
      </c>
      <c r="H129">
        <f t="shared" si="11"/>
        <v>1</v>
      </c>
      <c r="I129" t="str">
        <f t="shared" si="9"/>
        <v>FREEGEN GEL X15ML</v>
      </c>
    </row>
    <row r="130" spans="1:9">
      <c r="A130" t="s">
        <v>2774</v>
      </c>
      <c r="B130" s="147">
        <v>3</v>
      </c>
      <c r="C130" s="147">
        <v>0</v>
      </c>
      <c r="D130" s="444" t="s">
        <v>109</v>
      </c>
      <c r="E130" s="39" t="s">
        <v>2775</v>
      </c>
      <c r="F130" s="42">
        <v>7709990304008</v>
      </c>
      <c r="G130">
        <f t="shared" si="10"/>
        <v>10000</v>
      </c>
      <c r="H130">
        <f t="shared" si="11"/>
        <v>1</v>
      </c>
      <c r="I130" t="str">
        <f t="shared" si="9"/>
        <v>CLORHEXIDINA 4% JABÓN LIQUIDO - VIOXIN X60ML</v>
      </c>
    </row>
    <row r="131" spans="1:9" ht="15">
      <c r="A131" s="32" t="s">
        <v>2776</v>
      </c>
      <c r="B131" s="17">
        <v>2</v>
      </c>
      <c r="C131" s="509">
        <v>0</v>
      </c>
      <c r="D131" s="321" t="s">
        <v>310</v>
      </c>
      <c r="E131" s="73" t="s">
        <v>2777</v>
      </c>
      <c r="F131" s="20">
        <v>7707274721107</v>
      </c>
      <c r="G131">
        <f t="shared" si="10"/>
        <v>27000</v>
      </c>
      <c r="H131">
        <f t="shared" si="11"/>
        <v>1</v>
      </c>
      <c r="I131" t="str">
        <f t="shared" ref="I131:I194" si="12">TRIM(A131)</f>
        <v>BROMURO IPATROPIO - INHALADOR IPRASYNT 20MG</v>
      </c>
    </row>
    <row r="132" spans="1:9" ht="15">
      <c r="A132" s="53" t="s">
        <v>139</v>
      </c>
      <c r="B132" s="153">
        <v>1</v>
      </c>
      <c r="C132" s="55">
        <v>0</v>
      </c>
      <c r="D132" s="375" t="s">
        <v>91</v>
      </c>
      <c r="E132" s="96" t="s">
        <v>140</v>
      </c>
      <c r="F132" s="155">
        <v>7707210530015</v>
      </c>
      <c r="G132">
        <f t="shared" si="10"/>
        <v>16000</v>
      </c>
      <c r="H132">
        <f t="shared" si="11"/>
        <v>1</v>
      </c>
      <c r="I132" t="str">
        <f t="shared" si="12"/>
        <v>CALADERM - ROSADO</v>
      </c>
    </row>
    <row r="133" spans="1:9">
      <c r="A133" s="24" t="s">
        <v>2778</v>
      </c>
      <c r="B133" s="30">
        <v>1</v>
      </c>
      <c r="C133" s="31">
        <v>0.19</v>
      </c>
      <c r="D133" s="447" t="s">
        <v>85</v>
      </c>
      <c r="E133" s="8" t="s">
        <v>1536</v>
      </c>
      <c r="F133" s="63">
        <v>7702123003137</v>
      </c>
      <c r="G133">
        <f t="shared" si="10"/>
        <v>11000</v>
      </c>
      <c r="H133">
        <f t="shared" si="11"/>
        <v>1</v>
      </c>
      <c r="I133" t="str">
        <f t="shared" si="12"/>
        <v>ACID MANTLE JABON X1</v>
      </c>
    </row>
    <row r="134" spans="1:9">
      <c r="A134" s="24" t="s">
        <v>1535</v>
      </c>
      <c r="B134" s="30">
        <v>1</v>
      </c>
      <c r="C134" s="31">
        <v>0.19</v>
      </c>
      <c r="D134" s="447" t="s">
        <v>2779</v>
      </c>
      <c r="E134" s="8" t="s">
        <v>1536</v>
      </c>
      <c r="F134" s="63">
        <v>7702123014447</v>
      </c>
      <c r="G134">
        <f t="shared" si="10"/>
        <v>22000</v>
      </c>
      <c r="H134">
        <f t="shared" si="11"/>
        <v>3</v>
      </c>
      <c r="I134" t="str">
        <f t="shared" si="12"/>
        <v>ACID MANTLE JABON X3</v>
      </c>
    </row>
    <row r="135" spans="1:9" ht="15">
      <c r="A135" s="18" t="s">
        <v>2780</v>
      </c>
      <c r="B135" s="17">
        <v>1</v>
      </c>
      <c r="C135" s="124">
        <v>0</v>
      </c>
      <c r="D135" s="321" t="s">
        <v>20</v>
      </c>
      <c r="E135" s="73" t="s">
        <v>2781</v>
      </c>
      <c r="F135" s="20">
        <v>7702123012184</v>
      </c>
      <c r="G135">
        <f t="shared" si="10"/>
        <v>2000</v>
      </c>
      <c r="H135">
        <f t="shared" si="11"/>
        <v>2</v>
      </c>
      <c r="I135" t="str">
        <f t="shared" si="12"/>
        <v>ALKA SELTZER*60 TAB + 14 TABS</v>
      </c>
    </row>
    <row r="136" spans="1:9">
      <c r="A136" t="s">
        <v>1417</v>
      </c>
      <c r="B136" s="23">
        <v>4</v>
      </c>
      <c r="C136" s="51">
        <v>0</v>
      </c>
      <c r="D136" s="446" t="s">
        <v>29</v>
      </c>
      <c r="E136" s="39" t="s">
        <v>827</v>
      </c>
      <c r="F136" s="42">
        <v>7702184010754</v>
      </c>
      <c r="G136">
        <f t="shared" si="10"/>
        <v>15000</v>
      </c>
      <c r="H136">
        <f t="shared" si="11"/>
        <v>10</v>
      </c>
      <c r="I136" t="str">
        <f t="shared" si="12"/>
        <v>ORLISTAT 120MG - ECAR X30</v>
      </c>
    </row>
    <row r="137" spans="1:9" ht="15">
      <c r="A137" s="64" t="s">
        <v>2782</v>
      </c>
      <c r="B137" s="102">
        <v>2</v>
      </c>
      <c r="C137" s="205">
        <v>0.19</v>
      </c>
      <c r="D137" s="443" t="s">
        <v>2783</v>
      </c>
      <c r="E137" s="64" t="s">
        <v>2631</v>
      </c>
      <c r="F137" s="115">
        <v>7702026179380</v>
      </c>
      <c r="G137">
        <f t="shared" si="10"/>
        <v>100000</v>
      </c>
      <c r="H137">
        <f t="shared" si="11"/>
        <v>20</v>
      </c>
      <c r="I137" t="str">
        <f t="shared" si="12"/>
        <v>TENA M - PANTS ULTRA *20</v>
      </c>
    </row>
    <row r="138" spans="1:9">
      <c r="A138" s="24" t="s">
        <v>87</v>
      </c>
      <c r="B138" s="30">
        <v>5</v>
      </c>
      <c r="C138" s="31">
        <v>0</v>
      </c>
      <c r="D138" s="447" t="s">
        <v>88</v>
      </c>
      <c r="E138" s="7" t="s">
        <v>89</v>
      </c>
      <c r="F138" s="63">
        <v>7896116865618</v>
      </c>
      <c r="G138">
        <f t="shared" si="10"/>
        <v>18000</v>
      </c>
      <c r="H138">
        <f t="shared" si="11"/>
        <v>1</v>
      </c>
      <c r="I138" t="str">
        <f t="shared" si="12"/>
        <v>DIANE 35</v>
      </c>
    </row>
    <row r="139" spans="1:9" ht="28.5">
      <c r="A139" s="69" t="s">
        <v>1169</v>
      </c>
      <c r="B139" s="14">
        <v>1</v>
      </c>
      <c r="C139" s="105">
        <v>0</v>
      </c>
      <c r="D139" s="308" t="s">
        <v>2784</v>
      </c>
      <c r="E139" s="12" t="s">
        <v>1171</v>
      </c>
      <c r="F139" s="61">
        <v>7896006202509</v>
      </c>
      <c r="G139">
        <f t="shared" si="10"/>
        <v>8000</v>
      </c>
      <c r="H139">
        <f t="shared" si="11"/>
        <v>21</v>
      </c>
      <c r="I139" t="str">
        <f t="shared" si="12"/>
        <v>NEOGYNON / LEVONORGESTREL + ETINILESTRADIOL 0,25/0,05MG X21 TABS</v>
      </c>
    </row>
    <row r="140" spans="1:9">
      <c r="A140" s="71" t="s">
        <v>2785</v>
      </c>
      <c r="B140" s="14">
        <v>2</v>
      </c>
      <c r="C140" s="105">
        <v>0</v>
      </c>
      <c r="D140" s="308" t="s">
        <v>53</v>
      </c>
      <c r="E140" s="13" t="s">
        <v>2786</v>
      </c>
      <c r="F140" s="61">
        <v>7703038050063</v>
      </c>
      <c r="G140">
        <f t="shared" si="10"/>
        <v>1500</v>
      </c>
      <c r="H140">
        <f t="shared" si="11"/>
        <v>10</v>
      </c>
      <c r="I140" t="str">
        <f t="shared" si="12"/>
        <v>AMITRIPTILINA LA PROFF *400 TAB</v>
      </c>
    </row>
    <row r="141" spans="1:9" ht="15">
      <c r="A141" s="16" t="s">
        <v>2787</v>
      </c>
      <c r="B141" s="17">
        <v>8</v>
      </c>
      <c r="C141" s="17">
        <v>0</v>
      </c>
      <c r="D141" s="321" t="s">
        <v>7</v>
      </c>
      <c r="E141" s="73" t="s">
        <v>1639</v>
      </c>
      <c r="F141" s="110">
        <v>7703038060420</v>
      </c>
      <c r="G141">
        <f t="shared" si="10"/>
        <v>7000</v>
      </c>
      <c r="H141">
        <f t="shared" si="11"/>
        <v>1</v>
      </c>
      <c r="I141" t="str">
        <f t="shared" si="12"/>
        <v>DIFENHIDRAMINA JBE LA PROFF *120ML</v>
      </c>
    </row>
    <row r="142" spans="1:9">
      <c r="A142" t="s">
        <v>2788</v>
      </c>
      <c r="B142" s="23">
        <v>2</v>
      </c>
      <c r="C142" s="238">
        <v>0</v>
      </c>
      <c r="D142" s="446" t="s">
        <v>1593</v>
      </c>
      <c r="E142" s="39" t="s">
        <v>1721</v>
      </c>
      <c r="F142" s="42">
        <v>7707019381054</v>
      </c>
      <c r="G142">
        <f t="shared" si="10"/>
        <v>22000</v>
      </c>
      <c r="H142">
        <f t="shared" si="11"/>
        <v>10</v>
      </c>
      <c r="I142" t="str">
        <f t="shared" si="12"/>
        <v>MIO RELAX 4MG- TIZANIDINA</v>
      </c>
    </row>
    <row r="143" spans="1:9">
      <c r="A143" s="22" t="s">
        <v>1086</v>
      </c>
      <c r="B143" s="23">
        <v>3</v>
      </c>
      <c r="C143" s="23">
        <v>0</v>
      </c>
      <c r="D143" s="446" t="s">
        <v>115</v>
      </c>
      <c r="E143" s="41" t="s">
        <v>1087</v>
      </c>
      <c r="F143" s="42">
        <v>7702027440106</v>
      </c>
      <c r="G143">
        <f t="shared" si="10"/>
        <v>18000</v>
      </c>
      <c r="H143">
        <f t="shared" si="11"/>
        <v>10</v>
      </c>
      <c r="I143" t="str">
        <f t="shared" si="12"/>
        <v>TOALLAS NOSOTRAS MATERNAS X10 + 3 BUENAS NOCHES</v>
      </c>
    </row>
    <row r="144" spans="1:9">
      <c r="A144" s="24" t="s">
        <v>714</v>
      </c>
      <c r="B144" s="30">
        <v>2</v>
      </c>
      <c r="C144" s="31">
        <v>0</v>
      </c>
      <c r="D144" s="447" t="s">
        <v>715</v>
      </c>
      <c r="E144" s="8" t="s">
        <v>716</v>
      </c>
      <c r="F144" s="63">
        <v>650240069932</v>
      </c>
      <c r="G144">
        <f t="shared" si="10"/>
        <v>1700</v>
      </c>
      <c r="H144">
        <f t="shared" si="11"/>
        <v>1</v>
      </c>
      <c r="I144" t="str">
        <f t="shared" si="12"/>
        <v>X RAY DOL *80 TAB</v>
      </c>
    </row>
    <row r="145" spans="1:9" ht="15">
      <c r="A145" s="43" t="s">
        <v>2789</v>
      </c>
      <c r="B145" s="37">
        <v>6</v>
      </c>
      <c r="C145" s="423">
        <v>0</v>
      </c>
      <c r="D145" s="376" t="s">
        <v>7</v>
      </c>
      <c r="E145" s="112" t="s">
        <v>2790</v>
      </c>
      <c r="F145" s="115">
        <v>7703038065333</v>
      </c>
      <c r="G145">
        <f t="shared" si="10"/>
        <v>7000</v>
      </c>
      <c r="H145">
        <f t="shared" si="11"/>
        <v>1</v>
      </c>
      <c r="I145" t="str">
        <f t="shared" si="12"/>
        <v>CLOTRIMAZOL GOTAS- LAPROFF</v>
      </c>
    </row>
    <row r="146" spans="1:9">
      <c r="A146" s="28" t="s">
        <v>2249</v>
      </c>
      <c r="B146" s="30">
        <v>5</v>
      </c>
      <c r="C146" s="31">
        <v>0</v>
      </c>
      <c r="D146" s="447" t="s">
        <v>29</v>
      </c>
      <c r="E146" s="7" t="s">
        <v>134</v>
      </c>
      <c r="F146" s="63">
        <v>7705959013370</v>
      </c>
      <c r="G146">
        <f t="shared" si="10"/>
        <v>15000</v>
      </c>
      <c r="H146">
        <f t="shared" si="11"/>
        <v>10</v>
      </c>
      <c r="I146" t="str">
        <f t="shared" si="12"/>
        <v>DIOSMINA + HESPERIDINA - GENFAR X30</v>
      </c>
    </row>
    <row r="147" spans="1:9">
      <c r="A147" t="s">
        <v>2791</v>
      </c>
      <c r="B147" s="23">
        <v>4</v>
      </c>
      <c r="C147" s="23">
        <v>0</v>
      </c>
      <c r="D147" s="446" t="s">
        <v>585</v>
      </c>
      <c r="E147" s="41" t="s">
        <v>107</v>
      </c>
      <c r="F147" s="42">
        <v>7702605101221</v>
      </c>
      <c r="G147">
        <f t="shared" si="10"/>
        <v>6000</v>
      </c>
      <c r="H147">
        <f t="shared" si="11"/>
        <v>10</v>
      </c>
      <c r="I147" t="str">
        <f t="shared" si="12"/>
        <v>FLUNARIZINA 10MG GENFAR X30</v>
      </c>
    </row>
    <row r="148" spans="1:9">
      <c r="A148" s="8" t="s">
        <v>815</v>
      </c>
      <c r="B148" s="30">
        <v>3</v>
      </c>
      <c r="C148" s="173">
        <v>0</v>
      </c>
      <c r="D148" s="447" t="s">
        <v>808</v>
      </c>
      <c r="E148" s="7" t="s">
        <v>816</v>
      </c>
      <c r="F148" s="63">
        <v>8436024610949</v>
      </c>
      <c r="G148">
        <f t="shared" si="10"/>
        <v>13000</v>
      </c>
      <c r="H148">
        <f t="shared" si="11"/>
        <v>10</v>
      </c>
      <c r="I148" t="str">
        <f t="shared" si="12"/>
        <v>BILAXTEN 20MG *20 TAB</v>
      </c>
    </row>
    <row r="149" spans="1:9">
      <c r="A149" t="s">
        <v>2792</v>
      </c>
      <c r="B149" s="23">
        <v>4</v>
      </c>
      <c r="C149" s="23">
        <v>0</v>
      </c>
      <c r="D149" s="446" t="s">
        <v>1550</v>
      </c>
      <c r="E149" s="41" t="s">
        <v>2793</v>
      </c>
      <c r="F149" s="42">
        <v>8903726237694</v>
      </c>
      <c r="G149">
        <f t="shared" si="10"/>
        <v>25000</v>
      </c>
      <c r="H149">
        <f t="shared" si="11"/>
        <v>30</v>
      </c>
      <c r="I149" t="str">
        <f t="shared" si="12"/>
        <v>IRBESARTAN 300MG - X30 IRBIGEN</v>
      </c>
    </row>
    <row r="150" spans="1:9">
      <c r="A150" s="22" t="s">
        <v>2794</v>
      </c>
      <c r="B150" s="23">
        <v>2</v>
      </c>
      <c r="C150" s="51">
        <v>0</v>
      </c>
      <c r="D150" s="446" t="s">
        <v>142</v>
      </c>
      <c r="E150" s="41" t="s">
        <v>2795</v>
      </c>
      <c r="F150" s="42">
        <v>7703202221152</v>
      </c>
      <c r="G150">
        <f t="shared" si="10"/>
        <v>1300</v>
      </c>
      <c r="H150">
        <f t="shared" si="11"/>
        <v>1</v>
      </c>
      <c r="I150" t="str">
        <f t="shared" si="12"/>
        <v>DULCOLAX TAB X20 TABLETAS</v>
      </c>
    </row>
    <row r="151" spans="1:9">
      <c r="A151" s="8" t="s">
        <v>2796</v>
      </c>
      <c r="B151" s="30">
        <v>1</v>
      </c>
      <c r="C151" s="31">
        <v>0</v>
      </c>
      <c r="D151" s="447" t="s">
        <v>2797</v>
      </c>
      <c r="E151" s="8" t="s">
        <v>2798</v>
      </c>
      <c r="F151" s="63">
        <v>7707288821060</v>
      </c>
      <c r="G151">
        <f t="shared" si="10"/>
        <v>53000</v>
      </c>
      <c r="H151">
        <f t="shared" si="11"/>
        <v>1</v>
      </c>
      <c r="I151" t="str">
        <f t="shared" si="12"/>
        <v>LEVOMEPROMAZINA GOTAS- HUMAX</v>
      </c>
    </row>
    <row r="152" spans="1:9">
      <c r="A152" s="13" t="s">
        <v>772</v>
      </c>
      <c r="B152" s="14">
        <v>1</v>
      </c>
      <c r="C152" s="174">
        <v>0</v>
      </c>
      <c r="D152" s="308" t="s">
        <v>68</v>
      </c>
      <c r="E152" s="13" t="s">
        <v>774</v>
      </c>
      <c r="F152" s="61">
        <v>7704588003011</v>
      </c>
      <c r="G152">
        <f t="shared" si="10"/>
        <v>39000</v>
      </c>
      <c r="H152">
        <f t="shared" si="11"/>
        <v>1</v>
      </c>
      <c r="I152" t="str">
        <f t="shared" si="12"/>
        <v>LIDOPROCTO 5% X10GR UNG- ROPSOHN</v>
      </c>
    </row>
    <row r="153" spans="1:9" ht="15">
      <c r="A153" s="18" t="s">
        <v>2799</v>
      </c>
      <c r="B153" s="17">
        <v>1</v>
      </c>
      <c r="C153" s="33">
        <v>0</v>
      </c>
      <c r="D153" s="477" t="s">
        <v>2800</v>
      </c>
      <c r="E153" s="73" t="s">
        <v>2801</v>
      </c>
      <c r="F153" s="20">
        <v>7704588000232</v>
      </c>
      <c r="G153">
        <f t="shared" si="10"/>
        <v>65000</v>
      </c>
      <c r="H153">
        <f t="shared" si="11"/>
        <v>5</v>
      </c>
      <c r="I153" t="str">
        <f t="shared" si="12"/>
        <v>LIDOPROCTO SUPOSITORIO- ROPSOHN</v>
      </c>
    </row>
    <row r="154" spans="1:9" ht="15">
      <c r="A154" s="53" t="s">
        <v>2802</v>
      </c>
      <c r="B154" s="153">
        <v>1</v>
      </c>
      <c r="C154" s="153">
        <v>0</v>
      </c>
      <c r="D154" s="375" t="s">
        <v>720</v>
      </c>
      <c r="E154" s="96" t="s">
        <v>1168</v>
      </c>
      <c r="F154" s="155">
        <v>7702184011058</v>
      </c>
      <c r="G154">
        <f t="shared" si="10"/>
        <v>30000</v>
      </c>
      <c r="H154">
        <f t="shared" si="11"/>
        <v>30</v>
      </c>
      <c r="I154" t="str">
        <f t="shared" si="12"/>
        <v>LOSARTAN + HIDROCLOROTIAZIDA 50/12.5MG - ECAR</v>
      </c>
    </row>
    <row r="155" spans="1:9">
      <c r="A155" t="s">
        <v>1289</v>
      </c>
      <c r="B155" s="23">
        <v>1</v>
      </c>
      <c r="C155" s="238">
        <v>0</v>
      </c>
      <c r="D155" s="446" t="s">
        <v>888</v>
      </c>
      <c r="E155" s="39" t="s">
        <v>1290</v>
      </c>
      <c r="F155" s="42">
        <v>7707016401014</v>
      </c>
      <c r="G155">
        <f t="shared" si="10"/>
        <v>37000</v>
      </c>
      <c r="H155">
        <f t="shared" si="11"/>
        <v>1</v>
      </c>
      <c r="I155" t="str">
        <f t="shared" si="12"/>
        <v>NEUROLIFE- NEURQLIFE SUSP</v>
      </c>
    </row>
    <row r="156" spans="1:9">
      <c r="A156" t="s">
        <v>2803</v>
      </c>
      <c r="B156" s="23">
        <v>3</v>
      </c>
      <c r="C156" s="51">
        <v>0</v>
      </c>
      <c r="D156" s="446" t="s">
        <v>59</v>
      </c>
      <c r="E156" s="39" t="s">
        <v>2804</v>
      </c>
      <c r="F156" s="42">
        <v>7707353306584</v>
      </c>
      <c r="G156">
        <f t="shared" si="10"/>
        <v>3000</v>
      </c>
      <c r="H156">
        <f t="shared" si="11"/>
        <v>1</v>
      </c>
      <c r="I156" t="str">
        <f t="shared" si="12"/>
        <v>SAL DE MAR 400GR / PROMARQUIM</v>
      </c>
    </row>
    <row r="157" spans="1:9">
      <c r="A157" t="s">
        <v>1128</v>
      </c>
      <c r="B157" s="23">
        <v>3</v>
      </c>
      <c r="C157" s="23">
        <v>0</v>
      </c>
      <c r="D157" s="446" t="s">
        <v>1126</v>
      </c>
      <c r="E157" s="41" t="s">
        <v>1129</v>
      </c>
      <c r="F157" s="42">
        <v>8903726232811</v>
      </c>
      <c r="G157">
        <f t="shared" si="10"/>
        <v>25000</v>
      </c>
      <c r="H157">
        <f t="shared" si="11"/>
        <v>10</v>
      </c>
      <c r="I157" t="str">
        <f t="shared" si="12"/>
        <v>ETORICOXIB 120MG- TORROX X10</v>
      </c>
    </row>
    <row r="158" spans="1:9" ht="15">
      <c r="A158" s="45" t="s">
        <v>2805</v>
      </c>
      <c r="B158" s="36">
        <v>1</v>
      </c>
      <c r="C158" s="164">
        <v>0</v>
      </c>
      <c r="D158" s="378" t="s">
        <v>10</v>
      </c>
      <c r="E158" s="76" t="s">
        <v>1277</v>
      </c>
      <c r="F158" s="77">
        <v>3582910009900</v>
      </c>
      <c r="G158">
        <f t="shared" si="10"/>
        <v>8000</v>
      </c>
      <c r="H158">
        <f t="shared" si="11"/>
        <v>1</v>
      </c>
      <c r="I158" t="str">
        <f t="shared" si="12"/>
        <v>ENTEROGERMINA - 2 MILLARDOS/5ML</v>
      </c>
    </row>
    <row r="159" spans="1:9">
      <c r="A159" s="12" t="s">
        <v>701</v>
      </c>
      <c r="B159" s="14">
        <v>2</v>
      </c>
      <c r="C159" s="105">
        <v>0</v>
      </c>
      <c r="D159" s="308" t="s">
        <v>23</v>
      </c>
      <c r="E159" s="13" t="s">
        <v>151</v>
      </c>
      <c r="F159" s="61">
        <v>7702896001347</v>
      </c>
      <c r="G159">
        <f t="shared" ref="G159:G222" si="13">IFERROR(VALUE(SUBSTITUTE(LEFT(LOWER(D159),FIND("x",LOWER(D159))-1),",","")),VALUE(SUBSTITUTE(D159,",","")))</f>
        <v>15000</v>
      </c>
      <c r="H159">
        <f t="shared" ref="H159:H222" si="14">IFERROR(VALUE(MID(LOWER(D159),FIND("x",LOWER(D159))+1,20)),1)</f>
        <v>1</v>
      </c>
      <c r="I159" t="str">
        <f t="shared" si="12"/>
        <v>LAGRIKOV - CARBOXIMETILCELULOSA</v>
      </c>
    </row>
    <row r="160" spans="1:9">
      <c r="A160" s="22" t="s">
        <v>619</v>
      </c>
      <c r="B160" s="11">
        <v>1</v>
      </c>
      <c r="C160" s="194">
        <v>0.19</v>
      </c>
      <c r="D160" s="483" t="s">
        <v>88</v>
      </c>
      <c r="E160" s="41" t="s">
        <v>620</v>
      </c>
      <c r="F160" s="42">
        <v>7703286100626</v>
      </c>
      <c r="G160">
        <f t="shared" si="13"/>
        <v>18000</v>
      </c>
      <c r="H160">
        <f t="shared" si="14"/>
        <v>1</v>
      </c>
      <c r="I160" t="str">
        <f t="shared" si="12"/>
        <v>CREMA DE CALENDULA *60GR - BOTANITAS</v>
      </c>
    </row>
    <row r="161" spans="1:9">
      <c r="A161" t="s">
        <v>812</v>
      </c>
      <c r="B161" s="23">
        <v>4</v>
      </c>
      <c r="C161" s="51">
        <v>0</v>
      </c>
      <c r="D161" s="446" t="s">
        <v>519</v>
      </c>
      <c r="E161" s="39" t="s">
        <v>813</v>
      </c>
      <c r="F161" s="42">
        <v>7709805542861</v>
      </c>
      <c r="G161">
        <f t="shared" si="13"/>
        <v>4500</v>
      </c>
      <c r="H161">
        <f t="shared" si="14"/>
        <v>1</v>
      </c>
      <c r="I161" t="str">
        <f t="shared" si="12"/>
        <v>METRONIDAZOL + CLOTRIMAZOL OVULOS - TROPXIM-F</v>
      </c>
    </row>
    <row r="162" spans="1:9">
      <c r="A162" t="s">
        <v>2806</v>
      </c>
      <c r="B162" s="23">
        <v>2</v>
      </c>
      <c r="C162" s="51">
        <v>0</v>
      </c>
      <c r="D162" s="446" t="s">
        <v>2807</v>
      </c>
      <c r="E162" s="39" t="s">
        <v>1590</v>
      </c>
      <c r="F162" s="42">
        <v>7702605109395</v>
      </c>
      <c r="G162">
        <f t="shared" si="13"/>
        <v>39000</v>
      </c>
      <c r="H162">
        <f t="shared" si="14"/>
        <v>14</v>
      </c>
      <c r="I162" t="str">
        <f t="shared" si="12"/>
        <v>ETORICOXIB 90MG- GENFAR X14</v>
      </c>
    </row>
    <row r="163" spans="1:9" ht="15">
      <c r="A163" s="16" t="s">
        <v>2808</v>
      </c>
      <c r="B163" s="17">
        <v>1</v>
      </c>
      <c r="C163" s="124">
        <v>0</v>
      </c>
      <c r="D163" s="321" t="s">
        <v>2809</v>
      </c>
      <c r="E163" s="73" t="s">
        <v>2810</v>
      </c>
      <c r="F163" s="20">
        <v>7500435181068</v>
      </c>
      <c r="G163">
        <f t="shared" si="13"/>
        <v>40000</v>
      </c>
      <c r="H163">
        <f t="shared" si="14"/>
        <v>1</v>
      </c>
      <c r="I163" t="str">
        <f t="shared" si="12"/>
        <v>VICK VAPORUB 100GR</v>
      </c>
    </row>
    <row r="164" spans="1:9">
      <c r="A164" s="22" t="s">
        <v>2811</v>
      </c>
      <c r="B164" s="23">
        <v>4</v>
      </c>
      <c r="C164" s="23">
        <v>0</v>
      </c>
      <c r="D164" s="446" t="s">
        <v>2812</v>
      </c>
      <c r="E164" s="41" t="s">
        <v>2813</v>
      </c>
      <c r="F164" s="42">
        <v>7702057059422</v>
      </c>
      <c r="G164">
        <f t="shared" si="13"/>
        <v>40000</v>
      </c>
      <c r="H164">
        <f t="shared" si="14"/>
        <v>30</v>
      </c>
      <c r="I164" t="str">
        <f t="shared" si="12"/>
        <v>ACIDO VALPROICO 250MG / X30 TABLETAS - PROVALTO RETARD</v>
      </c>
    </row>
    <row r="165" spans="1:9">
      <c r="A165" s="24" t="s">
        <v>2814</v>
      </c>
      <c r="B165" s="30">
        <v>1</v>
      </c>
      <c r="C165" s="128">
        <v>0.19</v>
      </c>
      <c r="D165" s="480" t="s">
        <v>2815</v>
      </c>
      <c r="E165" s="7" t="s">
        <v>2816</v>
      </c>
      <c r="F165" s="63">
        <v>7702123014423</v>
      </c>
      <c r="G165">
        <f t="shared" si="13"/>
        <v>47000</v>
      </c>
      <c r="H165">
        <f t="shared" si="14"/>
        <v>1</v>
      </c>
      <c r="I165" t="str">
        <f t="shared" si="12"/>
        <v>ACID MANTLE BABY *30GR</v>
      </c>
    </row>
    <row r="166" spans="1:9">
      <c r="A166" s="13" t="s">
        <v>246</v>
      </c>
      <c r="B166" s="14">
        <v>1</v>
      </c>
      <c r="C166" s="105">
        <v>0.19</v>
      </c>
      <c r="D166" s="308" t="s">
        <v>2817</v>
      </c>
      <c r="E166" s="13" t="s">
        <v>248</v>
      </c>
      <c r="F166" s="211">
        <v>7703286115101</v>
      </c>
      <c r="G166">
        <f t="shared" si="13"/>
        <v>49500</v>
      </c>
      <c r="H166">
        <f t="shared" si="14"/>
        <v>90</v>
      </c>
      <c r="I166" t="str">
        <f t="shared" si="12"/>
        <v>CITRATO MAGNESIO *90 CAPS - MEDICK</v>
      </c>
    </row>
    <row r="167" spans="1:9">
      <c r="A167" s="69" t="s">
        <v>1011</v>
      </c>
      <c r="B167" s="14">
        <v>4</v>
      </c>
      <c r="C167" s="105">
        <v>0</v>
      </c>
      <c r="D167" s="308" t="s">
        <v>2392</v>
      </c>
      <c r="E167" s="13" t="s">
        <v>1012</v>
      </c>
      <c r="F167" s="61">
        <v>7703038067566</v>
      </c>
      <c r="G167">
        <f t="shared" si="13"/>
        <v>8000</v>
      </c>
      <c r="H167">
        <f t="shared" si="14"/>
        <v>10</v>
      </c>
      <c r="I167" t="str">
        <f t="shared" si="12"/>
        <v>ATORVASTATINA 40MG- LAPROFF</v>
      </c>
    </row>
    <row r="168" spans="1:9" ht="28.5">
      <c r="A168" t="s">
        <v>1382</v>
      </c>
      <c r="B168" s="23">
        <v>3</v>
      </c>
      <c r="C168" s="23">
        <v>0</v>
      </c>
      <c r="D168" s="446" t="s">
        <v>23</v>
      </c>
      <c r="E168" s="41" t="s">
        <v>1203</v>
      </c>
      <c r="F168" s="42">
        <v>7703712030152</v>
      </c>
      <c r="G168">
        <f t="shared" si="13"/>
        <v>15000</v>
      </c>
      <c r="H168">
        <f t="shared" si="14"/>
        <v>1</v>
      </c>
      <c r="I168" t="str">
        <f t="shared" si="12"/>
        <v>AZITROMICINA 200MG/5ML - POLVO COASPHARMA</v>
      </c>
    </row>
    <row r="169" spans="1:9" ht="15">
      <c r="A169" s="16" t="s">
        <v>1907</v>
      </c>
      <c r="B169" s="17">
        <v>4</v>
      </c>
      <c r="C169" s="124">
        <v>0</v>
      </c>
      <c r="D169" s="321" t="s">
        <v>527</v>
      </c>
      <c r="E169" s="73" t="s">
        <v>1168</v>
      </c>
      <c r="F169" s="20">
        <v>7707019371260</v>
      </c>
      <c r="G169">
        <f t="shared" si="13"/>
        <v>11000</v>
      </c>
      <c r="H169">
        <f t="shared" si="14"/>
        <v>10</v>
      </c>
      <c r="I169" t="str">
        <f t="shared" si="12"/>
        <v>BETAHISTINA 8MG- VAIO</v>
      </c>
    </row>
    <row r="170" spans="1:9">
      <c r="A170" s="71" t="s">
        <v>2818</v>
      </c>
      <c r="B170" s="14">
        <v>5</v>
      </c>
      <c r="C170" s="105">
        <v>0</v>
      </c>
      <c r="D170" s="308" t="s">
        <v>74</v>
      </c>
      <c r="E170" s="13" t="s">
        <v>2819</v>
      </c>
      <c r="F170" s="61">
        <v>7707019312676</v>
      </c>
      <c r="G170">
        <f t="shared" si="13"/>
        <v>20000</v>
      </c>
      <c r="H170">
        <f t="shared" si="14"/>
        <v>1</v>
      </c>
      <c r="I170" t="str">
        <f t="shared" si="12"/>
        <v>KLIACEF- CEFRADINA 250/5ML</v>
      </c>
    </row>
    <row r="171" spans="1:9">
      <c r="A171" s="7" t="s">
        <v>1664</v>
      </c>
      <c r="B171" s="30">
        <v>5</v>
      </c>
      <c r="C171" s="31">
        <v>0</v>
      </c>
      <c r="D171" s="447" t="s">
        <v>118</v>
      </c>
      <c r="E171" s="7" t="s">
        <v>1665</v>
      </c>
      <c r="F171" s="63">
        <v>7705366910019</v>
      </c>
      <c r="G171">
        <f t="shared" si="13"/>
        <v>13000</v>
      </c>
      <c r="H171">
        <f t="shared" si="14"/>
        <v>1</v>
      </c>
      <c r="I171" t="str">
        <f t="shared" si="12"/>
        <v>ENEMA RECTAL - CORPAUL X133ML</v>
      </c>
    </row>
    <row r="172" spans="1:9">
      <c r="A172" t="s">
        <v>2820</v>
      </c>
      <c r="B172" s="23">
        <v>3</v>
      </c>
      <c r="C172" s="23">
        <v>0</v>
      </c>
      <c r="D172" s="446" t="s">
        <v>2821</v>
      </c>
      <c r="E172" s="39" t="s">
        <v>2822</v>
      </c>
      <c r="F172" s="42">
        <v>7702605111657</v>
      </c>
      <c r="G172">
        <f t="shared" si="13"/>
        <v>33000</v>
      </c>
      <c r="H172">
        <f t="shared" si="14"/>
        <v>14</v>
      </c>
      <c r="I172" t="str">
        <f t="shared" si="12"/>
        <v>ETORICOXIB 60MG</v>
      </c>
    </row>
    <row r="173" spans="1:9">
      <c r="A173" t="s">
        <v>1423</v>
      </c>
      <c r="B173" s="23">
        <v>1</v>
      </c>
      <c r="C173" s="51">
        <v>0</v>
      </c>
      <c r="D173" s="446" t="s">
        <v>103</v>
      </c>
      <c r="E173" s="39" t="s">
        <v>204</v>
      </c>
      <c r="F173" s="42">
        <v>7707355055732</v>
      </c>
      <c r="G173">
        <f t="shared" si="13"/>
        <v>5000</v>
      </c>
      <c r="H173">
        <f t="shared" si="14"/>
        <v>10</v>
      </c>
      <c r="I173" t="str">
        <f t="shared" si="12"/>
        <v>LEVOTIROXINA 100MCG - SIEGFRIED X50 TABS</v>
      </c>
    </row>
    <row r="174" spans="1:9" ht="15">
      <c r="A174" s="16" t="s">
        <v>1994</v>
      </c>
      <c r="B174" s="17">
        <v>1</v>
      </c>
      <c r="C174" s="17">
        <v>0</v>
      </c>
      <c r="D174" s="321" t="s">
        <v>59</v>
      </c>
      <c r="E174" s="73" t="s">
        <v>60</v>
      </c>
      <c r="F174" s="20">
        <v>7707232098074</v>
      </c>
      <c r="G174">
        <f t="shared" si="13"/>
        <v>3000</v>
      </c>
      <c r="H174">
        <f t="shared" si="14"/>
        <v>1</v>
      </c>
      <c r="I174" t="str">
        <f t="shared" si="12"/>
        <v>MIELTERTOS GRIPA NOCHE</v>
      </c>
    </row>
    <row r="175" spans="1:9" ht="15">
      <c r="A175" s="28" t="s">
        <v>1632</v>
      </c>
      <c r="B175" s="132">
        <v>2</v>
      </c>
      <c r="C175" s="510">
        <v>0</v>
      </c>
      <c r="D175" s="492" t="s">
        <v>23</v>
      </c>
      <c r="E175" s="214" t="s">
        <v>1633</v>
      </c>
      <c r="F175" s="478">
        <v>4005800137655</v>
      </c>
      <c r="G175">
        <f t="shared" si="13"/>
        <v>15000</v>
      </c>
      <c r="H175">
        <f t="shared" si="14"/>
        <v>1</v>
      </c>
      <c r="I175" t="str">
        <f t="shared" si="12"/>
        <v>NIVEA CREME X30ML - LATA AZUL</v>
      </c>
    </row>
    <row r="176" spans="1:9">
      <c r="A176" t="s">
        <v>2359</v>
      </c>
      <c r="B176" s="23">
        <v>5</v>
      </c>
      <c r="C176" s="51">
        <v>0.19</v>
      </c>
      <c r="D176" s="446" t="s">
        <v>80</v>
      </c>
      <c r="E176" s="39" t="s">
        <v>2360</v>
      </c>
      <c r="F176" s="42">
        <v>7707242970575</v>
      </c>
      <c r="G176">
        <f t="shared" si="13"/>
        <v>6000</v>
      </c>
      <c r="H176">
        <f t="shared" si="14"/>
        <v>1</v>
      </c>
      <c r="I176" t="str">
        <f t="shared" si="12"/>
        <v>ACETATO ALUMINIO X120ML - WILD LIFE</v>
      </c>
    </row>
    <row r="177" spans="1:9">
      <c r="A177" s="12" t="s">
        <v>1919</v>
      </c>
      <c r="B177" s="14">
        <v>1</v>
      </c>
      <c r="C177" s="105">
        <v>0</v>
      </c>
      <c r="D177" s="308" t="s">
        <v>156</v>
      </c>
      <c r="E177" s="13" t="s">
        <v>422</v>
      </c>
      <c r="F177" s="63">
        <v>7702184011041</v>
      </c>
      <c r="G177">
        <f t="shared" si="13"/>
        <v>3000</v>
      </c>
      <c r="H177">
        <f t="shared" si="14"/>
        <v>10</v>
      </c>
      <c r="I177" t="str">
        <f t="shared" si="12"/>
        <v>AMLODIPINO 10MG- ECAR</v>
      </c>
    </row>
    <row r="178" spans="1:9">
      <c r="A178" s="8" t="s">
        <v>780</v>
      </c>
      <c r="B178" s="30">
        <v>2</v>
      </c>
      <c r="C178" s="31">
        <v>0</v>
      </c>
      <c r="D178" s="447" t="s">
        <v>2823</v>
      </c>
      <c r="E178" s="7" t="s">
        <v>431</v>
      </c>
      <c r="F178" s="63">
        <v>7702057712938</v>
      </c>
      <c r="G178">
        <f t="shared" si="13"/>
        <v>21500</v>
      </c>
      <c r="H178">
        <f t="shared" si="14"/>
        <v>30</v>
      </c>
      <c r="I178" t="str">
        <f t="shared" si="12"/>
        <v>LEVOTIROXINA 75MG - MK</v>
      </c>
    </row>
    <row r="179" spans="1:9">
      <c r="A179" s="69" t="s">
        <v>155</v>
      </c>
      <c r="B179" s="14">
        <v>1</v>
      </c>
      <c r="C179" s="105">
        <v>0</v>
      </c>
      <c r="D179" s="308" t="s">
        <v>156</v>
      </c>
      <c r="E179" s="13" t="s">
        <v>54</v>
      </c>
      <c r="F179" s="211">
        <v>7703038066606</v>
      </c>
      <c r="G179">
        <f t="shared" si="13"/>
        <v>3000</v>
      </c>
      <c r="H179">
        <f t="shared" si="14"/>
        <v>10</v>
      </c>
      <c r="I179" t="str">
        <f t="shared" si="12"/>
        <v>IBUPROFENO 800MG *300 TAB - LAPROFF</v>
      </c>
    </row>
    <row r="180" spans="1:9" ht="15">
      <c r="A180" s="16" t="s">
        <v>1118</v>
      </c>
      <c r="B180" s="17">
        <v>2</v>
      </c>
      <c r="C180" s="124">
        <v>0</v>
      </c>
      <c r="D180" s="321" t="s">
        <v>276</v>
      </c>
      <c r="E180" s="73" t="s">
        <v>1119</v>
      </c>
      <c r="F180" s="20">
        <v>7500435107013</v>
      </c>
      <c r="G180">
        <f t="shared" si="13"/>
        <v>22000</v>
      </c>
      <c r="H180">
        <f t="shared" si="14"/>
        <v>1</v>
      </c>
      <c r="I180" t="str">
        <f t="shared" si="12"/>
        <v>VICK VAPORUB 50GR</v>
      </c>
    </row>
    <row r="181" spans="1:9" ht="15">
      <c r="A181" s="47" t="s">
        <v>1054</v>
      </c>
      <c r="B181" s="409">
        <v>1</v>
      </c>
      <c r="C181" s="410">
        <v>0</v>
      </c>
      <c r="D181" s="474" t="s">
        <v>10</v>
      </c>
      <c r="E181" s="92" t="s">
        <v>1055</v>
      </c>
      <c r="F181" s="490">
        <v>7707557919160</v>
      </c>
      <c r="G181">
        <f t="shared" si="13"/>
        <v>8000</v>
      </c>
      <c r="H181">
        <f t="shared" si="14"/>
        <v>1</v>
      </c>
      <c r="I181" t="str">
        <f t="shared" si="12"/>
        <v>FIB 10 - PROBIOTICOS BIFIDOBACTERIUM INFANTIS - FOS 2,000 MILLONES</v>
      </c>
    </row>
    <row r="182" spans="1:9">
      <c r="A182" s="13" t="s">
        <v>2032</v>
      </c>
      <c r="B182" s="14">
        <v>2</v>
      </c>
      <c r="C182" s="105">
        <v>0</v>
      </c>
      <c r="D182" s="308" t="s">
        <v>133</v>
      </c>
      <c r="E182" s="12" t="s">
        <v>2033</v>
      </c>
      <c r="F182" s="61">
        <v>7702057070229</v>
      </c>
      <c r="G182">
        <f t="shared" si="13"/>
        <v>16000</v>
      </c>
      <c r="H182">
        <f t="shared" si="14"/>
        <v>30</v>
      </c>
      <c r="I182" t="str">
        <f t="shared" si="12"/>
        <v>GABAPENTIN 300 MG - MK</v>
      </c>
    </row>
    <row r="183" spans="1:9">
      <c r="A183" s="168" t="s">
        <v>2398</v>
      </c>
      <c r="B183" s="147">
        <v>3</v>
      </c>
      <c r="C183" s="147">
        <v>0</v>
      </c>
      <c r="D183" s="444" t="s">
        <v>2442</v>
      </c>
      <c r="E183" s="159" t="s">
        <v>2400</v>
      </c>
      <c r="F183" s="160">
        <v>7703038067030</v>
      </c>
      <c r="G183">
        <f t="shared" si="13"/>
        <v>17000</v>
      </c>
      <c r="H183">
        <f t="shared" si="14"/>
        <v>7</v>
      </c>
      <c r="I183" t="str">
        <f t="shared" si="12"/>
        <v>LEVOFLOXACINA 500MG . LAPROFF</v>
      </c>
    </row>
    <row r="184" spans="1:9">
      <c r="A184" s="12" t="s">
        <v>2825</v>
      </c>
      <c r="B184" s="14">
        <v>1</v>
      </c>
      <c r="C184" s="14">
        <v>0</v>
      </c>
      <c r="D184" s="308" t="s">
        <v>2729</v>
      </c>
      <c r="E184" s="12" t="s">
        <v>2826</v>
      </c>
      <c r="F184" s="61">
        <v>7701684000128</v>
      </c>
      <c r="G184">
        <f t="shared" si="13"/>
        <v>33000</v>
      </c>
      <c r="H184">
        <f t="shared" si="14"/>
        <v>1</v>
      </c>
      <c r="I184" t="str">
        <f t="shared" si="12"/>
        <v>ALMIPRO UNGÜENTO *125GR</v>
      </c>
    </row>
    <row r="185" spans="1:9">
      <c r="A185" t="s">
        <v>1172</v>
      </c>
      <c r="B185" s="23">
        <v>1</v>
      </c>
      <c r="C185" s="51">
        <v>0</v>
      </c>
      <c r="D185" s="446" t="s">
        <v>170</v>
      </c>
      <c r="E185" s="41" t="s">
        <v>95</v>
      </c>
      <c r="F185" s="42">
        <v>7702195102387</v>
      </c>
      <c r="G185">
        <f t="shared" si="13"/>
        <v>2500</v>
      </c>
      <c r="H185">
        <f t="shared" si="14"/>
        <v>15</v>
      </c>
      <c r="I185" t="str">
        <f t="shared" si="12"/>
        <v>AMITRIPTILINA 25MG *300 TAB - RECIPE</v>
      </c>
    </row>
    <row r="186" spans="1:9" ht="28.5">
      <c r="A186" s="24" t="s">
        <v>2827</v>
      </c>
      <c r="B186" s="30">
        <v>1</v>
      </c>
      <c r="C186" s="31">
        <v>0</v>
      </c>
      <c r="D186" s="447" t="s">
        <v>59</v>
      </c>
      <c r="E186" s="7" t="s">
        <v>2828</v>
      </c>
      <c r="F186" s="63">
        <v>7707278000987</v>
      </c>
      <c r="G186">
        <f t="shared" si="13"/>
        <v>3000</v>
      </c>
      <c r="H186">
        <f t="shared" si="14"/>
        <v>1</v>
      </c>
      <c r="I186" t="str">
        <f t="shared" si="12"/>
        <v>ARNIK FORTE *12 SOBRES</v>
      </c>
    </row>
    <row r="187" spans="1:9">
      <c r="A187" s="24" t="s">
        <v>1467</v>
      </c>
      <c r="B187" s="30">
        <v>1</v>
      </c>
      <c r="C187" s="31">
        <v>0</v>
      </c>
      <c r="D187" s="447" t="s">
        <v>625</v>
      </c>
      <c r="E187" s="7" t="s">
        <v>1469</v>
      </c>
      <c r="F187" s="63">
        <v>7707278000970</v>
      </c>
      <c r="G187">
        <f t="shared" si="13"/>
        <v>25000</v>
      </c>
      <c r="H187">
        <f t="shared" si="14"/>
        <v>1</v>
      </c>
      <c r="I187" t="str">
        <f t="shared" si="12"/>
        <v>ARNIK FORTE X60GR - POTE ARNIKA + CALENDULA</v>
      </c>
    </row>
    <row r="188" spans="1:9">
      <c r="A188" t="s">
        <v>2829</v>
      </c>
      <c r="B188" s="23">
        <v>3</v>
      </c>
      <c r="C188" s="51">
        <v>0.19</v>
      </c>
      <c r="D188" s="446" t="s">
        <v>2830</v>
      </c>
      <c r="E188" s="39" t="s">
        <v>2831</v>
      </c>
      <c r="F188" s="42">
        <v>7702208145394</v>
      </c>
      <c r="G188">
        <f t="shared" si="13"/>
        <v>4000</v>
      </c>
      <c r="H188">
        <f t="shared" si="14"/>
        <v>60</v>
      </c>
      <c r="I188" t="str">
        <f t="shared" si="12"/>
        <v>COPITOS X60 UNDS HIGIETEX</v>
      </c>
    </row>
    <row r="189" spans="1:9">
      <c r="A189" t="s">
        <v>2832</v>
      </c>
      <c r="B189" s="23">
        <v>3</v>
      </c>
      <c r="C189" s="51">
        <v>0.19</v>
      </c>
      <c r="D189" s="446" t="s">
        <v>2833</v>
      </c>
      <c r="E189" s="39" t="s">
        <v>2834</v>
      </c>
      <c r="F189" s="42">
        <v>7702057625078</v>
      </c>
      <c r="G189">
        <f t="shared" si="13"/>
        <v>10000</v>
      </c>
      <c r="H189">
        <f t="shared" si="14"/>
        <v>80</v>
      </c>
      <c r="I189" t="str">
        <f t="shared" si="12"/>
        <v>COPITOS X80 MK</v>
      </c>
    </row>
    <row r="190" spans="1:9">
      <c r="A190" t="s">
        <v>2835</v>
      </c>
      <c r="B190" s="23">
        <v>3</v>
      </c>
      <c r="C190" s="51">
        <v>0.19</v>
      </c>
      <c r="D190" s="446" t="s">
        <v>2836</v>
      </c>
      <c r="E190" s="39" t="s">
        <v>2837</v>
      </c>
      <c r="F190" s="42">
        <v>7702560040863</v>
      </c>
      <c r="G190">
        <f t="shared" si="13"/>
        <v>6000</v>
      </c>
      <c r="H190">
        <f t="shared" si="14"/>
        <v>50</v>
      </c>
      <c r="I190" t="str">
        <f t="shared" si="12"/>
        <v>COPITOS X50 UNIDADES JGB</v>
      </c>
    </row>
    <row r="191" spans="1:9">
      <c r="A191" t="s">
        <v>2838</v>
      </c>
      <c r="B191" s="23">
        <v>3</v>
      </c>
      <c r="C191" s="107">
        <v>0.19</v>
      </c>
      <c r="D191" s="482" t="s">
        <v>2839</v>
      </c>
      <c r="E191" s="39" t="s">
        <v>2840</v>
      </c>
      <c r="F191" s="42">
        <v>7708947964364</v>
      </c>
      <c r="G191">
        <f t="shared" si="13"/>
        <v>6000</v>
      </c>
      <c r="H191">
        <f t="shared" si="14"/>
        <v>100</v>
      </c>
      <c r="I191" t="str">
        <f t="shared" si="12"/>
        <v>COPITOS YOKI X100</v>
      </c>
    </row>
    <row r="192" spans="1:9">
      <c r="A192" t="s">
        <v>2841</v>
      </c>
      <c r="B192" s="23">
        <v>3</v>
      </c>
      <c r="C192" s="51">
        <v>0.19</v>
      </c>
      <c r="D192" s="446" t="s">
        <v>2842</v>
      </c>
      <c r="E192" s="39" t="s">
        <v>2843</v>
      </c>
      <c r="F192" s="42">
        <v>7702208129431</v>
      </c>
      <c r="G192">
        <f t="shared" si="13"/>
        <v>9000</v>
      </c>
      <c r="H192">
        <f t="shared" si="14"/>
        <v>150</v>
      </c>
      <c r="I192" t="str">
        <f t="shared" si="12"/>
        <v>COPITOS X150 UNDS HIGIETEX</v>
      </c>
    </row>
    <row r="193" spans="1:9">
      <c r="A193" s="8" t="s">
        <v>2844</v>
      </c>
      <c r="B193" s="30">
        <v>1</v>
      </c>
      <c r="C193" s="128">
        <v>0</v>
      </c>
      <c r="D193" s="480" t="s">
        <v>888</v>
      </c>
      <c r="E193" s="7" t="s">
        <v>2845</v>
      </c>
      <c r="F193" s="63">
        <v>7702195104572</v>
      </c>
      <c r="G193">
        <f t="shared" si="13"/>
        <v>37000</v>
      </c>
      <c r="H193">
        <f t="shared" si="14"/>
        <v>1</v>
      </c>
      <c r="I193" t="str">
        <f t="shared" si="12"/>
        <v>CREMOQUINONA 4% CREMA (HIDROQUINONA 4%)</v>
      </c>
    </row>
    <row r="194" spans="1:9">
      <c r="A194" s="221" t="s">
        <v>2846</v>
      </c>
      <c r="B194" s="223">
        <v>5</v>
      </c>
      <c r="C194" s="511">
        <v>0</v>
      </c>
      <c r="D194" s="495" t="s">
        <v>697</v>
      </c>
      <c r="E194" s="524" t="s">
        <v>2847</v>
      </c>
      <c r="F194" s="481">
        <v>7707271201756</v>
      </c>
      <c r="G194">
        <f t="shared" si="13"/>
        <v>2500</v>
      </c>
      <c r="H194">
        <f t="shared" si="14"/>
        <v>1</v>
      </c>
      <c r="I194" t="str">
        <f t="shared" si="12"/>
        <v>CRESANOL / VETERINA X25ML - YOMA</v>
      </c>
    </row>
    <row r="195" spans="1:9">
      <c r="A195" t="s">
        <v>836</v>
      </c>
      <c r="B195" s="23">
        <v>2</v>
      </c>
      <c r="C195" s="51">
        <v>0</v>
      </c>
      <c r="D195" s="446" t="s">
        <v>23</v>
      </c>
      <c r="E195" s="41" t="s">
        <v>837</v>
      </c>
      <c r="F195" s="42">
        <v>7707271201725</v>
      </c>
      <c r="G195">
        <f t="shared" si="13"/>
        <v>15000</v>
      </c>
      <c r="H195">
        <f t="shared" si="14"/>
        <v>1</v>
      </c>
      <c r="I195" t="str">
        <f t="shared" ref="I195:I258" si="15">TRIM(A195)</f>
        <v>CRESANOL / VETERINA X500ML - YOMA</v>
      </c>
    </row>
    <row r="196" spans="1:9">
      <c r="A196" t="s">
        <v>2848</v>
      </c>
      <c r="B196" s="23">
        <v>5</v>
      </c>
      <c r="C196" s="51">
        <v>0</v>
      </c>
      <c r="D196" s="446" t="s">
        <v>80</v>
      </c>
      <c r="E196" s="41" t="s">
        <v>2849</v>
      </c>
      <c r="F196" s="42">
        <v>7707271201749</v>
      </c>
      <c r="G196">
        <f t="shared" si="13"/>
        <v>6000</v>
      </c>
      <c r="H196">
        <f t="shared" si="14"/>
        <v>1</v>
      </c>
      <c r="I196" t="str">
        <f t="shared" si="15"/>
        <v>CRESANOL / VETERINA X60ML - YOMA</v>
      </c>
    </row>
    <row r="197" spans="1:9">
      <c r="A197" s="65" t="s">
        <v>2850</v>
      </c>
      <c r="B197" s="102">
        <v>1</v>
      </c>
      <c r="C197" s="205">
        <v>0</v>
      </c>
      <c r="D197" s="443" t="s">
        <v>91</v>
      </c>
      <c r="E197" s="64" t="s">
        <v>2851</v>
      </c>
      <c r="F197" s="103">
        <v>7703546033107</v>
      </c>
      <c r="G197">
        <f t="shared" si="13"/>
        <v>16000</v>
      </c>
      <c r="H197">
        <f t="shared" si="14"/>
        <v>1</v>
      </c>
      <c r="I197" t="str">
        <f t="shared" si="15"/>
        <v>CRONOFEN JARABE</v>
      </c>
    </row>
    <row r="198" spans="1:9">
      <c r="A198" s="22" t="s">
        <v>1014</v>
      </c>
      <c r="B198" s="23">
        <v>1</v>
      </c>
      <c r="C198" s="51">
        <v>0</v>
      </c>
      <c r="D198" s="446" t="s">
        <v>222</v>
      </c>
      <c r="E198" s="41" t="s">
        <v>1015</v>
      </c>
      <c r="F198" s="42">
        <v>7703712014251</v>
      </c>
      <c r="G198">
        <f t="shared" si="13"/>
        <v>1500</v>
      </c>
      <c r="H198">
        <f t="shared" si="14"/>
        <v>1</v>
      </c>
      <c r="I198" t="str">
        <f t="shared" si="15"/>
        <v>DOLICOX FORTE MAX- ACETAMINOFEN + NAPROXENO + CAFEINA</v>
      </c>
    </row>
    <row r="199" spans="1:9">
      <c r="A199" s="22" t="s">
        <v>1224</v>
      </c>
      <c r="B199" s="23">
        <v>1</v>
      </c>
      <c r="C199" s="23">
        <v>0</v>
      </c>
      <c r="D199" s="446" t="s">
        <v>519</v>
      </c>
      <c r="E199" s="39" t="s">
        <v>1225</v>
      </c>
      <c r="F199" s="42">
        <v>7707173600459</v>
      </c>
      <c r="G199">
        <f t="shared" si="13"/>
        <v>4500</v>
      </c>
      <c r="H199">
        <f t="shared" si="14"/>
        <v>1</v>
      </c>
      <c r="I199" t="str">
        <f t="shared" si="15"/>
        <v>GYNOPLUS / CLOTRIMAZOL + METRONIDAZOL 100/500MG X10 OVULOS</v>
      </c>
    </row>
    <row r="200" spans="1:9">
      <c r="A200" s="8" t="s">
        <v>580</v>
      </c>
      <c r="B200" s="30">
        <v>1</v>
      </c>
      <c r="C200" s="31">
        <v>0.19</v>
      </c>
      <c r="D200" s="447" t="s">
        <v>23</v>
      </c>
      <c r="E200" s="7" t="s">
        <v>581</v>
      </c>
      <c r="F200" s="63">
        <v>650240007828</v>
      </c>
      <c r="G200">
        <f t="shared" si="13"/>
        <v>15000</v>
      </c>
      <c r="H200">
        <f t="shared" si="14"/>
        <v>1</v>
      </c>
      <c r="I200" t="str">
        <f t="shared" si="15"/>
        <v>ASEPXIA JABON - AZUFRE</v>
      </c>
    </row>
    <row r="201" spans="1:9">
      <c r="A201" t="s">
        <v>147</v>
      </c>
      <c r="B201" s="23">
        <v>6</v>
      </c>
      <c r="C201" s="23">
        <v>0</v>
      </c>
      <c r="D201" s="446" t="s">
        <v>32</v>
      </c>
      <c r="E201" s="41" t="s">
        <v>148</v>
      </c>
      <c r="F201" s="42">
        <v>7709947559772</v>
      </c>
      <c r="G201">
        <f t="shared" si="13"/>
        <v>12000</v>
      </c>
      <c r="H201">
        <f t="shared" si="14"/>
        <v>1</v>
      </c>
      <c r="I201" t="str">
        <f t="shared" si="15"/>
        <v>LAGRIMART / CARBOXIMETILCELULOSA GOTAS 05%</v>
      </c>
    </row>
    <row r="202" spans="1:9">
      <c r="A202" s="7" t="s">
        <v>1308</v>
      </c>
      <c r="B202" s="25">
        <v>1</v>
      </c>
      <c r="C202" s="26">
        <v>0</v>
      </c>
      <c r="D202" s="305" t="s">
        <v>1309</v>
      </c>
      <c r="E202" s="7" t="s">
        <v>1310</v>
      </c>
      <c r="F202" s="129">
        <v>7703038066637</v>
      </c>
      <c r="G202">
        <f t="shared" si="13"/>
        <v>4000</v>
      </c>
      <c r="H202">
        <f t="shared" si="14"/>
        <v>10</v>
      </c>
      <c r="I202" t="str">
        <f t="shared" si="15"/>
        <v>TRIMEBUTINA 200MG</v>
      </c>
    </row>
    <row r="203" spans="1:9">
      <c r="A203" s="71" t="s">
        <v>2852</v>
      </c>
      <c r="B203" s="14">
        <v>2</v>
      </c>
      <c r="C203" s="105">
        <v>0.19</v>
      </c>
      <c r="D203" s="308" t="s">
        <v>10</v>
      </c>
      <c r="E203" s="13" t="s">
        <v>2853</v>
      </c>
      <c r="F203" s="61">
        <v>7707271202777</v>
      </c>
      <c r="G203">
        <f t="shared" si="13"/>
        <v>8000</v>
      </c>
      <c r="H203">
        <f t="shared" si="14"/>
        <v>1</v>
      </c>
      <c r="I203" t="str">
        <f t="shared" si="15"/>
        <v>VASELINA *200GR - YOMA</v>
      </c>
    </row>
    <row r="204" spans="1:9">
      <c r="A204" s="69" t="s">
        <v>1791</v>
      </c>
      <c r="B204" s="14">
        <v>6</v>
      </c>
      <c r="C204" s="105">
        <v>0.19</v>
      </c>
      <c r="D204" s="308" t="s">
        <v>214</v>
      </c>
      <c r="E204" s="13" t="s">
        <v>1792</v>
      </c>
      <c r="F204" s="61">
        <v>7707271202791</v>
      </c>
      <c r="G204">
        <f t="shared" si="13"/>
        <v>2000</v>
      </c>
      <c r="H204">
        <f t="shared" si="14"/>
        <v>1</v>
      </c>
      <c r="I204" t="str">
        <f t="shared" si="15"/>
        <v>VASELINA *25GR - YOMA</v>
      </c>
    </row>
    <row r="205" spans="1:9">
      <c r="A205" s="71" t="s">
        <v>2069</v>
      </c>
      <c r="B205" s="14">
        <v>1</v>
      </c>
      <c r="C205" s="105">
        <v>0.19</v>
      </c>
      <c r="D205" s="308" t="s">
        <v>23</v>
      </c>
      <c r="E205" s="13" t="s">
        <v>2070</v>
      </c>
      <c r="F205" s="61">
        <v>7707271202760</v>
      </c>
      <c r="G205">
        <f t="shared" si="13"/>
        <v>15000</v>
      </c>
      <c r="H205">
        <f t="shared" si="14"/>
        <v>1</v>
      </c>
      <c r="I205" t="str">
        <f t="shared" si="15"/>
        <v>VASELINA *400GR - YOMA</v>
      </c>
    </row>
    <row r="206" spans="1:9">
      <c r="A206" t="s">
        <v>284</v>
      </c>
      <c r="B206" s="23">
        <v>2</v>
      </c>
      <c r="C206" s="23">
        <v>0</v>
      </c>
      <c r="D206" s="446" t="s">
        <v>2031</v>
      </c>
      <c r="E206" s="39" t="s">
        <v>286</v>
      </c>
      <c r="F206" s="42">
        <v>7702605106523</v>
      </c>
      <c r="G206">
        <f t="shared" si="13"/>
        <v>10600</v>
      </c>
      <c r="H206">
        <f t="shared" si="14"/>
        <v>10</v>
      </c>
      <c r="I206" t="str">
        <f t="shared" si="15"/>
        <v>DEFLAZACORT 6MG X10 TABS - GENFAR</v>
      </c>
    </row>
    <row r="207" spans="1:9" ht="15">
      <c r="A207" s="16" t="s">
        <v>2854</v>
      </c>
      <c r="B207" s="17">
        <v>1</v>
      </c>
      <c r="C207" s="124">
        <v>0</v>
      </c>
      <c r="D207" s="321" t="s">
        <v>310</v>
      </c>
      <c r="E207" s="73" t="s">
        <v>2855</v>
      </c>
      <c r="F207" s="110">
        <v>7702031927433</v>
      </c>
      <c r="G207">
        <f t="shared" si="13"/>
        <v>27000</v>
      </c>
      <c r="H207">
        <f t="shared" si="14"/>
        <v>1</v>
      </c>
      <c r="I207" t="str">
        <f t="shared" si="15"/>
        <v>DESITIN CREAMY J&amp;J *57GR</v>
      </c>
    </row>
    <row r="208" spans="1:9">
      <c r="A208" t="s">
        <v>1155</v>
      </c>
      <c r="B208" s="23">
        <v>1</v>
      </c>
      <c r="C208" s="51">
        <v>0.19</v>
      </c>
      <c r="D208" s="446" t="s">
        <v>2709</v>
      </c>
      <c r="E208" s="39" t="s">
        <v>1157</v>
      </c>
      <c r="F208" s="42">
        <v>751273783052</v>
      </c>
      <c r="G208">
        <f t="shared" si="13"/>
        <v>69000</v>
      </c>
      <c r="H208">
        <f t="shared" si="14"/>
        <v>100</v>
      </c>
      <c r="I208" t="str">
        <f t="shared" si="15"/>
        <v>SUPER MAGNESIUM 400MG X100 - HEALTHY AMERICA</v>
      </c>
    </row>
    <row r="209" spans="1:9">
      <c r="A209" t="s">
        <v>2856</v>
      </c>
      <c r="B209" s="23">
        <v>2</v>
      </c>
      <c r="C209" s="23">
        <v>0</v>
      </c>
      <c r="D209" s="446" t="s">
        <v>2857</v>
      </c>
      <c r="E209" s="41" t="s">
        <v>2858</v>
      </c>
      <c r="F209" s="42">
        <v>7705959884055</v>
      </c>
      <c r="G209">
        <f t="shared" si="13"/>
        <v>56000</v>
      </c>
      <c r="H209">
        <f t="shared" si="14"/>
        <v>30</v>
      </c>
      <c r="I209" t="str">
        <f t="shared" si="15"/>
        <v>QUETIAPINA 200MG GENFAR X30 TABLETAS</v>
      </c>
    </row>
    <row r="210" spans="1:9">
      <c r="A210" s="13" t="s">
        <v>199</v>
      </c>
      <c r="B210" s="23">
        <v>1</v>
      </c>
      <c r="C210" s="105">
        <v>0</v>
      </c>
      <c r="D210" s="308" t="s">
        <v>200</v>
      </c>
      <c r="E210" s="13" t="s">
        <v>201</v>
      </c>
      <c r="F210" s="61">
        <v>7707397791636</v>
      </c>
      <c r="G210">
        <f t="shared" si="13"/>
        <v>1900</v>
      </c>
      <c r="H210">
        <f t="shared" si="14"/>
        <v>1</v>
      </c>
      <c r="I210" t="str">
        <f t="shared" si="15"/>
        <v>DOLEX FORTE TABLETAS *100 TABS</v>
      </c>
    </row>
    <row r="211" spans="1:9" ht="15">
      <c r="A211" s="18" t="s">
        <v>762</v>
      </c>
      <c r="B211" s="17">
        <v>1</v>
      </c>
      <c r="C211" s="124">
        <v>0</v>
      </c>
      <c r="D211" s="321" t="s">
        <v>38</v>
      </c>
      <c r="E211" s="76" t="s">
        <v>121</v>
      </c>
      <c r="F211" s="20">
        <v>7501125184864</v>
      </c>
      <c r="G211">
        <f t="shared" si="13"/>
        <v>9000</v>
      </c>
      <c r="H211">
        <f t="shared" si="14"/>
        <v>1</v>
      </c>
      <c r="I211" t="str">
        <f t="shared" si="15"/>
        <v>ELECTROLIT MARACUYA</v>
      </c>
    </row>
    <row r="212" spans="1:9">
      <c r="A212" t="s">
        <v>190</v>
      </c>
      <c r="B212" s="23">
        <v>1</v>
      </c>
      <c r="C212" s="51">
        <v>0</v>
      </c>
      <c r="D212" s="446" t="s">
        <v>515</v>
      </c>
      <c r="E212" s="41" t="s">
        <v>192</v>
      </c>
      <c r="F212" s="42">
        <v>7702870004111</v>
      </c>
      <c r="G212">
        <f t="shared" si="13"/>
        <v>3500</v>
      </c>
      <c r="H212">
        <f t="shared" si="14"/>
        <v>2</v>
      </c>
      <c r="I212" t="str">
        <f t="shared" si="15"/>
        <v>MOVIDOL *48 TABS</v>
      </c>
    </row>
    <row r="213" spans="1:9" ht="15">
      <c r="A213" s="56" t="s">
        <v>360</v>
      </c>
      <c r="B213" s="153">
        <v>5</v>
      </c>
      <c r="C213" s="55">
        <v>0</v>
      </c>
      <c r="D213" s="375" t="s">
        <v>257</v>
      </c>
      <c r="E213" s="152" t="s">
        <v>361</v>
      </c>
      <c r="F213" s="155">
        <v>7703038067214</v>
      </c>
      <c r="G213">
        <f t="shared" si="13"/>
        <v>1500</v>
      </c>
      <c r="H213">
        <f t="shared" si="14"/>
        <v>10</v>
      </c>
      <c r="I213" t="str">
        <f t="shared" si="15"/>
        <v>PREDNISOLONA- LAPROFF</v>
      </c>
    </row>
    <row r="214" spans="1:9">
      <c r="A214" t="s">
        <v>320</v>
      </c>
      <c r="B214" s="23">
        <v>8</v>
      </c>
      <c r="C214" s="51">
        <v>0</v>
      </c>
      <c r="D214" s="446" t="s">
        <v>902</v>
      </c>
      <c r="E214" s="39" t="s">
        <v>322</v>
      </c>
      <c r="F214" s="42">
        <v>6921875013176</v>
      </c>
      <c r="G214">
        <f t="shared" si="13"/>
        <v>8000</v>
      </c>
      <c r="H214">
        <f t="shared" si="14"/>
        <v>100</v>
      </c>
      <c r="I214" t="str">
        <f t="shared" si="15"/>
        <v>ACETAMINOFEN 500MG - DELTA CAJA X100</v>
      </c>
    </row>
    <row r="215" spans="1:9">
      <c r="A215" t="s">
        <v>2859</v>
      </c>
      <c r="B215" s="23">
        <v>2</v>
      </c>
      <c r="C215" s="51">
        <v>0</v>
      </c>
      <c r="D215" s="446" t="s">
        <v>1336</v>
      </c>
      <c r="E215" s="39" t="s">
        <v>2860</v>
      </c>
      <c r="F215" s="42">
        <v>7703546704045</v>
      </c>
      <c r="G215">
        <f t="shared" si="13"/>
        <v>52000</v>
      </c>
      <c r="H215">
        <f t="shared" si="14"/>
        <v>1</v>
      </c>
      <c r="I215" t="str">
        <f t="shared" si="15"/>
        <v>LEVRONC JARABE</v>
      </c>
    </row>
    <row r="216" spans="1:9" ht="15">
      <c r="A216" s="18" t="s">
        <v>538</v>
      </c>
      <c r="B216" s="17">
        <v>2</v>
      </c>
      <c r="C216" s="124">
        <v>0</v>
      </c>
      <c r="D216" s="321" t="s">
        <v>7</v>
      </c>
      <c r="E216" s="73" t="s">
        <v>539</v>
      </c>
      <c r="F216" s="110">
        <v>7702896001774</v>
      </c>
      <c r="G216">
        <f t="shared" si="13"/>
        <v>7000</v>
      </c>
      <c r="H216">
        <f t="shared" si="14"/>
        <v>1</v>
      </c>
      <c r="I216" t="str">
        <f t="shared" si="15"/>
        <v>MEBLAINEX- MELOXICAM 15MG AMP X5</v>
      </c>
    </row>
    <row r="217" spans="1:9" ht="28.5">
      <c r="A217" s="22" t="s">
        <v>2863</v>
      </c>
      <c r="B217" s="11">
        <v>2</v>
      </c>
      <c r="C217" s="194">
        <v>0</v>
      </c>
      <c r="D217" s="483" t="s">
        <v>1116</v>
      </c>
      <c r="E217" s="41" t="s">
        <v>2864</v>
      </c>
      <c r="F217" s="273">
        <v>7707263008240</v>
      </c>
      <c r="G217">
        <f t="shared" si="13"/>
        <v>23000</v>
      </c>
      <c r="H217">
        <f t="shared" si="14"/>
        <v>1</v>
      </c>
      <c r="I217" t="str">
        <f t="shared" si="15"/>
        <v>CLINDAMICINA + CLOTRIMAZOL / CLINDABACT CREMA</v>
      </c>
    </row>
    <row r="218" spans="1:9" ht="28.5">
      <c r="A218" s="69" t="s">
        <v>117</v>
      </c>
      <c r="B218" s="14">
        <v>5</v>
      </c>
      <c r="C218" s="105">
        <v>0</v>
      </c>
      <c r="D218" s="308" t="s">
        <v>118</v>
      </c>
      <c r="E218" s="13" t="s">
        <v>119</v>
      </c>
      <c r="F218" s="61">
        <v>7706309320117</v>
      </c>
      <c r="G218">
        <f t="shared" si="13"/>
        <v>13000</v>
      </c>
      <c r="H218">
        <f t="shared" si="14"/>
        <v>1</v>
      </c>
      <c r="I218" t="str">
        <f t="shared" si="15"/>
        <v>NIXODERM UNGÜENTO X20GR/ AZUFRE + ACIDO SALICILICO + ACIDO BENZOICO</v>
      </c>
    </row>
    <row r="219" spans="1:9">
      <c r="A219" s="22" t="s">
        <v>2865</v>
      </c>
      <c r="B219" s="23">
        <v>5</v>
      </c>
      <c r="C219" s="23">
        <v>0</v>
      </c>
      <c r="D219" s="446" t="s">
        <v>109</v>
      </c>
      <c r="E219" s="41" t="s">
        <v>2866</v>
      </c>
      <c r="F219" s="42">
        <v>7707019341904</v>
      </c>
      <c r="G219">
        <f t="shared" si="13"/>
        <v>10000</v>
      </c>
      <c r="H219">
        <f t="shared" si="14"/>
        <v>1</v>
      </c>
      <c r="I219" t="str">
        <f t="shared" si="15"/>
        <v>SEAMIB SUSPENSIÓN</v>
      </c>
    </row>
    <row r="220" spans="1:9">
      <c r="A220" t="s">
        <v>2867</v>
      </c>
      <c r="B220" s="23">
        <v>1</v>
      </c>
      <c r="C220" s="51">
        <v>0</v>
      </c>
      <c r="D220" s="446" t="s">
        <v>2868</v>
      </c>
      <c r="E220" s="41" t="s">
        <v>2869</v>
      </c>
      <c r="F220" s="42">
        <v>7707355055282</v>
      </c>
      <c r="G220">
        <f t="shared" si="13"/>
        <v>4300</v>
      </c>
      <c r="H220">
        <f t="shared" si="14"/>
        <v>1</v>
      </c>
      <c r="I220" t="str">
        <f t="shared" si="15"/>
        <v>TIZAFEN - ACETAMINOFEN/ TIZANIDINA 350/2MG *20 TABS (X1)</v>
      </c>
    </row>
    <row r="221" spans="1:9">
      <c r="A221" t="s">
        <v>661</v>
      </c>
      <c r="B221" s="23">
        <v>1</v>
      </c>
      <c r="C221" s="51">
        <v>0.19</v>
      </c>
      <c r="D221" s="446" t="s">
        <v>23</v>
      </c>
      <c r="E221" s="39" t="s">
        <v>662</v>
      </c>
      <c r="F221" s="42">
        <v>7707223662536</v>
      </c>
      <c r="G221">
        <f t="shared" si="13"/>
        <v>15000</v>
      </c>
      <c r="H221">
        <f t="shared" si="14"/>
        <v>1</v>
      </c>
      <c r="I221" t="str">
        <f t="shared" si="15"/>
        <v>ACETATO ALUMINO BODY MANTLE X500ML</v>
      </c>
    </row>
    <row r="222" spans="1:9">
      <c r="A222" s="24" t="s">
        <v>943</v>
      </c>
      <c r="B222" s="30">
        <v>6</v>
      </c>
      <c r="C222" s="31">
        <v>0</v>
      </c>
      <c r="D222" s="447" t="s">
        <v>80</v>
      </c>
      <c r="E222" s="7" t="s">
        <v>174</v>
      </c>
      <c r="F222" s="63">
        <v>7707184161093</v>
      </c>
      <c r="G222">
        <f t="shared" si="13"/>
        <v>6000</v>
      </c>
      <c r="H222">
        <f t="shared" si="14"/>
        <v>1</v>
      </c>
      <c r="I222" t="str">
        <f t="shared" si="15"/>
        <v>CLOTRIMAZOL TÓPICA - FARMIONNI</v>
      </c>
    </row>
    <row r="223" spans="1:9">
      <c r="A223" s="69" t="s">
        <v>380</v>
      </c>
      <c r="B223" s="14">
        <v>1</v>
      </c>
      <c r="C223" s="105">
        <v>0</v>
      </c>
      <c r="D223" s="308" t="s">
        <v>381</v>
      </c>
      <c r="E223" s="12" t="s">
        <v>382</v>
      </c>
      <c r="F223" s="61">
        <v>7501298220185</v>
      </c>
      <c r="G223">
        <f t="shared" ref="G223:G286" si="16">IFERROR(VALUE(SUBSTITUTE(LEFT(LOWER(D223),FIND("x",LOWER(D223))-1),",","")),VALUE(SUBSTITUTE(D223,",","")))</f>
        <v>40000</v>
      </c>
      <c r="H223">
        <f t="shared" ref="H223:H286" si="17">IFERROR(VALUE(MID(LOWER(D223),FIND("x",LOWER(D223))+1,20)),1)</f>
        <v>1</v>
      </c>
      <c r="I223" t="str">
        <f t="shared" si="15"/>
        <v>NEUROBION DC *3AMP</v>
      </c>
    </row>
    <row r="224" spans="1:9">
      <c r="A224" s="69" t="s">
        <v>505</v>
      </c>
      <c r="B224" s="14">
        <v>1</v>
      </c>
      <c r="C224" s="105">
        <v>0</v>
      </c>
      <c r="D224" s="308" t="s">
        <v>2156</v>
      </c>
      <c r="E224" s="13" t="s">
        <v>507</v>
      </c>
      <c r="F224" s="61">
        <v>7707733979537</v>
      </c>
      <c r="G224">
        <f t="shared" si="16"/>
        <v>8000</v>
      </c>
      <c r="H224">
        <f t="shared" si="17"/>
        <v>4</v>
      </c>
      <c r="I224" t="str">
        <f t="shared" si="15"/>
        <v>STREPSILS MIEL LIMON / X16 CAJAS DE 4 TABS C/U</v>
      </c>
    </row>
    <row r="225" spans="1:9">
      <c r="A225" t="s">
        <v>2870</v>
      </c>
      <c r="B225" s="23">
        <v>1</v>
      </c>
      <c r="C225" s="51">
        <v>0</v>
      </c>
      <c r="D225" s="446" t="s">
        <v>1180</v>
      </c>
      <c r="E225" s="41" t="s">
        <v>2871</v>
      </c>
      <c r="F225" s="42">
        <v>7702057700157</v>
      </c>
      <c r="G225">
        <f t="shared" si="16"/>
        <v>6500</v>
      </c>
      <c r="H225">
        <f t="shared" si="17"/>
        <v>10</v>
      </c>
      <c r="I225" t="str">
        <f t="shared" si="15"/>
        <v>VITAMINA C MK X100 - MANDARINA</v>
      </c>
    </row>
    <row r="226" spans="1:9">
      <c r="A226" s="24" t="s">
        <v>1091</v>
      </c>
      <c r="B226" s="30">
        <v>2</v>
      </c>
      <c r="C226" s="173">
        <v>0</v>
      </c>
      <c r="D226" s="447" t="s">
        <v>103</v>
      </c>
      <c r="E226" s="7" t="s">
        <v>1092</v>
      </c>
      <c r="F226" s="63">
        <v>7703763750115</v>
      </c>
      <c r="G226">
        <f t="shared" si="16"/>
        <v>5000</v>
      </c>
      <c r="H226">
        <f t="shared" si="17"/>
        <v>10</v>
      </c>
      <c r="I226" t="str">
        <f t="shared" si="15"/>
        <v>VITAMINA C 500MG- LA SANTÉ NARANJA</v>
      </c>
    </row>
    <row r="227" spans="1:9" ht="15">
      <c r="A227" s="19" t="s">
        <v>2872</v>
      </c>
      <c r="B227" s="37">
        <v>1</v>
      </c>
      <c r="C227" s="37">
        <v>0</v>
      </c>
      <c r="D227" s="376" t="s">
        <v>103</v>
      </c>
      <c r="E227" s="112" t="s">
        <v>2455</v>
      </c>
      <c r="F227" s="115">
        <v>7709492276612</v>
      </c>
      <c r="G227">
        <f t="shared" si="16"/>
        <v>5000</v>
      </c>
      <c r="H227">
        <f t="shared" si="17"/>
        <v>10</v>
      </c>
      <c r="I227" t="str">
        <f t="shared" si="15"/>
        <v>VITAMINA C - KEOPS VIT - MANDARINA</v>
      </c>
    </row>
    <row r="228" spans="1:9">
      <c r="A228" s="24" t="s">
        <v>2873</v>
      </c>
      <c r="B228" s="30">
        <v>1</v>
      </c>
      <c r="C228" s="31">
        <v>0</v>
      </c>
      <c r="D228" s="447" t="s">
        <v>53</v>
      </c>
      <c r="E228" s="8" t="s">
        <v>2874</v>
      </c>
      <c r="F228" s="63">
        <v>7703038050193</v>
      </c>
      <c r="G228">
        <f t="shared" si="16"/>
        <v>1500</v>
      </c>
      <c r="H228">
        <f t="shared" si="17"/>
        <v>10</v>
      </c>
      <c r="I228" t="str">
        <f t="shared" si="15"/>
        <v>COMLEJO B X300 LAPROFF</v>
      </c>
    </row>
    <row r="229" spans="1:9">
      <c r="A229" s="24" t="s">
        <v>1205</v>
      </c>
      <c r="B229" s="30">
        <v>6</v>
      </c>
      <c r="C229" s="31">
        <v>0</v>
      </c>
      <c r="D229" s="447" t="s">
        <v>156</v>
      </c>
      <c r="E229" s="7" t="s">
        <v>1206</v>
      </c>
      <c r="F229" s="63">
        <v>7702605100866</v>
      </c>
      <c r="G229">
        <f t="shared" si="16"/>
        <v>3000</v>
      </c>
      <c r="H229">
        <f t="shared" si="17"/>
        <v>10</v>
      </c>
      <c r="I229" t="str">
        <f t="shared" si="15"/>
        <v>DICLOFENACO 50MG CAJA X30- GENFAR TAB (X1)</v>
      </c>
    </row>
    <row r="230" spans="1:9">
      <c r="A230" s="7" t="s">
        <v>1182</v>
      </c>
      <c r="B230" s="30">
        <v>2</v>
      </c>
      <c r="C230" s="31">
        <v>0</v>
      </c>
      <c r="D230" s="447" t="s">
        <v>91</v>
      </c>
      <c r="E230" s="8" t="s">
        <v>1166</v>
      </c>
      <c r="F230" s="63">
        <v>7707190180026</v>
      </c>
      <c r="G230">
        <f t="shared" si="16"/>
        <v>16000</v>
      </c>
      <c r="H230">
        <f t="shared" si="17"/>
        <v>1</v>
      </c>
      <c r="I230" t="str">
        <f t="shared" si="15"/>
        <v>KETOCONAZOL SHAMPOO FARMANAL *120ML</v>
      </c>
    </row>
    <row r="231" spans="1:9">
      <c r="A231" t="s">
        <v>568</v>
      </c>
      <c r="B231" s="23">
        <v>2</v>
      </c>
      <c r="C231" s="51">
        <v>0</v>
      </c>
      <c r="D231" s="446" t="s">
        <v>2875</v>
      </c>
      <c r="E231" s="39" t="s">
        <v>570</v>
      </c>
      <c r="F231" s="42">
        <v>751273778140</v>
      </c>
      <c r="G231">
        <f t="shared" si="16"/>
        <v>42000</v>
      </c>
      <c r="H231">
        <f t="shared" si="17"/>
        <v>120</v>
      </c>
      <c r="I231" t="str">
        <f t="shared" si="15"/>
        <v>MELATONINA HEALTY AMERICA 3MG- X120 SOFTGELS</v>
      </c>
    </row>
    <row r="232" spans="1:9">
      <c r="A232" s="24" t="s">
        <v>533</v>
      </c>
      <c r="B232" s="30">
        <v>2</v>
      </c>
      <c r="C232" s="31">
        <v>0</v>
      </c>
      <c r="D232" s="447" t="s">
        <v>534</v>
      </c>
      <c r="E232" s="8" t="s">
        <v>535</v>
      </c>
      <c r="F232" s="63">
        <v>7703038594116</v>
      </c>
      <c r="G232">
        <f t="shared" si="16"/>
        <v>12000</v>
      </c>
      <c r="H232">
        <f t="shared" si="17"/>
        <v>4</v>
      </c>
      <c r="I232" t="str">
        <f t="shared" si="15"/>
        <v>TADALAFILO 20MG - LAPROFF</v>
      </c>
    </row>
    <row r="233" spans="1:9">
      <c r="A233" s="24" t="s">
        <v>2618</v>
      </c>
      <c r="B233" s="30">
        <v>2</v>
      </c>
      <c r="C233" s="173">
        <v>0</v>
      </c>
      <c r="D233" s="447" t="s">
        <v>2619</v>
      </c>
      <c r="E233" s="7" t="s">
        <v>1043</v>
      </c>
      <c r="F233" s="63">
        <v>7891010254797</v>
      </c>
      <c r="G233">
        <f t="shared" si="16"/>
        <v>16000</v>
      </c>
      <c r="H233">
        <f t="shared" si="17"/>
        <v>16</v>
      </c>
      <c r="I233" t="str">
        <f t="shared" si="15"/>
        <v>TAMPON OB MEDIO *16 UNIDADES</v>
      </c>
    </row>
    <row r="234" spans="1:9">
      <c r="A234" s="24" t="s">
        <v>1041</v>
      </c>
      <c r="B234" s="30">
        <v>3</v>
      </c>
      <c r="C234" s="105">
        <v>0</v>
      </c>
      <c r="D234" s="308" t="s">
        <v>2876</v>
      </c>
      <c r="E234" s="7" t="s">
        <v>1043</v>
      </c>
      <c r="F234" s="63">
        <v>7891010254773</v>
      </c>
      <c r="G234">
        <f t="shared" si="16"/>
        <v>8000</v>
      </c>
      <c r="H234">
        <f t="shared" si="17"/>
        <v>8</v>
      </c>
      <c r="I234" t="str">
        <f t="shared" si="15"/>
        <v>TAMPON OB MEDIO *8 UNIDADES</v>
      </c>
    </row>
    <row r="235" spans="1:9">
      <c r="A235" s="233" t="s">
        <v>1797</v>
      </c>
      <c r="B235" s="30">
        <v>2</v>
      </c>
      <c r="C235" s="31">
        <v>0</v>
      </c>
      <c r="D235" s="447" t="s">
        <v>150</v>
      </c>
      <c r="E235" s="7" t="s">
        <v>1799</v>
      </c>
      <c r="F235" s="63">
        <v>7707172681060</v>
      </c>
      <c r="G235">
        <f t="shared" si="16"/>
        <v>16500</v>
      </c>
      <c r="H235">
        <f t="shared" si="17"/>
        <v>1</v>
      </c>
      <c r="I235" t="str">
        <f t="shared" si="15"/>
        <v>EMULSION SCOTT *180ML TRADICIONAL</v>
      </c>
    </row>
    <row r="236" spans="1:9">
      <c r="A236" s="7" t="s">
        <v>1806</v>
      </c>
      <c r="B236" s="30">
        <v>2</v>
      </c>
      <c r="C236" s="31">
        <v>0</v>
      </c>
      <c r="D236" s="447" t="s">
        <v>112</v>
      </c>
      <c r="E236" s="7" t="s">
        <v>1805</v>
      </c>
      <c r="F236" s="63">
        <v>7707172681077</v>
      </c>
      <c r="G236">
        <f t="shared" si="16"/>
        <v>26000</v>
      </c>
      <c r="H236">
        <f t="shared" si="17"/>
        <v>1</v>
      </c>
      <c r="I236" t="str">
        <f t="shared" si="15"/>
        <v>EMULSION SCOTT *360ML TRADICIONAL</v>
      </c>
    </row>
    <row r="237" spans="1:9">
      <c r="A237" s="146" t="s">
        <v>2211</v>
      </c>
      <c r="B237" s="147">
        <v>1</v>
      </c>
      <c r="C237" s="234">
        <v>0</v>
      </c>
      <c r="D237" s="485" t="s">
        <v>2212</v>
      </c>
      <c r="E237" s="159" t="s">
        <v>803</v>
      </c>
      <c r="F237" s="160">
        <v>7706849112906</v>
      </c>
      <c r="G237">
        <f t="shared" si="16"/>
        <v>43000</v>
      </c>
      <c r="H237">
        <f t="shared" si="17"/>
        <v>60</v>
      </c>
      <c r="I237" t="str">
        <f t="shared" si="15"/>
        <v>MELATONINA 3MG- FUNAT</v>
      </c>
    </row>
    <row r="238" spans="1:9">
      <c r="A238" t="s">
        <v>9</v>
      </c>
      <c r="B238" s="30">
        <v>6</v>
      </c>
      <c r="C238" s="31">
        <v>0</v>
      </c>
      <c r="D238" s="447" t="s">
        <v>10</v>
      </c>
      <c r="E238" s="7" t="s">
        <v>11</v>
      </c>
      <c r="F238" s="63">
        <v>7703689317386</v>
      </c>
      <c r="G238">
        <f t="shared" si="16"/>
        <v>8000</v>
      </c>
      <c r="H238">
        <f t="shared" si="17"/>
        <v>1</v>
      </c>
      <c r="I238" t="str">
        <f t="shared" si="15"/>
        <v>OCEIRA</v>
      </c>
    </row>
    <row r="239" spans="1:9">
      <c r="A239" s="22" t="s">
        <v>2877</v>
      </c>
      <c r="B239" s="23">
        <v>1</v>
      </c>
      <c r="C239" s="23">
        <v>0</v>
      </c>
      <c r="D239" s="446" t="s">
        <v>2878</v>
      </c>
      <c r="E239" s="41" t="s">
        <v>422</v>
      </c>
      <c r="F239" s="42">
        <v>7707355056876</v>
      </c>
      <c r="G239">
        <f t="shared" si="16"/>
        <v>2000</v>
      </c>
      <c r="H239">
        <f t="shared" si="17"/>
        <v>4</v>
      </c>
      <c r="I239" t="str">
        <f t="shared" si="15"/>
        <v>ADOREM TAB 500MG X100 TABS/ ACETAMINOFEN 500MG</v>
      </c>
    </row>
    <row r="240" spans="1:9">
      <c r="A240" s="28" t="s">
        <v>1712</v>
      </c>
      <c r="B240" s="30">
        <v>6</v>
      </c>
      <c r="C240" s="31">
        <v>0</v>
      </c>
      <c r="D240" s="447" t="s">
        <v>80</v>
      </c>
      <c r="E240" s="7" t="s">
        <v>1713</v>
      </c>
      <c r="F240" s="63">
        <v>7703038067054</v>
      </c>
      <c r="G240">
        <f t="shared" si="16"/>
        <v>6000</v>
      </c>
      <c r="H240">
        <f t="shared" si="17"/>
        <v>1</v>
      </c>
      <c r="I240" t="str">
        <f t="shared" si="15"/>
        <v>DESLORATADINA JBE- LAPORFF</v>
      </c>
    </row>
    <row r="241" spans="1:9">
      <c r="A241" s="64" t="s">
        <v>440</v>
      </c>
      <c r="B241" s="102">
        <v>2</v>
      </c>
      <c r="C241" s="101">
        <v>0</v>
      </c>
      <c r="D241" s="443" t="s">
        <v>1886</v>
      </c>
      <c r="E241" s="64" t="s">
        <v>116</v>
      </c>
      <c r="F241" s="103">
        <v>7707288820254</v>
      </c>
      <c r="G241">
        <f t="shared" si="16"/>
        <v>20000</v>
      </c>
      <c r="H241">
        <f t="shared" si="17"/>
        <v>20</v>
      </c>
      <c r="I241" t="str">
        <f t="shared" si="15"/>
        <v>ESPIRINOLACTONA 100MG - HUMAX</v>
      </c>
    </row>
    <row r="242" spans="1:9">
      <c r="A242" s="24" t="s">
        <v>706</v>
      </c>
      <c r="B242" s="30">
        <v>6</v>
      </c>
      <c r="C242" s="31">
        <v>0</v>
      </c>
      <c r="D242" s="447" t="s">
        <v>2879</v>
      </c>
      <c r="E242" s="7" t="s">
        <v>708</v>
      </c>
      <c r="F242" s="63">
        <v>7707019340907</v>
      </c>
      <c r="G242">
        <f t="shared" si="16"/>
        <v>24000</v>
      </c>
      <c r="H242">
        <f t="shared" si="17"/>
        <v>18</v>
      </c>
      <c r="I242" t="str">
        <f t="shared" si="15"/>
        <v>METROXAZIDE TABLETAS</v>
      </c>
    </row>
    <row r="243" spans="1:9">
      <c r="A243" s="24" t="s">
        <v>1009</v>
      </c>
      <c r="B243" s="30">
        <v>3</v>
      </c>
      <c r="C243" s="31">
        <v>0</v>
      </c>
      <c r="D243" s="447" t="s">
        <v>59</v>
      </c>
      <c r="E243" s="7" t="s">
        <v>1010</v>
      </c>
      <c r="F243" s="63">
        <v>7705137110013</v>
      </c>
      <c r="G243">
        <f t="shared" si="16"/>
        <v>3000</v>
      </c>
      <c r="H243">
        <f t="shared" si="17"/>
        <v>1</v>
      </c>
      <c r="I243" t="str">
        <f t="shared" si="15"/>
        <v>AGUA OXIGENADA OSA</v>
      </c>
    </row>
    <row r="244" spans="1:9" ht="57">
      <c r="A244" s="146" t="s">
        <v>598</v>
      </c>
      <c r="B244" s="150" t="s">
        <v>599</v>
      </c>
      <c r="C244" s="148">
        <v>0</v>
      </c>
      <c r="D244" s="444" t="s">
        <v>600</v>
      </c>
      <c r="E244" s="159" t="s">
        <v>601</v>
      </c>
      <c r="F244" s="160">
        <v>7702003985812</v>
      </c>
      <c r="G244">
        <f t="shared" si="16"/>
        <v>3000</v>
      </c>
      <c r="H244">
        <f t="shared" si="17"/>
        <v>1</v>
      </c>
      <c r="I244" t="str">
        <f t="shared" si="15"/>
        <v>CONDON SANAMED DUO X50 UNIDADES</v>
      </c>
    </row>
    <row r="245" spans="1:9">
      <c r="A245" t="s">
        <v>1961</v>
      </c>
      <c r="B245" s="30">
        <v>1</v>
      </c>
      <c r="C245" s="31">
        <v>0</v>
      </c>
      <c r="D245" s="447" t="s">
        <v>408</v>
      </c>
      <c r="E245" s="7" t="s">
        <v>1963</v>
      </c>
      <c r="F245" s="63">
        <v>7707397791483</v>
      </c>
      <c r="G245">
        <f t="shared" si="16"/>
        <v>9000</v>
      </c>
      <c r="H245">
        <f t="shared" si="17"/>
        <v>10</v>
      </c>
      <c r="I245" t="str">
        <f t="shared" si="15"/>
        <v>DOLEX 500MG- AVANZADO RAPIDA ACCIÓN X100 TABS</v>
      </c>
    </row>
    <row r="246" spans="1:9">
      <c r="A246" s="24" t="s">
        <v>633</v>
      </c>
      <c r="B246" s="30">
        <v>2</v>
      </c>
      <c r="C246" s="31">
        <v>0</v>
      </c>
      <c r="D246" s="447" t="s">
        <v>1309</v>
      </c>
      <c r="E246" s="7" t="s">
        <v>634</v>
      </c>
      <c r="F246" s="63">
        <v>7702626211770</v>
      </c>
      <c r="G246">
        <f t="shared" si="16"/>
        <v>4000</v>
      </c>
      <c r="H246">
        <f t="shared" si="17"/>
        <v>10</v>
      </c>
      <c r="I246" t="str">
        <f t="shared" si="15"/>
        <v>GAVISCON DOBLE ACCION *12 SACHETS</v>
      </c>
    </row>
    <row r="247" spans="1:9">
      <c r="A247" t="s">
        <v>2579</v>
      </c>
      <c r="B247" s="23">
        <v>1</v>
      </c>
      <c r="C247" s="51">
        <v>0</v>
      </c>
      <c r="D247" s="446" t="s">
        <v>2880</v>
      </c>
      <c r="E247" s="41" t="s">
        <v>2580</v>
      </c>
      <c r="F247" s="42">
        <v>7702057557171</v>
      </c>
      <c r="G247">
        <f t="shared" si="16"/>
        <v>31000</v>
      </c>
      <c r="H247">
        <f t="shared" si="17"/>
        <v>1</v>
      </c>
      <c r="I247" t="str">
        <f t="shared" si="15"/>
        <v>HIDROXIDO DE MAGNESIO MK X360ML</v>
      </c>
    </row>
    <row r="248" spans="1:9">
      <c r="A248" s="22" t="s">
        <v>2407</v>
      </c>
      <c r="B248" s="23">
        <v>1</v>
      </c>
      <c r="C248" s="51">
        <v>0</v>
      </c>
      <c r="D248" s="446" t="s">
        <v>348</v>
      </c>
      <c r="E248" s="41" t="s">
        <v>2408</v>
      </c>
      <c r="F248" s="42">
        <v>7703445103109</v>
      </c>
      <c r="G248">
        <f t="shared" si="16"/>
        <v>36000</v>
      </c>
      <c r="H248">
        <f t="shared" si="17"/>
        <v>1</v>
      </c>
      <c r="I248" t="str">
        <f t="shared" si="15"/>
        <v>FLUIMUCIL 2% JARABE *120ML</v>
      </c>
    </row>
    <row r="249" spans="1:9">
      <c r="A249" t="s">
        <v>2881</v>
      </c>
      <c r="B249" s="23">
        <v>4</v>
      </c>
      <c r="C249" s="23">
        <v>0</v>
      </c>
      <c r="D249" s="446" t="s">
        <v>156</v>
      </c>
      <c r="E249" s="41" t="s">
        <v>653</v>
      </c>
      <c r="F249" s="42">
        <v>7703546021005</v>
      </c>
      <c r="G249">
        <f t="shared" si="16"/>
        <v>3000</v>
      </c>
      <c r="H249">
        <f t="shared" si="17"/>
        <v>10</v>
      </c>
      <c r="I249" t="str">
        <f t="shared" si="15"/>
        <v>CRONOFEN TABLETAS / ACETAMINOFEN 500MG X100</v>
      </c>
    </row>
    <row r="250" spans="1:9">
      <c r="A250" s="24" t="s">
        <v>256</v>
      </c>
      <c r="B250" s="30">
        <v>2</v>
      </c>
      <c r="C250" s="31">
        <v>0</v>
      </c>
      <c r="D250" s="447" t="s">
        <v>257</v>
      </c>
      <c r="E250" s="7" t="s">
        <v>258</v>
      </c>
      <c r="F250" s="63">
        <v>7703038067429</v>
      </c>
      <c r="G250">
        <f t="shared" si="16"/>
        <v>1500</v>
      </c>
      <c r="H250">
        <f t="shared" si="17"/>
        <v>10</v>
      </c>
      <c r="I250" t="str">
        <f t="shared" si="15"/>
        <v>AMLODIPINO 5MG *300 TABS</v>
      </c>
    </row>
    <row r="251" spans="1:9">
      <c r="A251" s="7" t="s">
        <v>439</v>
      </c>
      <c r="B251" s="30">
        <v>8</v>
      </c>
      <c r="C251" s="173">
        <v>0</v>
      </c>
      <c r="D251" s="447" t="s">
        <v>80</v>
      </c>
      <c r="E251" s="8" t="s">
        <v>332</v>
      </c>
      <c r="F251" s="63">
        <v>7705451000069</v>
      </c>
      <c r="G251">
        <f t="shared" si="16"/>
        <v>6000</v>
      </c>
      <c r="H251">
        <f t="shared" si="17"/>
        <v>1</v>
      </c>
      <c r="I251" t="str">
        <f t="shared" si="15"/>
        <v>CLORFERINAMINA SUSP LICOL</v>
      </c>
    </row>
    <row r="252" spans="1:9">
      <c r="A252" s="24" t="s">
        <v>1539</v>
      </c>
      <c r="B252" s="30">
        <v>1</v>
      </c>
      <c r="C252" s="31">
        <v>0</v>
      </c>
      <c r="D252" s="447" t="s">
        <v>2883</v>
      </c>
      <c r="E252" s="7" t="s">
        <v>1540</v>
      </c>
      <c r="F252" s="63">
        <v>7702057838294</v>
      </c>
      <c r="G252">
        <f t="shared" si="16"/>
        <v>2200</v>
      </c>
      <c r="H252">
        <f t="shared" si="17"/>
        <v>0.01</v>
      </c>
      <c r="I252" t="str">
        <f t="shared" si="15"/>
        <v>IBUFLASH ULTRAFORTE X18 CAPS</v>
      </c>
    </row>
    <row r="253" spans="1:9">
      <c r="A253" s="24" t="s">
        <v>2884</v>
      </c>
      <c r="B253" s="30">
        <v>2</v>
      </c>
      <c r="C253" s="31">
        <v>0</v>
      </c>
      <c r="D253" s="447" t="s">
        <v>572</v>
      </c>
      <c r="E253" s="7" t="s">
        <v>2885</v>
      </c>
      <c r="F253" s="63">
        <v>8901175020966</v>
      </c>
      <c r="G253">
        <f t="shared" si="16"/>
        <v>10000</v>
      </c>
      <c r="H253">
        <f t="shared" si="17"/>
        <v>14</v>
      </c>
      <c r="I253" t="str">
        <f t="shared" si="15"/>
        <v>AURASERT 50MG- SERTRALINA 50MG</v>
      </c>
    </row>
    <row r="254" spans="1:9">
      <c r="A254" t="s">
        <v>2886</v>
      </c>
      <c r="B254" s="23">
        <v>1</v>
      </c>
      <c r="C254" s="238">
        <v>0</v>
      </c>
      <c r="D254" s="446" t="s">
        <v>59</v>
      </c>
      <c r="E254" s="41" t="s">
        <v>2887</v>
      </c>
      <c r="F254" s="42">
        <v>7707210530053</v>
      </c>
      <c r="G254">
        <f t="shared" si="16"/>
        <v>3000</v>
      </c>
      <c r="H254">
        <f t="shared" si="17"/>
        <v>1</v>
      </c>
      <c r="I254" t="str">
        <f t="shared" si="15"/>
        <v>CHAMPIOJO X54 SOBRES</v>
      </c>
    </row>
    <row r="255" spans="1:9">
      <c r="A255" s="24" t="s">
        <v>693</v>
      </c>
      <c r="B255" s="14">
        <v>12</v>
      </c>
      <c r="C255" s="105">
        <v>0</v>
      </c>
      <c r="D255" s="308" t="s">
        <v>694</v>
      </c>
      <c r="E255" s="8" t="s">
        <v>695</v>
      </c>
      <c r="F255" s="63">
        <v>7707274721053</v>
      </c>
      <c r="G255">
        <f t="shared" si="16"/>
        <v>8000</v>
      </c>
      <c r="H255">
        <f t="shared" si="17"/>
        <v>21</v>
      </c>
      <c r="I255" t="str">
        <f t="shared" si="15"/>
        <v>ACTIVA 21 GRAGEAS</v>
      </c>
    </row>
    <row r="256" spans="1:9">
      <c r="A256" t="s">
        <v>2888</v>
      </c>
      <c r="B256" s="23">
        <v>2</v>
      </c>
      <c r="C256" s="51">
        <v>0.19</v>
      </c>
      <c r="D256" s="446" t="s">
        <v>747</v>
      </c>
      <c r="E256" s="39" t="s">
        <v>2889</v>
      </c>
      <c r="F256" s="42">
        <v>7708060880367</v>
      </c>
      <c r="G256">
        <f t="shared" si="16"/>
        <v>14000</v>
      </c>
      <c r="H256">
        <f t="shared" si="17"/>
        <v>1</v>
      </c>
      <c r="I256" t="str">
        <f t="shared" si="15"/>
        <v>DOLOR FIN FORTE - ROLL ON</v>
      </c>
    </row>
    <row r="257" spans="1:9" ht="28.5">
      <c r="A257" s="146" t="s">
        <v>2890</v>
      </c>
      <c r="B257" s="23">
        <v>2</v>
      </c>
      <c r="C257" s="238">
        <v>0</v>
      </c>
      <c r="D257" s="446" t="s">
        <v>91</v>
      </c>
      <c r="E257" s="41" t="s">
        <v>1286</v>
      </c>
      <c r="F257" s="42">
        <v>7702605103874</v>
      </c>
      <c r="G257">
        <f t="shared" si="16"/>
        <v>16000</v>
      </c>
      <c r="H257">
        <f t="shared" si="17"/>
        <v>1</v>
      </c>
      <c r="I257" t="str">
        <f t="shared" si="15"/>
        <v>TRICONFUGADA GENFAR - BETAMETASONA/ CLOTRIMAZOL/ NEOMICINA-GR *20GR</v>
      </c>
    </row>
    <row r="258" spans="1:9" ht="28.5">
      <c r="A258" s="69" t="s">
        <v>1284</v>
      </c>
      <c r="B258" s="30">
        <v>1</v>
      </c>
      <c r="C258" s="31">
        <v>0</v>
      </c>
      <c r="D258" s="447" t="s">
        <v>1285</v>
      </c>
      <c r="E258" s="7" t="s">
        <v>1286</v>
      </c>
      <c r="F258" s="63">
        <v>7702605103881</v>
      </c>
      <c r="G258">
        <f t="shared" si="16"/>
        <v>27000</v>
      </c>
      <c r="H258">
        <f t="shared" si="17"/>
        <v>1</v>
      </c>
      <c r="I258" t="str">
        <f t="shared" si="15"/>
        <v>TRICONFUGADA GENFAR - BETAMETASONA/ CLOTRIMAZOL/ NEOMICINA-GR *40GR</v>
      </c>
    </row>
    <row r="259" spans="1:9">
      <c r="A259" t="s">
        <v>588</v>
      </c>
      <c r="B259" s="23">
        <v>1</v>
      </c>
      <c r="C259" s="51">
        <v>0</v>
      </c>
      <c r="D259" s="446" t="s">
        <v>773</v>
      </c>
      <c r="E259" s="41" t="s">
        <v>590</v>
      </c>
      <c r="F259" s="42">
        <v>7703202221305</v>
      </c>
      <c r="G259">
        <f t="shared" si="16"/>
        <v>41000</v>
      </c>
      <c r="H259">
        <f t="shared" si="17"/>
        <v>1</v>
      </c>
      <c r="I259" t="str">
        <f t="shared" ref="I259:I322" si="18">TRIM(A259)</f>
        <v>BUSCAPINA COMPUESTA GOTAS</v>
      </c>
    </row>
    <row r="260" spans="1:9">
      <c r="A260" s="141" t="s">
        <v>2891</v>
      </c>
      <c r="B260" s="147">
        <v>1</v>
      </c>
      <c r="C260" s="148">
        <v>0.19</v>
      </c>
      <c r="D260" s="444" t="s">
        <v>491</v>
      </c>
      <c r="E260" s="159" t="s">
        <v>2892</v>
      </c>
      <c r="F260" s="160">
        <v>650240032684</v>
      </c>
      <c r="G260">
        <f t="shared" si="16"/>
        <v>24000</v>
      </c>
      <c r="H260">
        <f t="shared" si="17"/>
        <v>1</v>
      </c>
      <c r="I260" t="str">
        <f t="shared" si="18"/>
        <v>TEATRICAL ACLARADORA *100GR</v>
      </c>
    </row>
    <row r="261" spans="1:9" ht="15">
      <c r="A261" s="73" t="s">
        <v>269</v>
      </c>
      <c r="B261" s="17">
        <v>2</v>
      </c>
      <c r="C261" s="124">
        <v>0</v>
      </c>
      <c r="D261" s="321" t="s">
        <v>270</v>
      </c>
      <c r="E261" s="73" t="s">
        <v>101</v>
      </c>
      <c r="F261" s="20">
        <v>650240031267</v>
      </c>
      <c r="G261">
        <f t="shared" si="16"/>
        <v>9000</v>
      </c>
      <c r="H261">
        <f t="shared" si="17"/>
        <v>14</v>
      </c>
      <c r="I261" t="str">
        <f t="shared" si="18"/>
        <v>GENOPRAZOL 10MG</v>
      </c>
    </row>
    <row r="262" spans="1:9">
      <c r="A262" t="s">
        <v>2893</v>
      </c>
      <c r="B262" s="23">
        <v>1</v>
      </c>
      <c r="C262" s="23">
        <v>0</v>
      </c>
      <c r="D262" s="446" t="s">
        <v>88</v>
      </c>
      <c r="E262" s="41" t="s">
        <v>110</v>
      </c>
      <c r="F262" s="42">
        <v>7702605101535</v>
      </c>
      <c r="G262">
        <f t="shared" si="16"/>
        <v>18000</v>
      </c>
      <c r="H262">
        <f t="shared" si="17"/>
        <v>1</v>
      </c>
      <c r="I262" t="str">
        <f t="shared" si="18"/>
        <v>ISOCONAZOL CREMA GENFAR X20GR</v>
      </c>
    </row>
    <row r="263" spans="1:9">
      <c r="A263" s="22" t="s">
        <v>2894</v>
      </c>
      <c r="B263" s="23">
        <v>2</v>
      </c>
      <c r="C263" s="51">
        <v>0</v>
      </c>
      <c r="D263" s="446" t="s">
        <v>491</v>
      </c>
      <c r="E263" s="39" t="s">
        <v>2895</v>
      </c>
      <c r="F263" s="42">
        <v>7703038690146</v>
      </c>
      <c r="G263">
        <f t="shared" si="16"/>
        <v>24000</v>
      </c>
      <c r="H263">
        <f t="shared" si="17"/>
        <v>1</v>
      </c>
      <c r="I263" t="str">
        <f t="shared" si="18"/>
        <v>MINOXIDIL 5% - LAPROFF X60ML</v>
      </c>
    </row>
    <row r="264" spans="1:9">
      <c r="A264" s="7" t="s">
        <v>1670</v>
      </c>
      <c r="B264" s="30">
        <v>2</v>
      </c>
      <c r="C264" s="31">
        <v>0</v>
      </c>
      <c r="D264" s="447" t="s">
        <v>1240</v>
      </c>
      <c r="E264" s="7" t="s">
        <v>1671</v>
      </c>
      <c r="F264" s="63">
        <v>7896116866219</v>
      </c>
      <c r="G264">
        <f t="shared" si="16"/>
        <v>33000</v>
      </c>
      <c r="H264">
        <f t="shared" si="17"/>
        <v>1</v>
      </c>
      <c r="I264" t="str">
        <f t="shared" si="18"/>
        <v>YASMIN / DROSPIRENONA 3MG + ETINILESTRADIOL 0,03MG</v>
      </c>
    </row>
    <row r="265" spans="1:9">
      <c r="A265" t="s">
        <v>2095</v>
      </c>
      <c r="B265" s="23">
        <v>2</v>
      </c>
      <c r="C265" s="51">
        <v>0.19</v>
      </c>
      <c r="D265" s="446" t="s">
        <v>747</v>
      </c>
      <c r="E265" s="39" t="s">
        <v>1758</v>
      </c>
      <c r="F265" s="42">
        <v>7705471100633</v>
      </c>
      <c r="G265">
        <f t="shared" si="16"/>
        <v>14000</v>
      </c>
      <c r="H265">
        <f t="shared" si="17"/>
        <v>1</v>
      </c>
      <c r="I265" t="str">
        <f t="shared" si="18"/>
        <v>ACEITE COCO ATHOS *250ML</v>
      </c>
    </row>
    <row r="266" spans="1:9" ht="28.5">
      <c r="A266" s="22" t="s">
        <v>2896</v>
      </c>
      <c r="B266" s="23">
        <v>1</v>
      </c>
      <c r="C266" s="23">
        <v>0</v>
      </c>
      <c r="D266" s="446" t="s">
        <v>80</v>
      </c>
      <c r="E266" s="39" t="s">
        <v>2897</v>
      </c>
      <c r="F266" s="42">
        <v>7702057012601</v>
      </c>
      <c r="G266">
        <f t="shared" si="16"/>
        <v>6000</v>
      </c>
      <c r="H266">
        <f t="shared" si="17"/>
        <v>1</v>
      </c>
      <c r="I266" t="str">
        <f t="shared" si="18"/>
        <v>FLUENZ T X7 CASPULAS / IBUPROFENO 400MG + FENILEFRINA 10MG + LEVOCETIRIZINA + DEXTROMETORFANO</v>
      </c>
    </row>
    <row r="267" spans="1:9" ht="28.5">
      <c r="A267" s="13" t="s">
        <v>418</v>
      </c>
      <c r="B267" s="14">
        <v>4</v>
      </c>
      <c r="C267" s="105">
        <v>0</v>
      </c>
      <c r="D267" s="308" t="s">
        <v>23</v>
      </c>
      <c r="E267" s="13" t="s">
        <v>419</v>
      </c>
      <c r="F267" s="61">
        <v>7703712035485</v>
      </c>
      <c r="G267">
        <f t="shared" si="16"/>
        <v>15000</v>
      </c>
      <c r="H267">
        <f t="shared" si="17"/>
        <v>1</v>
      </c>
      <c r="I267" t="str">
        <f t="shared" si="18"/>
        <v>HIDROXIDO ALUMINIO HIDROXIDO MAGNESIO Y SIMETICONA X360 ML - COASPH</v>
      </c>
    </row>
    <row r="268" spans="1:9">
      <c r="A268" t="s">
        <v>1454</v>
      </c>
      <c r="B268" s="23">
        <v>2</v>
      </c>
      <c r="C268" s="51">
        <v>0.19</v>
      </c>
      <c r="D268" s="446" t="s">
        <v>14</v>
      </c>
      <c r="E268" s="41" t="s">
        <v>1455</v>
      </c>
      <c r="F268" s="42">
        <v>7702031244486</v>
      </c>
      <c r="G268">
        <f t="shared" si="16"/>
        <v>17000</v>
      </c>
      <c r="H268">
        <f t="shared" si="17"/>
        <v>1</v>
      </c>
      <c r="I268" t="str">
        <f t="shared" si="18"/>
        <v>LUBRIDERM HUMECTACIÓN DIARIA -AZUL *120ML</v>
      </c>
    </row>
    <row r="269" spans="1:9">
      <c r="A269" s="24" t="s">
        <v>1430</v>
      </c>
      <c r="B269" s="30">
        <v>1</v>
      </c>
      <c r="C269" s="31">
        <v>0.19</v>
      </c>
      <c r="D269" s="447" t="s">
        <v>74</v>
      </c>
      <c r="E269" s="7" t="s">
        <v>1431</v>
      </c>
      <c r="F269" s="63">
        <v>7501007528939</v>
      </c>
      <c r="G269">
        <f t="shared" si="16"/>
        <v>20000</v>
      </c>
      <c r="H269">
        <f t="shared" si="17"/>
        <v>1</v>
      </c>
      <c r="I269" t="str">
        <f t="shared" si="18"/>
        <v>LUBRIDERM REPARACIÓN INTENSIVA *120ML</v>
      </c>
    </row>
    <row r="270" spans="1:9" ht="15">
      <c r="A270" s="16" t="s">
        <v>2898</v>
      </c>
      <c r="B270" s="17">
        <v>1</v>
      </c>
      <c r="C270" s="124">
        <v>0</v>
      </c>
      <c r="D270" s="321" t="s">
        <v>20</v>
      </c>
      <c r="E270" s="73" t="s">
        <v>1514</v>
      </c>
      <c r="F270" s="20">
        <v>7702132004484</v>
      </c>
      <c r="G270">
        <f t="shared" si="16"/>
        <v>2000</v>
      </c>
      <c r="H270">
        <f t="shared" si="17"/>
        <v>2</v>
      </c>
      <c r="I270" t="str">
        <f t="shared" si="18"/>
        <v>MAREOL *72</v>
      </c>
    </row>
    <row r="271" spans="1:9">
      <c r="A271" t="s">
        <v>2899</v>
      </c>
      <c r="B271" s="23">
        <v>2</v>
      </c>
      <c r="C271" s="23">
        <v>0</v>
      </c>
      <c r="D271" s="446" t="s">
        <v>38</v>
      </c>
      <c r="E271" s="39" t="s">
        <v>2900</v>
      </c>
      <c r="F271" s="42">
        <v>7709530287624</v>
      </c>
      <c r="G271">
        <f t="shared" si="16"/>
        <v>9000</v>
      </c>
      <c r="H271">
        <f t="shared" si="17"/>
        <v>1</v>
      </c>
      <c r="I271" t="str">
        <f t="shared" si="18"/>
        <v>GENTAMICINA GOTAS- OFTAGENT</v>
      </c>
    </row>
    <row r="272" spans="1:9">
      <c r="A272" s="7" t="s">
        <v>1545</v>
      </c>
      <c r="B272" s="30">
        <v>2</v>
      </c>
      <c r="C272" s="31" t="s">
        <v>1546</v>
      </c>
      <c r="D272" s="447" t="s">
        <v>118</v>
      </c>
      <c r="E272" s="7" t="s">
        <v>1547</v>
      </c>
      <c r="F272" s="42">
        <v>7709559308140</v>
      </c>
      <c r="G272">
        <f t="shared" si="16"/>
        <v>13000</v>
      </c>
      <c r="H272">
        <f t="shared" si="17"/>
        <v>1</v>
      </c>
      <c r="I272" t="str">
        <f t="shared" si="18"/>
        <v>POMADA PEÑA *25GR</v>
      </c>
    </row>
    <row r="273" spans="1:9">
      <c r="A273" s="28" t="s">
        <v>2901</v>
      </c>
      <c r="B273" s="14">
        <v>1</v>
      </c>
      <c r="C273" s="105">
        <v>0.19</v>
      </c>
      <c r="D273" s="308" t="s">
        <v>74</v>
      </c>
      <c r="E273" s="7" t="s">
        <v>2902</v>
      </c>
      <c r="F273" s="63">
        <v>7709812676597</v>
      </c>
      <c r="G273">
        <f t="shared" si="16"/>
        <v>20000</v>
      </c>
      <c r="H273">
        <f t="shared" si="17"/>
        <v>1</v>
      </c>
      <c r="I273" t="str">
        <f t="shared" si="18"/>
        <v>POMADA PEÑA *40GR</v>
      </c>
    </row>
    <row r="274" spans="1:9" ht="28.5">
      <c r="A274" s="22" t="s">
        <v>2430</v>
      </c>
      <c r="B274" s="30">
        <v>1</v>
      </c>
      <c r="C274" s="30">
        <v>0</v>
      </c>
      <c r="D274" s="447" t="s">
        <v>384</v>
      </c>
      <c r="E274" s="7" t="s">
        <v>2431</v>
      </c>
      <c r="F274" s="63">
        <v>7709467724056</v>
      </c>
      <c r="G274">
        <f t="shared" si="16"/>
        <v>1000</v>
      </c>
      <c r="H274">
        <f t="shared" si="17"/>
        <v>1</v>
      </c>
      <c r="I274" t="str">
        <f t="shared" si="18"/>
        <v>ZETGRIP 4 CAPSULAS X100 / FENILEFRINA + ACETAMINOFEN + CETIRIZINA + CAFEINA</v>
      </c>
    </row>
    <row r="275" spans="1:9">
      <c r="A275" t="s">
        <v>559</v>
      </c>
      <c r="B275" s="23">
        <v>2</v>
      </c>
      <c r="C275" s="23">
        <v>0</v>
      </c>
      <c r="D275" s="446" t="s">
        <v>464</v>
      </c>
      <c r="E275" s="39" t="s">
        <v>560</v>
      </c>
      <c r="F275" s="42">
        <v>7702057010317</v>
      </c>
      <c r="G275">
        <f t="shared" si="16"/>
        <v>45000</v>
      </c>
      <c r="H275">
        <f t="shared" si="17"/>
        <v>1</v>
      </c>
      <c r="I275" t="str">
        <f t="shared" si="18"/>
        <v>DUO-DECADRON 1ML / 8+2</v>
      </c>
    </row>
    <row r="276" spans="1:9">
      <c r="A276" t="s">
        <v>25</v>
      </c>
      <c r="B276" s="23">
        <v>1</v>
      </c>
      <c r="C276" s="51">
        <v>0</v>
      </c>
      <c r="D276" s="446" t="s">
        <v>2903</v>
      </c>
      <c r="E276" s="41" t="s">
        <v>27</v>
      </c>
      <c r="F276" s="42">
        <v>7861051621902</v>
      </c>
      <c r="G276">
        <f t="shared" si="16"/>
        <v>27500</v>
      </c>
      <c r="H276">
        <f t="shared" si="17"/>
        <v>1</v>
      </c>
      <c r="I276" t="str">
        <f t="shared" si="18"/>
        <v>AFRIN ADULTO</v>
      </c>
    </row>
    <row r="277" spans="1:9" ht="15">
      <c r="A277" s="90" t="s">
        <v>2283</v>
      </c>
      <c r="B277" s="34">
        <v>1</v>
      </c>
      <c r="C277" s="33">
        <v>0</v>
      </c>
      <c r="D277" s="477" t="s">
        <v>1669</v>
      </c>
      <c r="E277" s="239" t="s">
        <v>618</v>
      </c>
      <c r="F277" s="468">
        <v>7707274721619</v>
      </c>
      <c r="G277">
        <f t="shared" si="16"/>
        <v>38000</v>
      </c>
      <c r="H277">
        <f t="shared" si="17"/>
        <v>28</v>
      </c>
      <c r="I277" t="str">
        <f t="shared" si="18"/>
        <v>FEVENY - ESTROGENO CONJUGADOS TAB</v>
      </c>
    </row>
    <row r="278" spans="1:9" ht="28.5">
      <c r="A278" s="243" t="s">
        <v>2136</v>
      </c>
      <c r="B278" s="244">
        <v>6</v>
      </c>
      <c r="C278" s="245">
        <v>0</v>
      </c>
      <c r="D278" s="485" t="s">
        <v>109</v>
      </c>
      <c r="E278" s="525" t="s">
        <v>2137</v>
      </c>
      <c r="F278" s="249">
        <v>7703712033344</v>
      </c>
      <c r="G278">
        <f t="shared" si="16"/>
        <v>10000</v>
      </c>
      <c r="H278">
        <f t="shared" si="17"/>
        <v>1</v>
      </c>
      <c r="I278" t="str">
        <f t="shared" si="18"/>
        <v>AMOXICILINA SUSPENSIÓN- COASPHARMA</v>
      </c>
    </row>
    <row r="279" spans="1:9" ht="28.5">
      <c r="A279" s="242" t="s">
        <v>2906</v>
      </c>
      <c r="B279" s="108">
        <v>2</v>
      </c>
      <c r="C279" s="108">
        <v>0</v>
      </c>
      <c r="D279" s="482" t="s">
        <v>808</v>
      </c>
      <c r="E279" s="526" t="s">
        <v>2907</v>
      </c>
      <c r="F279" s="257">
        <v>7703546013017</v>
      </c>
      <c r="G279">
        <f t="shared" si="16"/>
        <v>13000</v>
      </c>
      <c r="H279">
        <f t="shared" si="17"/>
        <v>10</v>
      </c>
      <c r="I279" t="str">
        <f t="shared" si="18"/>
        <v>NIFEDIPINO 30MG / BECLAZONE X10 CAPS</v>
      </c>
    </row>
    <row r="280" spans="1:9">
      <c r="A280" s="242" t="s">
        <v>793</v>
      </c>
      <c r="B280" s="108">
        <v>2</v>
      </c>
      <c r="C280" s="108">
        <v>0</v>
      </c>
      <c r="D280" s="482" t="s">
        <v>156</v>
      </c>
      <c r="E280" s="526" t="s">
        <v>653</v>
      </c>
      <c r="F280" s="257">
        <v>7707288820247</v>
      </c>
      <c r="G280">
        <f t="shared" si="16"/>
        <v>3000</v>
      </c>
      <c r="H280">
        <f t="shared" si="17"/>
        <v>10</v>
      </c>
      <c r="I280" t="str">
        <f t="shared" si="18"/>
        <v>BISACODILO 5MG- X100 TABLETAS</v>
      </c>
    </row>
    <row r="281" spans="1:9">
      <c r="A281" s="253" t="s">
        <v>2908</v>
      </c>
      <c r="B281" s="254">
        <v>1</v>
      </c>
      <c r="C281" s="128">
        <v>0.19</v>
      </c>
      <c r="D281" s="480" t="s">
        <v>2909</v>
      </c>
      <c r="E281" s="253" t="s">
        <v>2134</v>
      </c>
      <c r="F281" s="257">
        <v>7702132011017</v>
      </c>
      <c r="G281">
        <f t="shared" si="16"/>
        <v>43000</v>
      </c>
      <c r="H281">
        <f t="shared" si="17"/>
        <v>30</v>
      </c>
      <c r="I281" t="str">
        <f t="shared" si="18"/>
        <v>CENTRUM ADVANCE *30 TABLETAS</v>
      </c>
    </row>
    <row r="282" spans="1:9">
      <c r="A282" s="252" t="s">
        <v>122</v>
      </c>
      <c r="B282" s="108">
        <v>1</v>
      </c>
      <c r="C282" s="512">
        <v>0.19</v>
      </c>
      <c r="D282" s="482" t="s">
        <v>123</v>
      </c>
      <c r="E282" s="526" t="s">
        <v>124</v>
      </c>
      <c r="F282" s="257">
        <v>751273778584</v>
      </c>
      <c r="G282">
        <f t="shared" si="16"/>
        <v>16000</v>
      </c>
      <c r="H282">
        <f t="shared" si="17"/>
        <v>10</v>
      </c>
      <c r="I282" t="str">
        <f t="shared" si="18"/>
        <v>ENZYMAX 60CAP HEALTHY AME</v>
      </c>
    </row>
    <row r="283" spans="1:9">
      <c r="A283" s="252" t="s">
        <v>2912</v>
      </c>
      <c r="B283" s="108">
        <v>1</v>
      </c>
      <c r="C283" s="107">
        <v>0</v>
      </c>
      <c r="D283" s="482" t="s">
        <v>53</v>
      </c>
      <c r="E283" s="526" t="s">
        <v>54</v>
      </c>
      <c r="F283" s="257">
        <v>7703038050346</v>
      </c>
      <c r="G283">
        <f t="shared" si="16"/>
        <v>1500</v>
      </c>
      <c r="H283">
        <f t="shared" si="17"/>
        <v>10</v>
      </c>
      <c r="I283" t="str">
        <f t="shared" si="18"/>
        <v>LOSARTAN 50MG - LAPROFF X300 TABS</v>
      </c>
    </row>
    <row r="284" spans="1:9">
      <c r="A284" s="258" t="s">
        <v>2913</v>
      </c>
      <c r="B284" s="161">
        <v>1</v>
      </c>
      <c r="C284" s="136">
        <v>0.19</v>
      </c>
      <c r="D284" s="469" t="s">
        <v>29</v>
      </c>
      <c r="E284" s="258" t="s">
        <v>2914</v>
      </c>
      <c r="F284" s="479">
        <v>751273778744</v>
      </c>
      <c r="G284">
        <f t="shared" si="16"/>
        <v>15000</v>
      </c>
      <c r="H284">
        <f t="shared" si="17"/>
        <v>10</v>
      </c>
      <c r="I284" t="str">
        <f t="shared" si="18"/>
        <v>NEO VENS X30 / DISOMINA + HIPERIDINA 450MG/50MG</v>
      </c>
    </row>
    <row r="285" spans="1:9">
      <c r="A285" s="260" t="s">
        <v>2915</v>
      </c>
      <c r="B285" s="161">
        <v>6</v>
      </c>
      <c r="C285" s="136">
        <v>0.19</v>
      </c>
      <c r="D285" s="469" t="s">
        <v>293</v>
      </c>
      <c r="E285" s="258" t="s">
        <v>1792</v>
      </c>
      <c r="F285" s="479">
        <v>7707271202784</v>
      </c>
      <c r="G285">
        <f t="shared" si="16"/>
        <v>4000</v>
      </c>
      <c r="H285">
        <f t="shared" si="17"/>
        <v>1</v>
      </c>
      <c r="I285" t="str">
        <f t="shared" si="18"/>
        <v>VASELINA *60GR - YOMA</v>
      </c>
    </row>
    <row r="286" spans="1:9">
      <c r="A286" s="252" t="s">
        <v>2917</v>
      </c>
      <c r="B286" s="108">
        <v>1</v>
      </c>
      <c r="C286" s="107">
        <v>0</v>
      </c>
      <c r="D286" s="482" t="s">
        <v>59</v>
      </c>
      <c r="E286" s="526" t="s">
        <v>2918</v>
      </c>
      <c r="F286" s="257">
        <v>7707019350920</v>
      </c>
      <c r="G286">
        <f t="shared" si="16"/>
        <v>3000</v>
      </c>
      <c r="H286">
        <f t="shared" si="17"/>
        <v>1</v>
      </c>
      <c r="I286" t="str">
        <f t="shared" si="18"/>
        <v>ZIFLUVIS 600MG - N-ACETILCISTEINA X30 SOBRES</v>
      </c>
    </row>
    <row r="287" spans="1:9" ht="15">
      <c r="A287" s="263" t="s">
        <v>992</v>
      </c>
      <c r="B287" s="264">
        <v>1</v>
      </c>
      <c r="C287" s="265">
        <v>0</v>
      </c>
      <c r="D287" s="496" t="s">
        <v>1296</v>
      </c>
      <c r="E287" s="267" t="s">
        <v>477</v>
      </c>
      <c r="F287" s="470">
        <v>7703546083225</v>
      </c>
      <c r="G287">
        <f t="shared" ref="G287:G350" si="19">IFERROR(VALUE(SUBSTITUTE(LEFT(LOWER(D287),FIND("x",LOWER(D287))-1),",","")),VALUE(SUBSTITUTE(D287,",","")))</f>
        <v>19000</v>
      </c>
      <c r="H287">
        <f t="shared" ref="H287:H350" si="20">IFERROR(VALUE(MID(LOWER(D287),FIND("x",LOWER(D287))+1,20)),1)</f>
        <v>10</v>
      </c>
      <c r="I287" t="str">
        <f t="shared" si="18"/>
        <v>APRIX - ACETAMINOFEN 325 / CODEINA FOSFATO 8MG TABLETAS X20</v>
      </c>
    </row>
    <row r="288" spans="1:9">
      <c r="A288" s="22" t="s">
        <v>1211</v>
      </c>
      <c r="B288" s="11">
        <v>1</v>
      </c>
      <c r="C288" s="194">
        <v>0.19</v>
      </c>
      <c r="D288" s="483" t="s">
        <v>2919</v>
      </c>
      <c r="E288" s="41" t="s">
        <v>1213</v>
      </c>
      <c r="F288" s="273">
        <v>7707397792763</v>
      </c>
      <c r="G288">
        <f t="shared" si="19"/>
        <v>34000</v>
      </c>
      <c r="H288">
        <f t="shared" si="20"/>
        <v>2</v>
      </c>
      <c r="I288" t="str">
        <f t="shared" si="18"/>
        <v>SENSODYNE 8 EN 1 - PROTECCIÓN COMPLETA X2 180GR</v>
      </c>
    </row>
    <row r="289" spans="1:9">
      <c r="A289" s="22" t="s">
        <v>1145</v>
      </c>
      <c r="B289" s="23">
        <v>1</v>
      </c>
      <c r="C289" s="51">
        <v>0</v>
      </c>
      <c r="D289" s="446" t="s">
        <v>638</v>
      </c>
      <c r="E289" s="41" t="s">
        <v>1146</v>
      </c>
      <c r="F289" s="42">
        <v>7704232000946</v>
      </c>
      <c r="G289">
        <f t="shared" si="19"/>
        <v>65000</v>
      </c>
      <c r="H289">
        <f t="shared" si="20"/>
        <v>1</v>
      </c>
      <c r="I289" t="str">
        <f t="shared" si="18"/>
        <v>FITOESTIMOLINE GEL X15GR</v>
      </c>
    </row>
    <row r="290" spans="1:9">
      <c r="A290" s="13" t="s">
        <v>1444</v>
      </c>
      <c r="B290" s="121">
        <v>2</v>
      </c>
      <c r="C290" s="270">
        <v>0</v>
      </c>
      <c r="D290" s="411" t="s">
        <v>464</v>
      </c>
      <c r="E290" s="13" t="s">
        <v>1446</v>
      </c>
      <c r="F290" s="211">
        <v>7704232001998</v>
      </c>
      <c r="G290">
        <f t="shared" si="19"/>
        <v>45000</v>
      </c>
      <c r="H290">
        <f t="shared" si="20"/>
        <v>1</v>
      </c>
      <c r="I290" t="str">
        <f t="shared" si="18"/>
        <v>FITOESTIMOLINE CREMA *15GR</v>
      </c>
    </row>
    <row r="291" spans="1:9">
      <c r="A291" s="22" t="s">
        <v>736</v>
      </c>
      <c r="B291" s="23">
        <v>2</v>
      </c>
      <c r="C291" s="51">
        <v>0</v>
      </c>
      <c r="D291" s="446" t="s">
        <v>26</v>
      </c>
      <c r="E291" s="39" t="s">
        <v>737</v>
      </c>
      <c r="F291" s="42">
        <v>7703546421157</v>
      </c>
      <c r="G291">
        <f t="shared" si="19"/>
        <v>30000</v>
      </c>
      <c r="H291">
        <f t="shared" si="20"/>
        <v>1</v>
      </c>
      <c r="I291" t="str">
        <f t="shared" si="18"/>
        <v>FUORATO DE FLUTICASONA SPRAY NASAL- NOVAMED</v>
      </c>
    </row>
    <row r="292" spans="1:9">
      <c r="A292" s="71" t="s">
        <v>90</v>
      </c>
      <c r="B292" s="14">
        <v>3</v>
      </c>
      <c r="C292" s="105">
        <v>0.19</v>
      </c>
      <c r="D292" s="308" t="s">
        <v>23</v>
      </c>
      <c r="E292" s="12" t="s">
        <v>92</v>
      </c>
      <c r="F292" s="61">
        <v>7707277580459</v>
      </c>
      <c r="G292">
        <f t="shared" si="19"/>
        <v>15000</v>
      </c>
      <c r="H292">
        <f t="shared" si="20"/>
        <v>1</v>
      </c>
      <c r="I292" t="str">
        <f t="shared" si="18"/>
        <v>MULTISOLUTER *50ML</v>
      </c>
    </row>
    <row r="293" spans="1:9">
      <c r="A293" s="22" t="s">
        <v>2920</v>
      </c>
      <c r="B293" s="23">
        <v>4</v>
      </c>
      <c r="C293" s="51">
        <v>0</v>
      </c>
      <c r="D293" s="446" t="s">
        <v>214</v>
      </c>
      <c r="E293" s="41" t="s">
        <v>2921</v>
      </c>
      <c r="F293" s="42">
        <v>7707271202821</v>
      </c>
      <c r="G293">
        <f t="shared" si="19"/>
        <v>2000</v>
      </c>
      <c r="H293">
        <f t="shared" si="20"/>
        <v>1</v>
      </c>
      <c r="I293" t="str">
        <f t="shared" si="18"/>
        <v>VIOLETA DE GENCIANA YOMA X20ML</v>
      </c>
    </row>
    <row r="294" spans="1:9">
      <c r="A294" t="s">
        <v>2092</v>
      </c>
      <c r="B294" s="23">
        <v>1</v>
      </c>
      <c r="C294" s="238">
        <v>0</v>
      </c>
      <c r="D294" s="446" t="s">
        <v>808</v>
      </c>
      <c r="E294" s="41" t="s">
        <v>2093</v>
      </c>
      <c r="F294" s="42">
        <v>7702605100965</v>
      </c>
      <c r="G294">
        <f t="shared" si="19"/>
        <v>13000</v>
      </c>
      <c r="H294">
        <f t="shared" si="20"/>
        <v>10</v>
      </c>
      <c r="I294" t="str">
        <f t="shared" si="18"/>
        <v>ERITROMICINA 500MG</v>
      </c>
    </row>
    <row r="295" spans="1:9">
      <c r="A295" t="s">
        <v>1887</v>
      </c>
      <c r="B295" s="23">
        <v>2</v>
      </c>
      <c r="C295" s="23">
        <v>0</v>
      </c>
      <c r="D295" s="446" t="s">
        <v>91</v>
      </c>
      <c r="E295" s="41" t="s">
        <v>1889</v>
      </c>
      <c r="F295" s="42">
        <v>7702003459016</v>
      </c>
      <c r="G295">
        <f t="shared" si="19"/>
        <v>16000</v>
      </c>
      <c r="H295">
        <f t="shared" si="20"/>
        <v>1</v>
      </c>
      <c r="I295" t="str">
        <f t="shared" si="18"/>
        <v>PARCHE TERMICO LEON - HANSAPLAST</v>
      </c>
    </row>
    <row r="296" spans="1:9">
      <c r="A296" s="69" t="s">
        <v>531</v>
      </c>
      <c r="B296" s="14">
        <v>2</v>
      </c>
      <c r="C296" s="105">
        <v>0</v>
      </c>
      <c r="D296" s="308" t="s">
        <v>91</v>
      </c>
      <c r="E296" s="13" t="s">
        <v>532</v>
      </c>
      <c r="F296" s="61">
        <v>7702896000364</v>
      </c>
      <c r="G296">
        <f t="shared" si="19"/>
        <v>16000</v>
      </c>
      <c r="H296">
        <f t="shared" si="20"/>
        <v>1</v>
      </c>
      <c r="I296" t="str">
        <f t="shared" si="18"/>
        <v>TOR CREMA PROCTOLOGICA</v>
      </c>
    </row>
    <row r="297" spans="1:9">
      <c r="A297" s="13" t="s">
        <v>1113</v>
      </c>
      <c r="B297" s="14">
        <v>10</v>
      </c>
      <c r="C297" s="105">
        <v>0</v>
      </c>
      <c r="D297" s="308" t="s">
        <v>1114</v>
      </c>
      <c r="E297" s="13" t="s">
        <v>1115</v>
      </c>
      <c r="F297" s="61">
        <v>7706569001160</v>
      </c>
      <c r="G297">
        <f t="shared" si="19"/>
        <v>10000</v>
      </c>
      <c r="H297">
        <f t="shared" si="20"/>
        <v>1</v>
      </c>
      <c r="I297" t="str">
        <f t="shared" si="18"/>
        <v>CEFALEXINA SUSPENSIÓN AG</v>
      </c>
    </row>
    <row r="298" spans="1:9">
      <c r="A298" t="s">
        <v>2922</v>
      </c>
      <c r="B298" s="23">
        <v>8</v>
      </c>
      <c r="C298" s="51">
        <v>0</v>
      </c>
      <c r="D298" s="446" t="s">
        <v>214</v>
      </c>
      <c r="E298" s="41" t="s">
        <v>2923</v>
      </c>
      <c r="F298" s="42">
        <v>7707353301732</v>
      </c>
      <c r="G298">
        <f t="shared" si="19"/>
        <v>2000</v>
      </c>
      <c r="H298">
        <f t="shared" si="20"/>
        <v>1</v>
      </c>
      <c r="I298" t="str">
        <f t="shared" si="18"/>
        <v>GLICERINA CARBONATADA 20ML / PROMARQUIIM</v>
      </c>
    </row>
    <row r="299" spans="1:9">
      <c r="A299" t="s">
        <v>627</v>
      </c>
      <c r="B299" s="23">
        <v>1</v>
      </c>
      <c r="C299" s="51">
        <v>0.19</v>
      </c>
      <c r="D299" s="446" t="s">
        <v>750</v>
      </c>
      <c r="E299" s="41" t="s">
        <v>628</v>
      </c>
      <c r="F299" s="42">
        <v>8410190585997</v>
      </c>
      <c r="G299">
        <f t="shared" si="19"/>
        <v>34000</v>
      </c>
      <c r="H299">
        <f t="shared" si="20"/>
        <v>1</v>
      </c>
      <c r="I299" t="str">
        <f t="shared" si="18"/>
        <v>LACTOVIT LECHE CORPORAL X400ML</v>
      </c>
    </row>
    <row r="300" spans="1:9">
      <c r="A300" s="22" t="s">
        <v>2925</v>
      </c>
      <c r="B300" s="23">
        <v>2</v>
      </c>
      <c r="C300" s="238">
        <v>0</v>
      </c>
      <c r="D300" s="446" t="s">
        <v>59</v>
      </c>
      <c r="E300" s="39" t="s">
        <v>868</v>
      </c>
      <c r="F300" s="42">
        <v>7707184160690</v>
      </c>
      <c r="G300">
        <f t="shared" si="19"/>
        <v>3000</v>
      </c>
      <c r="H300">
        <f t="shared" si="20"/>
        <v>1</v>
      </c>
      <c r="I300" t="str">
        <f t="shared" si="18"/>
        <v>GENTAMICINA 80MG - AMP FARMIONI X10</v>
      </c>
    </row>
    <row r="301" spans="1:9">
      <c r="A301" s="28" t="s">
        <v>93</v>
      </c>
      <c r="B301" s="30">
        <v>2</v>
      </c>
      <c r="C301" s="31">
        <v>0</v>
      </c>
      <c r="D301" s="447" t="s">
        <v>94</v>
      </c>
      <c r="E301" s="8" t="s">
        <v>95</v>
      </c>
      <c r="F301" s="63">
        <v>7702184011430</v>
      </c>
      <c r="G301">
        <f t="shared" si="19"/>
        <v>2000</v>
      </c>
      <c r="H301">
        <f t="shared" si="20"/>
        <v>15</v>
      </c>
      <c r="I301" t="str">
        <f t="shared" si="18"/>
        <v>LOSARTAN 50MG -ECAR</v>
      </c>
    </row>
    <row r="302" spans="1:9">
      <c r="A302" s="22" t="s">
        <v>753</v>
      </c>
      <c r="B302" s="23">
        <v>3</v>
      </c>
      <c r="C302" s="51">
        <v>0</v>
      </c>
      <c r="D302" s="446" t="s">
        <v>585</v>
      </c>
      <c r="E302" s="41" t="s">
        <v>754</v>
      </c>
      <c r="F302" s="42">
        <v>8903726224403</v>
      </c>
      <c r="G302">
        <f t="shared" si="19"/>
        <v>6000</v>
      </c>
      <c r="H302">
        <f t="shared" si="20"/>
        <v>10</v>
      </c>
      <c r="I302" t="str">
        <f t="shared" si="18"/>
        <v>NEUBALIN 25MG- PREGABALINA</v>
      </c>
    </row>
    <row r="303" spans="1:9">
      <c r="A303" s="13" t="s">
        <v>2926</v>
      </c>
      <c r="B303" s="14">
        <v>2</v>
      </c>
      <c r="C303" s="105">
        <v>0.19</v>
      </c>
      <c r="D303" s="447" t="s">
        <v>7</v>
      </c>
      <c r="E303" s="12" t="s">
        <v>2927</v>
      </c>
      <c r="F303" s="61">
        <v>7707353307307</v>
      </c>
      <c r="G303">
        <f t="shared" si="19"/>
        <v>7000</v>
      </c>
      <c r="H303">
        <f t="shared" si="20"/>
        <v>1</v>
      </c>
      <c r="I303" t="str">
        <f t="shared" si="18"/>
        <v>VASELINA *180GR PROMARQUIN</v>
      </c>
    </row>
    <row r="304" spans="1:9" ht="28.5">
      <c r="A304" s="22" t="s">
        <v>2928</v>
      </c>
      <c r="B304" s="23">
        <v>1</v>
      </c>
      <c r="C304" s="51">
        <v>0</v>
      </c>
      <c r="D304" s="446" t="s">
        <v>222</v>
      </c>
      <c r="E304" s="39" t="s">
        <v>2929</v>
      </c>
      <c r="F304" s="42">
        <v>7702057231125</v>
      </c>
      <c r="G304">
        <f t="shared" si="19"/>
        <v>1500</v>
      </c>
      <c r="H304">
        <f t="shared" si="20"/>
        <v>1</v>
      </c>
      <c r="I304" t="str">
        <f t="shared" si="18"/>
        <v>ACETAMINOFEN FORTE MK X30
 / ACETAMINOFEN + CAFEINA 500MG/65</v>
      </c>
    </row>
    <row r="305" spans="1:9">
      <c r="A305" s="12" t="s">
        <v>1874</v>
      </c>
      <c r="B305" s="14">
        <v>4</v>
      </c>
      <c r="C305" s="105">
        <v>0</v>
      </c>
      <c r="D305" s="308" t="s">
        <v>80</v>
      </c>
      <c r="E305" s="13" t="s">
        <v>8</v>
      </c>
      <c r="F305" s="61">
        <v>7703038065630</v>
      </c>
      <c r="G305">
        <f t="shared" si="19"/>
        <v>6000</v>
      </c>
      <c r="H305">
        <f t="shared" si="20"/>
        <v>1</v>
      </c>
      <c r="I305" t="str">
        <f t="shared" si="18"/>
        <v>ACETAMINOFEN JARABE LAPROFF *90ML</v>
      </c>
    </row>
    <row r="306" spans="1:9">
      <c r="A306" s="12" t="s">
        <v>2930</v>
      </c>
      <c r="B306" s="14">
        <v>6</v>
      </c>
      <c r="C306" s="105">
        <v>0</v>
      </c>
      <c r="D306" s="308" t="s">
        <v>85</v>
      </c>
      <c r="E306" s="13" t="s">
        <v>86</v>
      </c>
      <c r="F306" s="61">
        <v>7709990383621</v>
      </c>
      <c r="G306">
        <f t="shared" si="19"/>
        <v>11000</v>
      </c>
      <c r="H306">
        <f t="shared" si="20"/>
        <v>1</v>
      </c>
      <c r="I306" t="str">
        <f t="shared" si="18"/>
        <v>BETADIP *40GR / BETAMETASONA 0,05%</v>
      </c>
    </row>
    <row r="307" spans="1:9">
      <c r="A307" s="24" t="s">
        <v>883</v>
      </c>
      <c r="B307" s="30">
        <v>5</v>
      </c>
      <c r="C307" s="31">
        <v>0</v>
      </c>
      <c r="D307" s="447" t="s">
        <v>2931</v>
      </c>
      <c r="E307" s="8" t="s">
        <v>884</v>
      </c>
      <c r="F307" s="63">
        <v>7702870071489</v>
      </c>
      <c r="G307">
        <f t="shared" si="19"/>
        <v>12000</v>
      </c>
      <c r="H307">
        <f t="shared" si="20"/>
        <v>28</v>
      </c>
      <c r="I307" t="str">
        <f t="shared" si="18"/>
        <v>FACETIX MINI</v>
      </c>
    </row>
    <row r="308" spans="1:9">
      <c r="A308" s="24" t="s">
        <v>13</v>
      </c>
      <c r="B308" s="30">
        <v>2</v>
      </c>
      <c r="C308" s="31">
        <v>0</v>
      </c>
      <c r="D308" s="447" t="s">
        <v>14</v>
      </c>
      <c r="E308" s="7" t="s">
        <v>15</v>
      </c>
      <c r="F308" s="63">
        <v>7708952877130</v>
      </c>
      <c r="G308">
        <f t="shared" si="19"/>
        <v>17000</v>
      </c>
      <c r="H308">
        <f t="shared" si="20"/>
        <v>1</v>
      </c>
      <c r="I308" t="str">
        <f t="shared" si="18"/>
        <v>FURM - FUROATO DE MOMETASONA CREMA X15GR</v>
      </c>
    </row>
    <row r="309" spans="1:9">
      <c r="A309" s="22" t="s">
        <v>1029</v>
      </c>
      <c r="B309" s="23">
        <v>2</v>
      </c>
      <c r="C309" s="51">
        <v>0</v>
      </c>
      <c r="D309" s="446" t="s">
        <v>497</v>
      </c>
      <c r="E309" s="41" t="s">
        <v>1030</v>
      </c>
      <c r="F309" s="42">
        <v>7709990087000</v>
      </c>
      <c r="G309">
        <f t="shared" si="19"/>
        <v>29000</v>
      </c>
      <c r="H309">
        <f t="shared" si="20"/>
        <v>1</v>
      </c>
      <c r="I309" t="str">
        <f t="shared" si="18"/>
        <v>OLVISION - OLOPATADINA 2%</v>
      </c>
    </row>
    <row r="310" spans="1:9">
      <c r="A310" s="22" t="s">
        <v>593</v>
      </c>
      <c r="B310" s="23">
        <v>2</v>
      </c>
      <c r="C310" s="51">
        <v>0</v>
      </c>
      <c r="D310" s="446" t="s">
        <v>32</v>
      </c>
      <c r="E310" s="41" t="s">
        <v>594</v>
      </c>
      <c r="F310" s="42">
        <v>7709930569436</v>
      </c>
      <c r="G310">
        <f t="shared" si="19"/>
        <v>12000</v>
      </c>
      <c r="H310">
        <f t="shared" si="20"/>
        <v>1</v>
      </c>
      <c r="I310" t="str">
        <f t="shared" si="18"/>
        <v>OXIMETAZOLINA 0,05% ADULTO - BUSINESS S.A.S</v>
      </c>
    </row>
    <row r="311" spans="1:9">
      <c r="A311" s="28" t="s">
        <v>2933</v>
      </c>
      <c r="B311" s="30">
        <v>1</v>
      </c>
      <c r="C311" s="173">
        <v>0.19</v>
      </c>
      <c r="D311" s="447" t="s">
        <v>250</v>
      </c>
      <c r="E311" s="7" t="s">
        <v>2934</v>
      </c>
      <c r="F311" s="63">
        <v>7707016404954</v>
      </c>
      <c r="G311">
        <f t="shared" si="19"/>
        <v>3500</v>
      </c>
      <c r="H311">
        <f t="shared" si="20"/>
        <v>1</v>
      </c>
      <c r="I311" t="str">
        <f t="shared" si="18"/>
        <v>SUNDARK SACHET PROTECTOR SOLAR ADULTOS X12</v>
      </c>
    </row>
    <row r="312" spans="1:9" ht="15">
      <c r="A312" s="73" t="s">
        <v>325</v>
      </c>
      <c r="B312" s="17">
        <v>4</v>
      </c>
      <c r="C312" s="124">
        <v>0</v>
      </c>
      <c r="D312" s="321" t="s">
        <v>26</v>
      </c>
      <c r="E312" s="73" t="s">
        <v>326</v>
      </c>
      <c r="F312" s="110">
        <v>7702057012007</v>
      </c>
      <c r="G312">
        <f t="shared" si="19"/>
        <v>30000</v>
      </c>
      <c r="H312">
        <f t="shared" si="20"/>
        <v>1</v>
      </c>
      <c r="I312" t="str">
        <f t="shared" si="18"/>
        <v>TRAVAD ORAL X133ML</v>
      </c>
    </row>
    <row r="313" spans="1:9" ht="15">
      <c r="A313" s="16" t="s">
        <v>1825</v>
      </c>
      <c r="B313" s="17">
        <v>2</v>
      </c>
      <c r="C313" s="124">
        <v>0.19</v>
      </c>
      <c r="D313" s="321" t="s">
        <v>118</v>
      </c>
      <c r="E313" s="73" t="s">
        <v>1826</v>
      </c>
      <c r="F313" s="20">
        <v>7707280391301</v>
      </c>
      <c r="G313">
        <f t="shared" si="19"/>
        <v>13000</v>
      </c>
      <c r="H313">
        <f t="shared" si="20"/>
        <v>1</v>
      </c>
      <c r="I313" t="str">
        <f t="shared" si="18"/>
        <v>SEDA DENTAL 400MTS ZEN DENT</v>
      </c>
    </row>
    <row r="314" spans="1:9">
      <c r="A314" s="69" t="s">
        <v>2935</v>
      </c>
      <c r="B314" s="14">
        <v>5</v>
      </c>
      <c r="C314" s="105">
        <v>0.19</v>
      </c>
      <c r="D314" s="308" t="s">
        <v>7</v>
      </c>
      <c r="E314" s="13" t="s">
        <v>2936</v>
      </c>
      <c r="F314" s="61">
        <v>7707280394531</v>
      </c>
      <c r="G314">
        <f t="shared" si="19"/>
        <v>7000</v>
      </c>
      <c r="H314">
        <f t="shared" si="20"/>
        <v>1</v>
      </c>
      <c r="I314" t="str">
        <f t="shared" si="18"/>
        <v>SEDA DENTAL 80MTS ZEN DENT</v>
      </c>
    </row>
    <row r="315" spans="1:9">
      <c r="A315" t="s">
        <v>2937</v>
      </c>
      <c r="B315" s="23">
        <v>6</v>
      </c>
      <c r="C315" s="31">
        <v>0.19</v>
      </c>
      <c r="D315" s="447" t="s">
        <v>948</v>
      </c>
      <c r="E315" s="39" t="s">
        <v>2938</v>
      </c>
      <c r="F315" s="42">
        <v>7707280395354</v>
      </c>
      <c r="G315">
        <f t="shared" si="19"/>
        <v>6500</v>
      </c>
      <c r="H315">
        <f t="shared" si="20"/>
        <v>1</v>
      </c>
      <c r="I315" t="str">
        <f t="shared" si="18"/>
        <v>SEDA DENTAL 50 METROS ZEN DENT</v>
      </c>
    </row>
    <row r="316" spans="1:9">
      <c r="A316" s="22" t="s">
        <v>2939</v>
      </c>
      <c r="B316" s="11">
        <v>1</v>
      </c>
      <c r="C316" s="194">
        <v>19</v>
      </c>
      <c r="D316" s="483" t="s">
        <v>109</v>
      </c>
      <c r="E316" s="41" t="s">
        <v>2940</v>
      </c>
      <c r="F316" s="273">
        <v>7707280399864</v>
      </c>
      <c r="G316">
        <f t="shared" si="19"/>
        <v>10000</v>
      </c>
      <c r="H316">
        <f t="shared" si="20"/>
        <v>1</v>
      </c>
      <c r="I316" t="str">
        <f t="shared" si="18"/>
        <v>REFRESCANTE BUCAL ZEN DENT</v>
      </c>
    </row>
    <row r="317" spans="1:9">
      <c r="A317" s="24" t="s">
        <v>1264</v>
      </c>
      <c r="B317" s="30">
        <v>4</v>
      </c>
      <c r="C317" s="31">
        <v>0.19</v>
      </c>
      <c r="D317" s="447" t="s">
        <v>80</v>
      </c>
      <c r="E317" s="7" t="s">
        <v>1265</v>
      </c>
      <c r="F317" s="63">
        <v>7707202224281</v>
      </c>
      <c r="G317">
        <f t="shared" si="19"/>
        <v>6000</v>
      </c>
      <c r="H317">
        <f t="shared" si="20"/>
        <v>1</v>
      </c>
      <c r="I317" t="str">
        <f t="shared" si="18"/>
        <v>CEPILLO CORONA 390 ADULTO- MASAJEADOR DE ENCIAS y tapita</v>
      </c>
    </row>
    <row r="318" spans="1:9">
      <c r="A318" s="24" t="s">
        <v>1823</v>
      </c>
      <c r="B318" s="11">
        <v>4</v>
      </c>
      <c r="C318" s="194">
        <v>0.19</v>
      </c>
      <c r="D318" s="483" t="s">
        <v>366</v>
      </c>
      <c r="E318" s="41" t="s">
        <v>1824</v>
      </c>
      <c r="F318" s="273">
        <v>7707202223680</v>
      </c>
      <c r="G318">
        <f t="shared" si="19"/>
        <v>5000</v>
      </c>
      <c r="H318">
        <f t="shared" si="20"/>
        <v>1</v>
      </c>
      <c r="I318" t="str">
        <f t="shared" si="18"/>
        <v>CORONA 3680 - CEPILLO ADULTO</v>
      </c>
    </row>
    <row r="319" spans="1:9">
      <c r="A319" s="22" t="s">
        <v>1269</v>
      </c>
      <c r="B319" s="23">
        <v>2</v>
      </c>
      <c r="C319" s="51">
        <v>0.19</v>
      </c>
      <c r="D319" s="446" t="s">
        <v>38</v>
      </c>
      <c r="E319" s="39" t="s">
        <v>1271</v>
      </c>
      <c r="F319" s="42">
        <v>7707280392001</v>
      </c>
      <c r="G319">
        <f t="shared" si="19"/>
        <v>9000</v>
      </c>
      <c r="H319">
        <f t="shared" si="20"/>
        <v>1</v>
      </c>
      <c r="I319" t="str">
        <f t="shared" si="18"/>
        <v>CEPILLO INTERDENTAL / INTERPROXIMAL + 2 REPUESTOS</v>
      </c>
    </row>
    <row r="320" spans="1:9">
      <c r="A320" s="64" t="s">
        <v>2941</v>
      </c>
      <c r="B320" s="102">
        <v>2</v>
      </c>
      <c r="C320" s="101">
        <v>0.19</v>
      </c>
      <c r="D320" s="443" t="s">
        <v>38</v>
      </c>
      <c r="E320" s="64" t="s">
        <v>2942</v>
      </c>
      <c r="F320" s="103">
        <v>7707280395347</v>
      </c>
      <c r="G320">
        <f t="shared" si="19"/>
        <v>9000</v>
      </c>
      <c r="H320">
        <f t="shared" si="20"/>
        <v>1</v>
      </c>
      <c r="I320" t="str">
        <f t="shared" si="18"/>
        <v>CEPILLO ORTODONCIA</v>
      </c>
    </row>
    <row r="321" spans="1:9" ht="15">
      <c r="A321" s="274" t="s">
        <v>1829</v>
      </c>
      <c r="B321" s="276">
        <v>1</v>
      </c>
      <c r="C321" s="105">
        <v>0.19</v>
      </c>
      <c r="D321" s="497" t="s">
        <v>450</v>
      </c>
      <c r="E321" s="527" t="s">
        <v>1830</v>
      </c>
      <c r="F321" s="484">
        <v>7707280394609</v>
      </c>
      <c r="G321">
        <f t="shared" si="19"/>
        <v>28500</v>
      </c>
      <c r="H321">
        <f t="shared" si="20"/>
        <v>1</v>
      </c>
      <c r="I321" t="str">
        <f t="shared" si="18"/>
        <v>KIT ESTELAR DE ORTODONCIA</v>
      </c>
    </row>
    <row r="322" spans="1:9">
      <c r="A322" s="24" t="s">
        <v>2643</v>
      </c>
      <c r="B322" s="14">
        <v>1</v>
      </c>
      <c r="C322" s="105">
        <v>0.19</v>
      </c>
      <c r="D322" s="308" t="s">
        <v>7</v>
      </c>
      <c r="E322" s="8" t="s">
        <v>2644</v>
      </c>
      <c r="F322" s="63">
        <v>7709696714897</v>
      </c>
      <c r="G322">
        <f t="shared" si="19"/>
        <v>7000</v>
      </c>
      <c r="H322">
        <f t="shared" si="20"/>
        <v>1</v>
      </c>
      <c r="I322" t="str">
        <f t="shared" si="18"/>
        <v>VAPORIZANTE - TIPO VAPORUB X20GR RUBIC / CAJA X12</v>
      </c>
    </row>
    <row r="323" spans="1:9" ht="28.5">
      <c r="A323" s="71" t="s">
        <v>2943</v>
      </c>
      <c r="B323" s="14">
        <v>1</v>
      </c>
      <c r="C323" s="14">
        <v>0</v>
      </c>
      <c r="D323" s="308" t="s">
        <v>14</v>
      </c>
      <c r="E323" s="13" t="s">
        <v>2944</v>
      </c>
      <c r="F323" s="61">
        <v>7702560008849</v>
      </c>
      <c r="G323">
        <f t="shared" si="19"/>
        <v>17000</v>
      </c>
      <c r="H323">
        <f t="shared" si="20"/>
        <v>1</v>
      </c>
      <c r="I323" t="str">
        <f t="shared" ref="I323:I386" si="21">TRIM(A323)</f>
        <v>AGUA OXIGENADA JGB - X500ML</v>
      </c>
    </row>
    <row r="324" spans="1:9" ht="42.75">
      <c r="A324" s="71" t="s">
        <v>1737</v>
      </c>
      <c r="B324" s="14">
        <v>1</v>
      </c>
      <c r="C324" s="14">
        <v>0</v>
      </c>
      <c r="D324" s="308" t="s">
        <v>948</v>
      </c>
      <c r="E324" s="13" t="s">
        <v>1738</v>
      </c>
      <c r="F324" s="61">
        <v>7702560027833</v>
      </c>
      <c r="G324">
        <f t="shared" si="19"/>
        <v>6500</v>
      </c>
      <c r="H324">
        <f t="shared" si="20"/>
        <v>1</v>
      </c>
      <c r="I324" t="str">
        <f t="shared" si="21"/>
        <v>AGUA OXIGENADA JGB - PREPACK X7</v>
      </c>
    </row>
    <row r="325" spans="1:9">
      <c r="A325" s="22" t="s">
        <v>2945</v>
      </c>
      <c r="B325" s="23">
        <v>6</v>
      </c>
      <c r="C325" s="51">
        <v>0</v>
      </c>
      <c r="D325" s="446" t="s">
        <v>509</v>
      </c>
      <c r="E325" s="39" t="s">
        <v>513</v>
      </c>
      <c r="F325" s="42">
        <v>7707035580837</v>
      </c>
      <c r="G325">
        <f t="shared" si="19"/>
        <v>12000</v>
      </c>
      <c r="H325">
        <f t="shared" si="20"/>
        <v>10</v>
      </c>
      <c r="I325" t="str">
        <f t="shared" si="21"/>
        <v>CLOBETASOL 0,05% X40GR CREMA</v>
      </c>
    </row>
    <row r="326" spans="1:9">
      <c r="A326" t="s">
        <v>2946</v>
      </c>
      <c r="B326" s="23">
        <v>1</v>
      </c>
      <c r="C326" s="51">
        <v>0</v>
      </c>
      <c r="D326" s="446" t="s">
        <v>464</v>
      </c>
      <c r="E326" s="41" t="s">
        <v>2947</v>
      </c>
      <c r="F326" s="42">
        <v>7705028092541</v>
      </c>
      <c r="G326">
        <f t="shared" si="19"/>
        <v>45000</v>
      </c>
      <c r="H326">
        <f t="shared" si="20"/>
        <v>1</v>
      </c>
      <c r="I326" t="str">
        <f t="shared" si="21"/>
        <v>CLORHEXOL ENJUAGUE</v>
      </c>
    </row>
    <row r="327" spans="1:9">
      <c r="A327" s="24" t="s">
        <v>1165</v>
      </c>
      <c r="B327" s="30">
        <v>1</v>
      </c>
      <c r="C327" s="31">
        <v>0</v>
      </c>
      <c r="D327" s="447" t="s">
        <v>1116</v>
      </c>
      <c r="E327" s="8" t="s">
        <v>1166</v>
      </c>
      <c r="F327" s="103">
        <v>7707190180019</v>
      </c>
      <c r="G327">
        <f t="shared" si="19"/>
        <v>23000</v>
      </c>
      <c r="H327">
        <f t="shared" si="20"/>
        <v>1</v>
      </c>
      <c r="I327" t="str">
        <f t="shared" si="21"/>
        <v>KETOCONAZOL SHAMPOO FARMANAL *250ML</v>
      </c>
    </row>
    <row r="328" spans="1:9">
      <c r="A328" t="s">
        <v>2671</v>
      </c>
      <c r="B328" s="23">
        <v>1</v>
      </c>
      <c r="C328" s="51">
        <v>0.19</v>
      </c>
      <c r="D328" s="446" t="s">
        <v>1366</v>
      </c>
      <c r="E328" s="41" t="s">
        <v>2672</v>
      </c>
      <c r="F328" s="42">
        <v>7891010037185</v>
      </c>
      <c r="G328">
        <f t="shared" si="19"/>
        <v>19000</v>
      </c>
      <c r="H328">
        <f t="shared" si="20"/>
        <v>1</v>
      </c>
      <c r="I328" t="str">
        <f t="shared" si="21"/>
        <v>CREMA CORPORAL JOHNSONS X200ML - ROSADA</v>
      </c>
    </row>
    <row r="329" spans="1:9">
      <c r="A329" t="s">
        <v>2948</v>
      </c>
      <c r="B329" s="23">
        <v>1</v>
      </c>
      <c r="C329" s="51">
        <v>0.19</v>
      </c>
      <c r="D329" s="483" t="s">
        <v>56</v>
      </c>
      <c r="E329" s="41" t="s">
        <v>2949</v>
      </c>
      <c r="F329" s="42">
        <v>7891010037192</v>
      </c>
      <c r="G329">
        <f t="shared" si="19"/>
        <v>28000</v>
      </c>
      <c r="H329">
        <f t="shared" si="20"/>
        <v>1</v>
      </c>
      <c r="I329" t="str">
        <f t="shared" si="21"/>
        <v>CREMA CORPORAL JOHNSONS X400ML - ROSADA</v>
      </c>
    </row>
    <row r="330" spans="1:9" ht="30">
      <c r="A330" s="278" t="s">
        <v>2950</v>
      </c>
      <c r="B330" s="132">
        <v>1</v>
      </c>
      <c r="C330" s="510">
        <v>0</v>
      </c>
      <c r="D330" s="492" t="s">
        <v>2662</v>
      </c>
      <c r="E330" s="214" t="s">
        <v>66</v>
      </c>
      <c r="F330" s="478">
        <v>7702870072943</v>
      </c>
      <c r="G330">
        <f t="shared" si="19"/>
        <v>28000</v>
      </c>
      <c r="H330">
        <f t="shared" si="20"/>
        <v>28</v>
      </c>
      <c r="I330" t="str">
        <f t="shared" si="21"/>
        <v>GYNORELLE 30 - CLORMADINONA ACETATO/ ETINILESTRADIOL 2MG/0,03MG</v>
      </c>
    </row>
    <row r="331" spans="1:9">
      <c r="A331" s="22" t="s">
        <v>128</v>
      </c>
      <c r="B331" s="280">
        <v>3</v>
      </c>
      <c r="C331" s="281">
        <v>0</v>
      </c>
      <c r="D331" s="491" t="s">
        <v>1035</v>
      </c>
      <c r="E331" s="41" t="s">
        <v>130</v>
      </c>
      <c r="F331" s="471">
        <v>7705471206533</v>
      </c>
      <c r="G331">
        <f t="shared" si="19"/>
        <v>11000</v>
      </c>
      <c r="H331">
        <f t="shared" si="20"/>
        <v>1</v>
      </c>
      <c r="I331" t="str">
        <f t="shared" si="21"/>
        <v>HIELO MINERAL SPRAY *120ML CON CANNBIS</v>
      </c>
    </row>
    <row r="332" spans="1:9" ht="28.5">
      <c r="A332" s="22" t="s">
        <v>2951</v>
      </c>
      <c r="B332" s="23">
        <v>2</v>
      </c>
      <c r="C332" s="23">
        <v>0</v>
      </c>
      <c r="D332" s="446" t="s">
        <v>2952</v>
      </c>
      <c r="E332" s="39" t="s">
        <v>2953</v>
      </c>
      <c r="F332" s="42">
        <v>6921875005423</v>
      </c>
      <c r="G332">
        <f t="shared" si="19"/>
        <v>66000</v>
      </c>
      <c r="H332">
        <f t="shared" si="20"/>
        <v>14</v>
      </c>
      <c r="I332" t="str">
        <f t="shared" si="21"/>
        <v>AMOXICILINA + ACIDO CLAVULANICO 875/125MG / AMOXICLADELT X14 TABS</v>
      </c>
    </row>
    <row r="333" spans="1:9">
      <c r="A333" s="22" t="s">
        <v>1348</v>
      </c>
      <c r="B333" s="23">
        <v>3</v>
      </c>
      <c r="C333" s="194">
        <v>0.19</v>
      </c>
      <c r="D333" s="483" t="s">
        <v>32</v>
      </c>
      <c r="E333" s="41" t="s">
        <v>136</v>
      </c>
      <c r="F333" s="42">
        <v>7707287990057</v>
      </c>
      <c r="G333">
        <f t="shared" si="19"/>
        <v>12000</v>
      </c>
      <c r="H333">
        <f t="shared" si="20"/>
        <v>1</v>
      </c>
      <c r="I333" t="str">
        <f t="shared" si="21"/>
        <v>INHALOCAMARA ADULTO- RESPIRANDO VIDA</v>
      </c>
    </row>
    <row r="334" spans="1:9">
      <c r="A334" s="22" t="s">
        <v>1207</v>
      </c>
      <c r="B334" s="23">
        <v>3</v>
      </c>
      <c r="C334" s="51">
        <v>0</v>
      </c>
      <c r="D334" s="446" t="s">
        <v>133</v>
      </c>
      <c r="E334" s="39" t="s">
        <v>1208</v>
      </c>
      <c r="F334" s="42">
        <v>3594455200469</v>
      </c>
      <c r="G334">
        <f t="shared" si="19"/>
        <v>16000</v>
      </c>
      <c r="H334">
        <f t="shared" si="20"/>
        <v>30</v>
      </c>
      <c r="I334" t="str">
        <f t="shared" si="21"/>
        <v>NATRILIX SR - INDAPAMINA 1,5MG X30</v>
      </c>
    </row>
    <row r="335" spans="1:9">
      <c r="A335" s="22" t="s">
        <v>2954</v>
      </c>
      <c r="B335" s="23">
        <v>3</v>
      </c>
      <c r="C335" s="51">
        <v>0</v>
      </c>
      <c r="D335" s="446" t="s">
        <v>1018</v>
      </c>
      <c r="E335" s="39" t="s">
        <v>116</v>
      </c>
      <c r="F335" s="42">
        <v>7703432927275</v>
      </c>
      <c r="G335">
        <f t="shared" si="19"/>
        <v>13000</v>
      </c>
      <c r="H335">
        <f t="shared" si="20"/>
        <v>10</v>
      </c>
      <c r="I335" t="str">
        <f t="shared" si="21"/>
        <v>ROSUVASTATINA 20MG - EXPOFARMA X30 TABS</v>
      </c>
    </row>
    <row r="336" spans="1:9">
      <c r="A336" s="8" t="s">
        <v>1303</v>
      </c>
      <c r="B336" s="30">
        <v>1</v>
      </c>
      <c r="C336" s="31">
        <v>0</v>
      </c>
      <c r="D336" s="447" t="s">
        <v>1304</v>
      </c>
      <c r="E336" s="7" t="s">
        <v>1305</v>
      </c>
      <c r="F336" s="63">
        <v>7594002621989</v>
      </c>
      <c r="G336">
        <f t="shared" si="19"/>
        <v>7500</v>
      </c>
      <c r="H336">
        <f t="shared" si="20"/>
        <v>1</v>
      </c>
      <c r="I336" t="str">
        <f t="shared" si="21"/>
        <v>FLORATIL SOBRES / saccharomyces boulardii cncm i-745</v>
      </c>
    </row>
    <row r="337" spans="1:9" ht="15">
      <c r="A337" s="32" t="s">
        <v>175</v>
      </c>
      <c r="B337" s="17">
        <v>4</v>
      </c>
      <c r="C337" s="124">
        <v>0</v>
      </c>
      <c r="D337" s="321" t="s">
        <v>318</v>
      </c>
      <c r="E337" s="76" t="s">
        <v>121</v>
      </c>
      <c r="F337" s="20">
        <v>7501125176470</v>
      </c>
      <c r="G337">
        <f t="shared" si="19"/>
        <v>8500</v>
      </c>
      <c r="H337">
        <f t="shared" si="20"/>
        <v>1</v>
      </c>
      <c r="I337" t="str">
        <f t="shared" si="21"/>
        <v>ELECTROLIT FRESA</v>
      </c>
    </row>
    <row r="338" spans="1:9" ht="15">
      <c r="A338" s="18" t="s">
        <v>120</v>
      </c>
      <c r="B338" s="17">
        <v>6</v>
      </c>
      <c r="C338" s="124">
        <v>0</v>
      </c>
      <c r="D338" s="321" t="s">
        <v>38</v>
      </c>
      <c r="E338" s="73" t="s">
        <v>121</v>
      </c>
      <c r="F338" s="20">
        <v>7501125176548</v>
      </c>
      <c r="G338">
        <f t="shared" si="19"/>
        <v>9000</v>
      </c>
      <c r="H338">
        <f t="shared" si="20"/>
        <v>1</v>
      </c>
      <c r="I338" t="str">
        <f t="shared" si="21"/>
        <v>ELECTROLIT UVA</v>
      </c>
    </row>
    <row r="339" spans="1:9">
      <c r="A339" s="22" t="s">
        <v>2955</v>
      </c>
      <c r="B339" s="23">
        <v>1</v>
      </c>
      <c r="C339" s="238">
        <v>0</v>
      </c>
      <c r="D339" s="446" t="s">
        <v>59</v>
      </c>
      <c r="E339" s="39" t="s">
        <v>2956</v>
      </c>
      <c r="F339" s="42">
        <v>7709080992573</v>
      </c>
      <c r="G339">
        <f t="shared" si="19"/>
        <v>3000</v>
      </c>
      <c r="H339">
        <f t="shared" si="20"/>
        <v>1</v>
      </c>
      <c r="I339" t="str">
        <f t="shared" si="21"/>
        <v>LYPTUS CHERRY - MEDICAL FARMA X24</v>
      </c>
    </row>
    <row r="340" spans="1:9" ht="15">
      <c r="A340" s="45" t="s">
        <v>2957</v>
      </c>
      <c r="B340" s="36">
        <v>2</v>
      </c>
      <c r="C340" s="284">
        <v>0</v>
      </c>
      <c r="D340" s="372" t="s">
        <v>1366</v>
      </c>
      <c r="E340" s="74" t="s">
        <v>2958</v>
      </c>
      <c r="F340" s="46">
        <v>7709100506957</v>
      </c>
      <c r="G340">
        <f t="shared" si="19"/>
        <v>19000</v>
      </c>
      <c r="H340">
        <f t="shared" si="20"/>
        <v>1</v>
      </c>
      <c r="I340" t="str">
        <f t="shared" si="21"/>
        <v>K-LLOSIL / ACIDO SALICILICO + ACIDO LACTICO + RESORCINOL</v>
      </c>
    </row>
    <row r="341" spans="1:9">
      <c r="A341" t="s">
        <v>2959</v>
      </c>
      <c r="B341" s="23">
        <v>1</v>
      </c>
      <c r="C341" s="23">
        <v>0</v>
      </c>
      <c r="D341" s="446" t="s">
        <v>2960</v>
      </c>
      <c r="E341" s="41" t="s">
        <v>2961</v>
      </c>
      <c r="F341" s="42">
        <v>7707067620914</v>
      </c>
      <c r="G341">
        <f t="shared" si="19"/>
        <v>34000</v>
      </c>
      <c r="H341">
        <f t="shared" si="20"/>
        <v>10</v>
      </c>
      <c r="I341" t="str">
        <f t="shared" si="21"/>
        <v>TERBINAFINA TABLETAS X30 - HONGODERM</v>
      </c>
    </row>
    <row r="342" spans="1:9">
      <c r="A342" s="146" t="s">
        <v>1027</v>
      </c>
      <c r="B342" s="147">
        <v>10</v>
      </c>
      <c r="C342" s="148">
        <v>0</v>
      </c>
      <c r="D342" s="444" t="s">
        <v>80</v>
      </c>
      <c r="E342" s="159" t="s">
        <v>1028</v>
      </c>
      <c r="F342" s="160">
        <v>7706569000194</v>
      </c>
      <c r="G342">
        <f t="shared" si="19"/>
        <v>6000</v>
      </c>
      <c r="H342">
        <f t="shared" si="20"/>
        <v>1</v>
      </c>
      <c r="I342" t="str">
        <f t="shared" si="21"/>
        <v>HIDROCORTISONA CREMA - AG</v>
      </c>
    </row>
    <row r="343" spans="1:9">
      <c r="A343" s="28" t="s">
        <v>557</v>
      </c>
      <c r="B343" s="30">
        <v>2</v>
      </c>
      <c r="C343" s="31">
        <v>0</v>
      </c>
      <c r="D343" s="447" t="s">
        <v>1240</v>
      </c>
      <c r="E343" s="8" t="s">
        <v>558</v>
      </c>
      <c r="F343" s="63">
        <v>7702132009748</v>
      </c>
      <c r="G343">
        <f t="shared" si="19"/>
        <v>33000</v>
      </c>
      <c r="H343">
        <f t="shared" si="20"/>
        <v>1</v>
      </c>
      <c r="I343" t="str">
        <f t="shared" si="21"/>
        <v>ADVIL CHILDREN *100ML</v>
      </c>
    </row>
    <row r="344" spans="1:9">
      <c r="A344" s="24" t="s">
        <v>2962</v>
      </c>
      <c r="B344" s="30">
        <v>3</v>
      </c>
      <c r="C344" s="31">
        <v>0</v>
      </c>
      <c r="D344" s="447" t="s">
        <v>276</v>
      </c>
      <c r="E344" s="7" t="s">
        <v>326</v>
      </c>
      <c r="F344" s="63">
        <v>7361819980024</v>
      </c>
      <c r="G344">
        <f t="shared" si="19"/>
        <v>22000</v>
      </c>
      <c r="H344">
        <f t="shared" si="20"/>
        <v>1</v>
      </c>
      <c r="I344" t="str">
        <f t="shared" si="21"/>
        <v>ENEMATROL MARACUYÁ</v>
      </c>
    </row>
    <row r="345" spans="1:9">
      <c r="A345" s="28" t="s">
        <v>1949</v>
      </c>
      <c r="B345" s="30">
        <v>1</v>
      </c>
      <c r="C345" s="31">
        <v>0</v>
      </c>
      <c r="D345" s="447" t="s">
        <v>203</v>
      </c>
      <c r="E345" s="7" t="s">
        <v>95</v>
      </c>
      <c r="F345" s="63">
        <v>7703038050384</v>
      </c>
      <c r="G345">
        <f t="shared" si="19"/>
        <v>4500</v>
      </c>
      <c r="H345">
        <f t="shared" si="20"/>
        <v>10</v>
      </c>
      <c r="I345" t="str">
        <f t="shared" si="21"/>
        <v>METOCARBAMOL 750MG - LAPROFF</v>
      </c>
    </row>
    <row r="346" spans="1:9">
      <c r="A346" t="s">
        <v>825</v>
      </c>
      <c r="B346" s="23">
        <v>2</v>
      </c>
      <c r="C346" s="51">
        <v>0</v>
      </c>
      <c r="D346" s="446" t="s">
        <v>826</v>
      </c>
      <c r="E346" s="39" t="s">
        <v>827</v>
      </c>
      <c r="F346" s="42">
        <v>7703546402767</v>
      </c>
      <c r="G346">
        <f t="shared" si="19"/>
        <v>15000</v>
      </c>
      <c r="H346">
        <f t="shared" si="20"/>
        <v>15</v>
      </c>
      <c r="I346" t="str">
        <f t="shared" si="21"/>
        <v>NIFEDIPINO 30MG- NOVAEMD X30 CAPS</v>
      </c>
    </row>
    <row r="347" spans="1:9">
      <c r="A347" s="71" t="s">
        <v>6</v>
      </c>
      <c r="B347" s="14">
        <v>4</v>
      </c>
      <c r="C347" s="105">
        <v>0</v>
      </c>
      <c r="D347" s="308" t="s">
        <v>7</v>
      </c>
      <c r="E347" s="13" t="s">
        <v>8</v>
      </c>
      <c r="F347" s="61">
        <v>7703038067269</v>
      </c>
      <c r="G347">
        <f t="shared" si="19"/>
        <v>7000</v>
      </c>
      <c r="H347">
        <f t="shared" si="20"/>
        <v>1</v>
      </c>
      <c r="I347" t="str">
        <f t="shared" si="21"/>
        <v>ACETAMINOFEN JARABE *120ML - LAPROFF</v>
      </c>
    </row>
    <row r="348" spans="1:9">
      <c r="A348" s="71" t="s">
        <v>2118</v>
      </c>
      <c r="B348" s="14">
        <v>10</v>
      </c>
      <c r="C348" s="105">
        <v>0</v>
      </c>
      <c r="D348" s="308" t="s">
        <v>519</v>
      </c>
      <c r="E348" s="13" t="s">
        <v>2119</v>
      </c>
      <c r="F348" s="61">
        <v>7703038060987</v>
      </c>
      <c r="G348">
        <f t="shared" si="19"/>
        <v>4500</v>
      </c>
      <c r="H348">
        <f t="shared" si="20"/>
        <v>1</v>
      </c>
      <c r="I348" t="str">
        <f t="shared" si="21"/>
        <v>ACETAMINOFEN JARABE *60ML</v>
      </c>
    </row>
    <row r="349" spans="1:9">
      <c r="A349" s="22" t="s">
        <v>1800</v>
      </c>
      <c r="B349" s="23">
        <v>2</v>
      </c>
      <c r="C349" s="51">
        <v>0</v>
      </c>
      <c r="D349" s="446" t="s">
        <v>91</v>
      </c>
      <c r="E349" s="41" t="s">
        <v>1799</v>
      </c>
      <c r="F349" s="42">
        <v>7707172681107</v>
      </c>
      <c r="G349">
        <f t="shared" si="19"/>
        <v>16000</v>
      </c>
      <c r="H349">
        <f t="shared" si="20"/>
        <v>1</v>
      </c>
      <c r="I349" t="str">
        <f t="shared" si="21"/>
        <v>EMULSION SCOTT *180ML CEREZA</v>
      </c>
    </row>
    <row r="350" spans="1:9">
      <c r="A350" s="22" t="s">
        <v>1802</v>
      </c>
      <c r="B350" s="23">
        <v>2</v>
      </c>
      <c r="C350" s="51">
        <v>0</v>
      </c>
      <c r="D350" s="446" t="s">
        <v>91</v>
      </c>
      <c r="E350" s="41" t="s">
        <v>1799</v>
      </c>
      <c r="F350" s="42">
        <v>7707172681183</v>
      </c>
      <c r="G350">
        <f t="shared" si="19"/>
        <v>16000</v>
      </c>
      <c r="H350">
        <f t="shared" si="20"/>
        <v>1</v>
      </c>
      <c r="I350" t="str">
        <f t="shared" si="21"/>
        <v>EMULSION SCOTT *180ML TROPICAL</v>
      </c>
    </row>
    <row r="351" spans="1:9">
      <c r="A351" s="7" t="s">
        <v>1803</v>
      </c>
      <c r="B351" s="30">
        <v>2</v>
      </c>
      <c r="C351" s="31">
        <v>0</v>
      </c>
      <c r="D351" s="447" t="s">
        <v>112</v>
      </c>
      <c r="E351" s="7" t="s">
        <v>1799</v>
      </c>
      <c r="F351" s="63">
        <v>7707172681114</v>
      </c>
      <c r="G351">
        <f t="shared" ref="G351:G414" si="22">IFERROR(VALUE(SUBSTITUTE(LEFT(LOWER(D351),FIND("x",LOWER(D351))-1),",","")),VALUE(SUBSTITUTE(D351,",","")))</f>
        <v>26000</v>
      </c>
      <c r="H351">
        <f t="shared" ref="H351:H414" si="23">IFERROR(VALUE(MID(LOWER(D351),FIND("x",LOWER(D351))+1,20)),1)</f>
        <v>1</v>
      </c>
      <c r="I351" t="str">
        <f t="shared" si="21"/>
        <v>EMULSION SCOTT *360ML CEREZA</v>
      </c>
    </row>
    <row r="352" spans="1:9">
      <c r="A352" s="7" t="s">
        <v>1804</v>
      </c>
      <c r="B352" s="30">
        <v>2</v>
      </c>
      <c r="C352" s="31">
        <v>0</v>
      </c>
      <c r="D352" s="447" t="s">
        <v>112</v>
      </c>
      <c r="E352" s="7" t="s">
        <v>1805</v>
      </c>
      <c r="F352" s="63">
        <v>7707172681190</v>
      </c>
      <c r="G352">
        <f t="shared" si="22"/>
        <v>26000</v>
      </c>
      <c r="H352">
        <f t="shared" si="23"/>
        <v>1</v>
      </c>
      <c r="I352" t="str">
        <f t="shared" si="21"/>
        <v>EMULSION SCOTT *360ML TROPICAL</v>
      </c>
    </row>
    <row r="353" spans="1:9">
      <c r="A353" s="141" t="s">
        <v>2964</v>
      </c>
      <c r="B353" s="147">
        <v>1</v>
      </c>
      <c r="C353" s="31">
        <v>0</v>
      </c>
      <c r="D353" s="447" t="s">
        <v>318</v>
      </c>
      <c r="E353" s="159" t="s">
        <v>2965</v>
      </c>
      <c r="F353" s="42">
        <v>7709121661475</v>
      </c>
      <c r="G353">
        <f t="shared" si="22"/>
        <v>8500</v>
      </c>
      <c r="H353">
        <f t="shared" si="23"/>
        <v>1</v>
      </c>
      <c r="I353" t="str">
        <f t="shared" si="21"/>
        <v>PROLARDII X20 SACHETS</v>
      </c>
    </row>
    <row r="354" spans="1:9" ht="28.5">
      <c r="A354" s="22" t="s">
        <v>2966</v>
      </c>
      <c r="B354" s="23">
        <v>2</v>
      </c>
      <c r="C354" s="51">
        <v>0.19</v>
      </c>
      <c r="D354" s="446" t="s">
        <v>91</v>
      </c>
      <c r="E354" s="41" t="s">
        <v>2967</v>
      </c>
      <c r="F354" s="42">
        <v>7702057707750</v>
      </c>
      <c r="G354">
        <f t="shared" si="22"/>
        <v>16000</v>
      </c>
      <c r="H354">
        <f t="shared" si="23"/>
        <v>1</v>
      </c>
      <c r="I354" t="str">
        <f t="shared" si="21"/>
        <v>MULTI SOLUTION PLUS X60ML</v>
      </c>
    </row>
    <row r="355" spans="1:9">
      <c r="A355" s="24" t="s">
        <v>1722</v>
      </c>
      <c r="B355" s="30">
        <v>8</v>
      </c>
      <c r="C355" s="128">
        <v>0</v>
      </c>
      <c r="D355" s="480" t="s">
        <v>7</v>
      </c>
      <c r="E355" s="8" t="s">
        <v>1723</v>
      </c>
      <c r="F355" s="63">
        <v>7709923870556</v>
      </c>
      <c r="G355">
        <f t="shared" si="22"/>
        <v>7000</v>
      </c>
      <c r="H355">
        <f t="shared" si="23"/>
        <v>1</v>
      </c>
      <c r="I355" t="str">
        <f t="shared" si="21"/>
        <v>PRUEBA EMBARAZO CASSETE- CHEMI S.A.S</v>
      </c>
    </row>
    <row r="356" spans="1:9">
      <c r="A356" s="24" t="s">
        <v>1964</v>
      </c>
      <c r="B356" s="30">
        <v>2</v>
      </c>
      <c r="C356" s="51">
        <v>0</v>
      </c>
      <c r="D356" s="446" t="s">
        <v>1080</v>
      </c>
      <c r="E356" s="7" t="s">
        <v>1965</v>
      </c>
      <c r="F356" s="63">
        <v>7706142707106</v>
      </c>
      <c r="G356">
        <f t="shared" si="22"/>
        <v>13500</v>
      </c>
      <c r="H356">
        <f t="shared" si="23"/>
        <v>1</v>
      </c>
      <c r="I356" t="str">
        <f t="shared" si="21"/>
        <v>NEOFUNGINA TALCO *40GR</v>
      </c>
    </row>
    <row r="357" spans="1:9">
      <c r="A357" s="24" t="s">
        <v>1239</v>
      </c>
      <c r="B357" s="30">
        <v>1</v>
      </c>
      <c r="C357" s="30">
        <v>0</v>
      </c>
      <c r="D357" s="447" t="s">
        <v>1240</v>
      </c>
      <c r="E357" s="7" t="s">
        <v>1241</v>
      </c>
      <c r="F357" s="63">
        <v>7706142707113</v>
      </c>
      <c r="G357">
        <f t="shared" si="22"/>
        <v>33000</v>
      </c>
      <c r="H357">
        <f t="shared" si="23"/>
        <v>1</v>
      </c>
      <c r="I357" t="str">
        <f t="shared" si="21"/>
        <v>NEOFUNGINA TALCO *100GR</v>
      </c>
    </row>
    <row r="358" spans="1:9">
      <c r="A358" s="13" t="s">
        <v>1966</v>
      </c>
      <c r="B358" s="121">
        <v>1</v>
      </c>
      <c r="C358" s="121">
        <v>0</v>
      </c>
      <c r="D358" s="411" t="s">
        <v>2342</v>
      </c>
      <c r="E358" s="13" t="s">
        <v>1967</v>
      </c>
      <c r="F358" s="211">
        <v>7706142707137</v>
      </c>
      <c r="G358">
        <f t="shared" si="22"/>
        <v>55000</v>
      </c>
      <c r="H358">
        <f t="shared" si="23"/>
        <v>1</v>
      </c>
      <c r="I358" t="str">
        <f t="shared" si="21"/>
        <v>NEOFUNGINA TALCO *200GR</v>
      </c>
    </row>
    <row r="359" spans="1:9">
      <c r="A359" s="24" t="s">
        <v>552</v>
      </c>
      <c r="B359" s="30">
        <v>1</v>
      </c>
      <c r="C359" s="31">
        <v>0.19</v>
      </c>
      <c r="D359" s="447" t="s">
        <v>2968</v>
      </c>
      <c r="E359" s="8" t="s">
        <v>554</v>
      </c>
      <c r="F359" s="63">
        <v>7703286109506</v>
      </c>
      <c r="G359">
        <f t="shared" si="22"/>
        <v>45000</v>
      </c>
      <c r="H359">
        <f t="shared" si="23"/>
        <v>100</v>
      </c>
      <c r="I359" t="str">
        <f t="shared" si="21"/>
        <v>OMEGA 3 + VITAMINA E / BOTANITAS X100</v>
      </c>
    </row>
    <row r="360" spans="1:9">
      <c r="A360" s="146" t="s">
        <v>1882</v>
      </c>
      <c r="B360" s="150">
        <v>4</v>
      </c>
      <c r="C360" s="286">
        <v>0</v>
      </c>
      <c r="D360" s="493" t="s">
        <v>250</v>
      </c>
      <c r="E360" s="159" t="s">
        <v>1883</v>
      </c>
      <c r="F360" s="151">
        <v>7705366103022</v>
      </c>
      <c r="G360">
        <f t="shared" si="22"/>
        <v>3500</v>
      </c>
      <c r="H360">
        <f t="shared" si="23"/>
        <v>1</v>
      </c>
      <c r="I360" t="str">
        <f t="shared" si="21"/>
        <v>SUERO FISIOLÓGICO/ CLORURO SODIO CORPAUL *100ML</v>
      </c>
    </row>
    <row r="361" spans="1:9">
      <c r="A361" s="69" t="s">
        <v>788</v>
      </c>
      <c r="B361" s="14">
        <v>3</v>
      </c>
      <c r="C361" s="174">
        <v>0</v>
      </c>
      <c r="D361" s="308" t="s">
        <v>519</v>
      </c>
      <c r="E361" s="13" t="s">
        <v>789</v>
      </c>
      <c r="F361" s="61">
        <v>7705366102063</v>
      </c>
      <c r="G361">
        <f t="shared" si="22"/>
        <v>4500</v>
      </c>
      <c r="H361">
        <f t="shared" si="23"/>
        <v>1</v>
      </c>
      <c r="I361" t="str">
        <f t="shared" si="21"/>
        <v>SUERO FISIOLÓGICO/ CLORURO SODIO CORPAUL *250ML</v>
      </c>
    </row>
    <row r="362" spans="1:9" ht="15">
      <c r="A362" s="16" t="s">
        <v>2616</v>
      </c>
      <c r="B362" s="17">
        <v>6</v>
      </c>
      <c r="C362" s="124">
        <v>0</v>
      </c>
      <c r="D362" s="321" t="s">
        <v>80</v>
      </c>
      <c r="E362" s="73" t="s">
        <v>975</v>
      </c>
      <c r="F362" s="20">
        <v>7705366100021</v>
      </c>
      <c r="G362">
        <f t="shared" si="22"/>
        <v>6000</v>
      </c>
      <c r="H362">
        <f t="shared" si="23"/>
        <v>1</v>
      </c>
      <c r="I362" t="str">
        <f t="shared" si="21"/>
        <v>LACTATO RINGER HARTAM - CORPAUL 500ML</v>
      </c>
    </row>
    <row r="363" spans="1:9">
      <c r="A363" t="s">
        <v>2969</v>
      </c>
      <c r="B363" s="23">
        <v>2</v>
      </c>
      <c r="C363" s="51">
        <v>0</v>
      </c>
      <c r="D363" s="446" t="s">
        <v>91</v>
      </c>
      <c r="E363" s="39" t="s">
        <v>2970</v>
      </c>
      <c r="F363" s="42">
        <v>77014535</v>
      </c>
      <c r="G363">
        <f t="shared" si="22"/>
        <v>16000</v>
      </c>
      <c r="H363">
        <f t="shared" si="23"/>
        <v>1</v>
      </c>
      <c r="I363" t="str">
        <f t="shared" si="21"/>
        <v>CALADRYL GEL - TRANSPARENTE</v>
      </c>
    </row>
    <row r="364" spans="1:9">
      <c r="A364" s="141" t="s">
        <v>1190</v>
      </c>
      <c r="B364" s="147">
        <v>1</v>
      </c>
      <c r="C364" s="148">
        <v>0</v>
      </c>
      <c r="D364" s="444" t="s">
        <v>2971</v>
      </c>
      <c r="E364" s="159" t="s">
        <v>1192</v>
      </c>
      <c r="F364" s="160">
        <v>7702207161166</v>
      </c>
      <c r="G364">
        <f t="shared" si="22"/>
        <v>55000</v>
      </c>
      <c r="H364">
        <f t="shared" si="23"/>
        <v>40</v>
      </c>
      <c r="I364" t="str">
        <f t="shared" si="21"/>
        <v>SEDATIF PC *40 TAB (X40)</v>
      </c>
    </row>
    <row r="365" spans="1:9">
      <c r="A365" s="28" t="s">
        <v>478</v>
      </c>
      <c r="B365" s="30">
        <v>8</v>
      </c>
      <c r="C365" s="31">
        <v>0</v>
      </c>
      <c r="D365" s="447" t="s">
        <v>109</v>
      </c>
      <c r="E365" s="8" t="s">
        <v>479</v>
      </c>
      <c r="F365" s="63">
        <v>7708937097874</v>
      </c>
      <c r="G365">
        <f t="shared" si="22"/>
        <v>10000</v>
      </c>
      <c r="H365">
        <f t="shared" si="23"/>
        <v>1</v>
      </c>
      <c r="I365" t="str">
        <f t="shared" si="21"/>
        <v>PRUEBA EMBARAZO ESFERO CHEMI</v>
      </c>
    </row>
    <row r="366" spans="1:9">
      <c r="A366" t="s">
        <v>2972</v>
      </c>
      <c r="B366" s="23">
        <v>1</v>
      </c>
      <c r="C366" s="23">
        <v>0</v>
      </c>
      <c r="D366" s="446" t="s">
        <v>1708</v>
      </c>
      <c r="E366" s="41" t="s">
        <v>2973</v>
      </c>
      <c r="F366" s="42">
        <v>7709718381243</v>
      </c>
      <c r="G366">
        <f t="shared" si="22"/>
        <v>17000</v>
      </c>
      <c r="H366">
        <f t="shared" si="23"/>
        <v>30</v>
      </c>
      <c r="I366" t="str">
        <f t="shared" si="21"/>
        <v>OMEGA 3-6-9 / VITAFAR LTDA</v>
      </c>
    </row>
    <row r="367" spans="1:9">
      <c r="A367" t="s">
        <v>2974</v>
      </c>
      <c r="B367" s="23">
        <v>3</v>
      </c>
      <c r="C367" s="23">
        <v>0</v>
      </c>
      <c r="D367" s="446" t="s">
        <v>276</v>
      </c>
      <c r="E367" s="39" t="s">
        <v>2975</v>
      </c>
      <c r="F367" s="42">
        <v>7708904981441</v>
      </c>
      <c r="G367">
        <f t="shared" si="22"/>
        <v>22000</v>
      </c>
      <c r="H367">
        <f t="shared" si="23"/>
        <v>1</v>
      </c>
      <c r="I367" t="str">
        <f t="shared" si="21"/>
        <v>PECTICAO / CAOLIN PECTINA SUSP X120ML</v>
      </c>
    </row>
    <row r="368" spans="1:9">
      <c r="A368" s="24" t="s">
        <v>2976</v>
      </c>
      <c r="B368" s="30">
        <v>1</v>
      </c>
      <c r="C368" s="31">
        <v>0</v>
      </c>
      <c r="D368" s="447" t="s">
        <v>85</v>
      </c>
      <c r="E368" s="8" t="s">
        <v>2977</v>
      </c>
      <c r="F368" s="63">
        <v>7703038067290</v>
      </c>
      <c r="G368">
        <f t="shared" si="22"/>
        <v>11000</v>
      </c>
      <c r="H368">
        <f t="shared" si="23"/>
        <v>1</v>
      </c>
      <c r="I368" t="str">
        <f t="shared" si="21"/>
        <v>ENERZINC - SULFATO DE ZINC SUSP X120ML</v>
      </c>
    </row>
    <row r="369" spans="1:9">
      <c r="A369" s="13" t="s">
        <v>252</v>
      </c>
      <c r="B369" s="14">
        <v>1</v>
      </c>
      <c r="C369" s="14">
        <v>0</v>
      </c>
      <c r="D369" s="308" t="s">
        <v>293</v>
      </c>
      <c r="E369" s="12" t="s">
        <v>253</v>
      </c>
      <c r="F369" s="61">
        <v>7702057013585</v>
      </c>
      <c r="G369">
        <f t="shared" si="22"/>
        <v>4000</v>
      </c>
      <c r="H369">
        <f t="shared" si="23"/>
        <v>1</v>
      </c>
      <c r="I369" t="str">
        <f t="shared" si="21"/>
        <v>HIDRAPLUS ZINC 75 CEREZA X 4 SACHETS</v>
      </c>
    </row>
    <row r="370" spans="1:9">
      <c r="A370" s="64" t="s">
        <v>1950</v>
      </c>
      <c r="B370" s="102">
        <v>4</v>
      </c>
      <c r="C370" s="205">
        <v>0</v>
      </c>
      <c r="D370" s="443" t="s">
        <v>1951</v>
      </c>
      <c r="E370" s="64" t="s">
        <v>1952</v>
      </c>
      <c r="F370" s="103">
        <v>7702195051814</v>
      </c>
      <c r="G370">
        <f t="shared" si="22"/>
        <v>7000</v>
      </c>
      <c r="H370">
        <f t="shared" si="23"/>
        <v>30</v>
      </c>
      <c r="I370" t="str">
        <f t="shared" si="21"/>
        <v>KETOTIFENO 1MG TAB - RECIPE</v>
      </c>
    </row>
    <row r="371" spans="1:9">
      <c r="A371" t="s">
        <v>2978</v>
      </c>
      <c r="B371" s="147">
        <v>5</v>
      </c>
      <c r="C371" s="288">
        <v>0</v>
      </c>
      <c r="D371" s="444" t="s">
        <v>227</v>
      </c>
      <c r="E371" s="39" t="s">
        <v>2793</v>
      </c>
      <c r="F371" s="42">
        <v>8904159679969</v>
      </c>
      <c r="G371">
        <f t="shared" si="22"/>
        <v>8000</v>
      </c>
      <c r="H371">
        <f t="shared" si="23"/>
        <v>10</v>
      </c>
      <c r="I371" t="str">
        <f t="shared" si="21"/>
        <v>ATORVASTATINA 40MG- CORASTATIN / X30 TABLETAS</v>
      </c>
    </row>
    <row r="372" spans="1:9">
      <c r="A372" s="24" t="s">
        <v>678</v>
      </c>
      <c r="B372" s="30">
        <v>4</v>
      </c>
      <c r="C372" s="31">
        <v>0</v>
      </c>
      <c r="D372" s="447" t="s">
        <v>10</v>
      </c>
      <c r="E372" s="8" t="s">
        <v>679</v>
      </c>
      <c r="F372" s="63">
        <v>7705137100113</v>
      </c>
      <c r="G372">
        <f t="shared" si="22"/>
        <v>8000</v>
      </c>
      <c r="H372">
        <f t="shared" si="23"/>
        <v>1</v>
      </c>
      <c r="I372" t="str">
        <f t="shared" si="21"/>
        <v>ALCOHOL OSA 70% - X700ML</v>
      </c>
    </row>
    <row r="373" spans="1:9" ht="15">
      <c r="A373" s="19" t="s">
        <v>345</v>
      </c>
      <c r="B373" s="37">
        <v>35</v>
      </c>
      <c r="C373" s="37">
        <v>0</v>
      </c>
      <c r="D373" s="376" t="s">
        <v>74</v>
      </c>
      <c r="E373" s="112" t="s">
        <v>346</v>
      </c>
      <c r="F373" s="115">
        <v>7707996059205</v>
      </c>
      <c r="G373">
        <f t="shared" si="22"/>
        <v>20000</v>
      </c>
      <c r="H373">
        <f t="shared" si="23"/>
        <v>1</v>
      </c>
      <c r="I373" t="str">
        <f t="shared" si="21"/>
        <v>ABRALIX - HEDERA HELIX + PROPOLEO</v>
      </c>
    </row>
    <row r="374" spans="1:9">
      <c r="A374" s="24" t="s">
        <v>1931</v>
      </c>
      <c r="B374" s="23">
        <v>9</v>
      </c>
      <c r="C374" s="128">
        <v>0</v>
      </c>
      <c r="D374" s="480" t="s">
        <v>80</v>
      </c>
      <c r="E374" s="8" t="s">
        <v>1723</v>
      </c>
      <c r="F374" s="63">
        <v>7709923870570</v>
      </c>
      <c r="G374">
        <f t="shared" si="22"/>
        <v>6000</v>
      </c>
      <c r="H374">
        <f t="shared" si="23"/>
        <v>1</v>
      </c>
      <c r="I374" t="str">
        <f t="shared" si="21"/>
        <v>PRUEBA EMBARAZO CASSETE DISTRIAGUIRRE</v>
      </c>
    </row>
    <row r="375" spans="1:9">
      <c r="A375" s="24" t="s">
        <v>1663</v>
      </c>
      <c r="B375" s="30">
        <v>2</v>
      </c>
      <c r="C375" s="31">
        <v>0</v>
      </c>
      <c r="D375" s="447" t="s">
        <v>109</v>
      </c>
      <c r="E375" s="8" t="s">
        <v>1286</v>
      </c>
      <c r="F375" s="63">
        <v>7703038668015</v>
      </c>
      <c r="G375">
        <f t="shared" si="22"/>
        <v>10000</v>
      </c>
      <c r="H375">
        <f t="shared" si="23"/>
        <v>1</v>
      </c>
      <c r="I375" t="str">
        <f t="shared" si="21"/>
        <v>CLOBETASOL CREMA - LAPROFF</v>
      </c>
    </row>
    <row r="376" spans="1:9">
      <c r="A376" s="24" t="s">
        <v>2090</v>
      </c>
      <c r="B376" s="30">
        <v>3</v>
      </c>
      <c r="C376" s="31">
        <v>0</v>
      </c>
      <c r="D376" s="447" t="s">
        <v>676</v>
      </c>
      <c r="E376" s="7" t="s">
        <v>2091</v>
      </c>
      <c r="F376" s="63">
        <v>7707210530046</v>
      </c>
      <c r="G376">
        <f t="shared" si="22"/>
        <v>21000</v>
      </c>
      <c r="H376">
        <f t="shared" si="23"/>
        <v>1</v>
      </c>
      <c r="I376" t="str">
        <f t="shared" si="21"/>
        <v>KAOXITURA - CAOLIN PECTINA X120ML</v>
      </c>
    </row>
    <row r="377" spans="1:9">
      <c r="A377" t="s">
        <v>924</v>
      </c>
      <c r="B377" s="23">
        <v>1</v>
      </c>
      <c r="C377" s="51">
        <v>0.19</v>
      </c>
      <c r="D377" s="446" t="s">
        <v>32</v>
      </c>
      <c r="E377" s="39" t="s">
        <v>925</v>
      </c>
      <c r="F377" s="42">
        <v>7891010031046</v>
      </c>
      <c r="G377">
        <f t="shared" si="22"/>
        <v>12000</v>
      </c>
      <c r="H377">
        <f t="shared" si="23"/>
        <v>1</v>
      </c>
      <c r="I377" t="str">
        <f t="shared" si="21"/>
        <v>ACEITE JOHNSON X100ML</v>
      </c>
    </row>
    <row r="378" spans="1:9">
      <c r="A378" t="s">
        <v>775</v>
      </c>
      <c r="B378" s="23">
        <v>1</v>
      </c>
      <c r="C378" s="51">
        <v>0</v>
      </c>
      <c r="D378" s="446" t="s">
        <v>1309</v>
      </c>
      <c r="E378" s="39" t="s">
        <v>776</v>
      </c>
      <c r="F378" s="42">
        <v>7703038862031</v>
      </c>
      <c r="G378">
        <f t="shared" si="22"/>
        <v>4000</v>
      </c>
      <c r="H378">
        <f t="shared" si="23"/>
        <v>10</v>
      </c>
      <c r="I378" t="str">
        <f t="shared" si="21"/>
        <v>AMOXICILINA CAPSULAS X300 LAPROFF</v>
      </c>
    </row>
    <row r="379" spans="1:9">
      <c r="A379" t="s">
        <v>2980</v>
      </c>
      <c r="B379" s="23">
        <v>1</v>
      </c>
      <c r="C379" s="23">
        <v>0</v>
      </c>
      <c r="D379" s="446" t="s">
        <v>808</v>
      </c>
      <c r="E379" s="41" t="s">
        <v>2981</v>
      </c>
      <c r="F379" s="42">
        <v>7702057708962</v>
      </c>
      <c r="G379">
        <f t="shared" si="22"/>
        <v>13000</v>
      </c>
      <c r="H379">
        <f t="shared" si="23"/>
        <v>10</v>
      </c>
      <c r="I379" t="str">
        <f t="shared" si="21"/>
        <v>ACETAMINOFEN + CODEINA 325/8 MG X20 TABLETAS</v>
      </c>
    </row>
    <row r="380" spans="1:9">
      <c r="A380" t="s">
        <v>292</v>
      </c>
      <c r="B380" s="23">
        <v>1</v>
      </c>
      <c r="C380" s="51">
        <v>0</v>
      </c>
      <c r="D380" s="446" t="s">
        <v>250</v>
      </c>
      <c r="E380" s="39" t="s">
        <v>294</v>
      </c>
      <c r="F380" s="42">
        <v>7705959885434</v>
      </c>
      <c r="G380">
        <f t="shared" si="22"/>
        <v>3500</v>
      </c>
      <c r="H380">
        <f t="shared" si="23"/>
        <v>1</v>
      </c>
      <c r="I380" t="str">
        <f t="shared" si="21"/>
        <v>BETAHISTINA 16MG - GENFAR X20</v>
      </c>
    </row>
    <row r="381" spans="1:9" ht="15">
      <c r="A381" s="16" t="s">
        <v>2539</v>
      </c>
      <c r="B381" s="35">
        <v>1</v>
      </c>
      <c r="C381" s="513">
        <v>0.19</v>
      </c>
      <c r="D381" s="379" t="s">
        <v>1450</v>
      </c>
      <c r="E381" s="73" t="s">
        <v>2540</v>
      </c>
      <c r="F381" s="110">
        <v>36600813719</v>
      </c>
      <c r="G381">
        <f t="shared" si="22"/>
        <v>17500</v>
      </c>
      <c r="H381">
        <f t="shared" si="23"/>
        <v>1</v>
      </c>
      <c r="I381" t="str">
        <f t="shared" si="21"/>
        <v>CHAPSTICK CEREZA</v>
      </c>
    </row>
    <row r="382" spans="1:9" ht="15">
      <c r="A382" s="16" t="s">
        <v>2541</v>
      </c>
      <c r="B382" s="35">
        <v>1</v>
      </c>
      <c r="C382" s="513">
        <v>0.19</v>
      </c>
      <c r="D382" s="379" t="s">
        <v>1450</v>
      </c>
      <c r="E382" s="73" t="s">
        <v>2540</v>
      </c>
      <c r="F382" s="110">
        <v>36600814013</v>
      </c>
      <c r="G382">
        <f t="shared" si="22"/>
        <v>17500</v>
      </c>
      <c r="H382">
        <f t="shared" si="23"/>
        <v>1</v>
      </c>
      <c r="I382" t="str">
        <f t="shared" si="21"/>
        <v>CHAPSTICK FRESA</v>
      </c>
    </row>
    <row r="383" spans="1:9" ht="15">
      <c r="A383" s="16" t="s">
        <v>2982</v>
      </c>
      <c r="B383" s="35">
        <v>1</v>
      </c>
      <c r="C383" s="513">
        <v>0.19</v>
      </c>
      <c r="D383" s="379" t="s">
        <v>1450</v>
      </c>
      <c r="E383" s="73" t="s">
        <v>2540</v>
      </c>
      <c r="F383" s="110">
        <v>36600814617</v>
      </c>
      <c r="G383">
        <f t="shared" si="22"/>
        <v>17500</v>
      </c>
      <c r="H383">
        <f t="shared" si="23"/>
        <v>1</v>
      </c>
      <c r="I383" t="str">
        <f t="shared" si="21"/>
        <v>CHAPSTICK MENTA</v>
      </c>
    </row>
    <row r="384" spans="1:9" ht="15">
      <c r="A384" s="13" t="s">
        <v>1976</v>
      </c>
      <c r="B384" s="14">
        <v>1</v>
      </c>
      <c r="C384" s="513">
        <v>0.19</v>
      </c>
      <c r="D384" s="321" t="s">
        <v>1366</v>
      </c>
      <c r="E384" s="13" t="s">
        <v>1525</v>
      </c>
      <c r="F384" s="61">
        <v>7702132002633</v>
      </c>
      <c r="G384">
        <f t="shared" si="22"/>
        <v>19000</v>
      </c>
      <c r="H384">
        <f t="shared" si="23"/>
        <v>1</v>
      </c>
      <c r="I384" t="str">
        <f t="shared" si="21"/>
        <v>CHAPSTICK ULTRA HUMECTANTE</v>
      </c>
    </row>
    <row r="385" spans="1:9" ht="15">
      <c r="A385" s="16" t="s">
        <v>2983</v>
      </c>
      <c r="B385" s="35">
        <v>1</v>
      </c>
      <c r="C385" s="513">
        <v>0.19</v>
      </c>
      <c r="D385" s="379" t="s">
        <v>74</v>
      </c>
      <c r="E385" s="73" t="s">
        <v>2540</v>
      </c>
      <c r="F385" s="110">
        <v>7702132009458</v>
      </c>
      <c r="G385">
        <f t="shared" si="22"/>
        <v>20000</v>
      </c>
      <c r="H385">
        <f t="shared" si="23"/>
        <v>1</v>
      </c>
      <c r="I385" t="str">
        <f t="shared" si="21"/>
        <v>CHAPSTICK HIDRATACION TOTAL CoQ10</v>
      </c>
    </row>
    <row r="386" spans="1:9" ht="15">
      <c r="A386" s="13" t="s">
        <v>1524</v>
      </c>
      <c r="B386" s="14">
        <v>1</v>
      </c>
      <c r="C386" s="513">
        <v>0.19</v>
      </c>
      <c r="D386" s="379" t="s">
        <v>74</v>
      </c>
      <c r="E386" s="13" t="s">
        <v>1525</v>
      </c>
      <c r="F386" s="61">
        <v>7702132004606</v>
      </c>
      <c r="G386">
        <f t="shared" si="22"/>
        <v>20000</v>
      </c>
      <c r="H386">
        <f t="shared" si="23"/>
        <v>1</v>
      </c>
      <c r="I386" t="str">
        <f t="shared" si="21"/>
        <v>CHAPSTICK MEDICADO</v>
      </c>
    </row>
    <row r="387" spans="1:9">
      <c r="A387" s="24" t="s">
        <v>2976</v>
      </c>
      <c r="B387" s="30">
        <v>3</v>
      </c>
      <c r="C387" s="31">
        <v>0</v>
      </c>
      <c r="D387" s="447" t="s">
        <v>91</v>
      </c>
      <c r="E387" s="8" t="s">
        <v>2977</v>
      </c>
      <c r="F387" s="63">
        <v>7703038067320</v>
      </c>
      <c r="G387">
        <f t="shared" si="22"/>
        <v>16000</v>
      </c>
      <c r="H387">
        <f t="shared" si="23"/>
        <v>1</v>
      </c>
      <c r="I387" t="str">
        <f t="shared" ref="I387:I450" si="24">TRIM(A387)</f>
        <v>ENERZINC - SULFATO DE ZINC SUSP X120ML</v>
      </c>
    </row>
    <row r="388" spans="1:9" ht="15">
      <c r="A388" s="45" t="s">
        <v>2984</v>
      </c>
      <c r="B388" s="37">
        <v>1</v>
      </c>
      <c r="C388" s="164">
        <v>0.19</v>
      </c>
      <c r="D388" s="376" t="s">
        <v>1429</v>
      </c>
      <c r="E388" s="74" t="s">
        <v>928</v>
      </c>
      <c r="F388" s="46">
        <v>7702027479625</v>
      </c>
      <c r="G388">
        <f t="shared" si="22"/>
        <v>28000</v>
      </c>
      <c r="H388">
        <f t="shared" si="23"/>
        <v>9</v>
      </c>
      <c r="I388" t="str">
        <f t="shared" si="24"/>
        <v>TENA SLIP CLASICO M *9</v>
      </c>
    </row>
    <row r="389" spans="1:9">
      <c r="A389" s="24" t="s">
        <v>2327</v>
      </c>
      <c r="B389" s="30">
        <v>1</v>
      </c>
      <c r="C389" s="31">
        <v>0.19</v>
      </c>
      <c r="D389" s="447" t="s">
        <v>2985</v>
      </c>
      <c r="E389" s="8" t="s">
        <v>2328</v>
      </c>
      <c r="F389" s="63">
        <v>7702027479632</v>
      </c>
      <c r="G389">
        <f t="shared" si="22"/>
        <v>62000</v>
      </c>
      <c r="H389">
        <f t="shared" si="23"/>
        <v>21</v>
      </c>
      <c r="I389" t="str">
        <f t="shared" si="24"/>
        <v>TENA SLIP COMFORT TALLA M X21</v>
      </c>
    </row>
    <row r="390" spans="1:9">
      <c r="A390" t="s">
        <v>1246</v>
      </c>
      <c r="B390" s="23">
        <v>2</v>
      </c>
      <c r="C390" s="238">
        <v>0</v>
      </c>
      <c r="D390" s="446" t="s">
        <v>203</v>
      </c>
      <c r="E390" s="39" t="s">
        <v>921</v>
      </c>
      <c r="F390" s="42">
        <v>6921875009230</v>
      </c>
      <c r="G390">
        <f t="shared" si="22"/>
        <v>4500</v>
      </c>
      <c r="H390">
        <f t="shared" si="23"/>
        <v>10</v>
      </c>
      <c r="I390" t="str">
        <f t="shared" si="24"/>
        <v>AMPIDELT - AMPICILINA 500MG - CAPSULAS</v>
      </c>
    </row>
    <row r="391" spans="1:9">
      <c r="A391" s="64" t="s">
        <v>1607</v>
      </c>
      <c r="B391" s="102">
        <v>6</v>
      </c>
      <c r="C391" s="101">
        <v>0</v>
      </c>
      <c r="D391" s="443" t="s">
        <v>408</v>
      </c>
      <c r="E391" s="64" t="s">
        <v>1519</v>
      </c>
      <c r="F391" s="103">
        <v>7707274722715</v>
      </c>
      <c r="G391">
        <f t="shared" si="22"/>
        <v>9000</v>
      </c>
      <c r="H391">
        <f t="shared" si="23"/>
        <v>10</v>
      </c>
      <c r="I391" t="str">
        <f t="shared" si="24"/>
        <v>PROCATEC - CIPROFLOXACINO TAB</v>
      </c>
    </row>
    <row r="392" spans="1:9">
      <c r="A392" s="8" t="s">
        <v>2986</v>
      </c>
      <c r="B392" s="30">
        <v>3</v>
      </c>
      <c r="C392" s="173">
        <v>0</v>
      </c>
      <c r="D392" s="447" t="s">
        <v>88</v>
      </c>
      <c r="E392" s="8" t="s">
        <v>2987</v>
      </c>
      <c r="F392" s="63">
        <v>7612797196953</v>
      </c>
      <c r="G392">
        <f t="shared" si="22"/>
        <v>18000</v>
      </c>
      <c r="H392">
        <f t="shared" si="23"/>
        <v>1</v>
      </c>
      <c r="I392" t="str">
        <f t="shared" si="24"/>
        <v>VOLTAREN AMPOLLA / CAJA X5 AMPÒLLAS</v>
      </c>
    </row>
    <row r="393" spans="1:9" ht="15">
      <c r="A393" s="56" t="s">
        <v>1916</v>
      </c>
      <c r="B393" s="153">
        <v>1</v>
      </c>
      <c r="C393" s="293">
        <v>0.19</v>
      </c>
      <c r="D393" s="375" t="s">
        <v>358</v>
      </c>
      <c r="E393" s="152" t="s">
        <v>1917</v>
      </c>
      <c r="F393" s="155">
        <v>7709990750942</v>
      </c>
      <c r="G393">
        <f t="shared" si="22"/>
        <v>500</v>
      </c>
      <c r="H393">
        <f t="shared" si="23"/>
        <v>1</v>
      </c>
      <c r="I393" t="str">
        <f t="shared" si="24"/>
        <v>JERINGA 5ML- DISPACOL</v>
      </c>
    </row>
    <row r="394" spans="1:9">
      <c r="A394" t="s">
        <v>2988</v>
      </c>
      <c r="B394" s="23">
        <v>2</v>
      </c>
      <c r="C394" s="23">
        <v>0</v>
      </c>
      <c r="D394" s="446" t="s">
        <v>91</v>
      </c>
      <c r="E394" s="41" t="s">
        <v>1870</v>
      </c>
      <c r="F394" s="42">
        <v>6141434296370</v>
      </c>
      <c r="G394">
        <f t="shared" si="22"/>
        <v>16000</v>
      </c>
      <c r="H394">
        <f t="shared" si="23"/>
        <v>1</v>
      </c>
      <c r="I394" t="str">
        <f t="shared" si="24"/>
        <v>ZARZAPARRILLA - ZAR X360ML</v>
      </c>
    </row>
    <row r="395" spans="1:9">
      <c r="A395" s="39" t="s">
        <v>2393</v>
      </c>
      <c r="B395" s="23">
        <v>4</v>
      </c>
      <c r="C395" s="51">
        <v>0</v>
      </c>
      <c r="D395" s="446" t="s">
        <v>109</v>
      </c>
      <c r="E395" s="41" t="s">
        <v>513</v>
      </c>
      <c r="F395" s="42">
        <v>7703038779087</v>
      </c>
      <c r="G395">
        <f t="shared" si="22"/>
        <v>10000</v>
      </c>
      <c r="H395">
        <f t="shared" si="23"/>
        <v>1</v>
      </c>
      <c r="I395" t="str">
        <f t="shared" si="24"/>
        <v>BETAMETASONA 0,1% X40GR</v>
      </c>
    </row>
    <row r="396" spans="1:9">
      <c r="A396" t="s">
        <v>352</v>
      </c>
      <c r="B396" s="23">
        <v>3</v>
      </c>
      <c r="C396" s="51">
        <v>0</v>
      </c>
      <c r="D396" s="446" t="s">
        <v>353</v>
      </c>
      <c r="E396" s="41" t="s">
        <v>107</v>
      </c>
      <c r="F396" s="42">
        <v>7702057710262</v>
      </c>
      <c r="G396">
        <f t="shared" si="22"/>
        <v>32000</v>
      </c>
      <c r="H396">
        <f t="shared" si="23"/>
        <v>30</v>
      </c>
      <c r="I396" t="str">
        <f t="shared" si="24"/>
        <v>CARVEDILOL 25MG X30 / MK</v>
      </c>
    </row>
    <row r="397" spans="1:9">
      <c r="A397" s="22" t="s">
        <v>2394</v>
      </c>
      <c r="B397" s="11">
        <v>4</v>
      </c>
      <c r="C397" s="194">
        <v>0</v>
      </c>
      <c r="D397" s="446" t="s">
        <v>747</v>
      </c>
      <c r="E397" s="41" t="s">
        <v>2395</v>
      </c>
      <c r="F397" s="273">
        <v>7702195210587</v>
      </c>
      <c r="G397">
        <f t="shared" si="22"/>
        <v>14000</v>
      </c>
      <c r="H397">
        <f t="shared" si="23"/>
        <v>1</v>
      </c>
      <c r="I397" t="str">
        <f t="shared" si="24"/>
        <v>DESONIDA 0,1% - RECIPE</v>
      </c>
    </row>
    <row r="398" spans="1:9">
      <c r="A398" s="141" t="s">
        <v>2396</v>
      </c>
      <c r="B398" s="147">
        <v>4</v>
      </c>
      <c r="C398" s="234">
        <v>0</v>
      </c>
      <c r="D398" s="485" t="s">
        <v>118</v>
      </c>
      <c r="E398" s="159" t="s">
        <v>2397</v>
      </c>
      <c r="F398" s="42">
        <v>7702195205682</v>
      </c>
      <c r="G398">
        <f t="shared" si="22"/>
        <v>13000</v>
      </c>
      <c r="H398">
        <f t="shared" si="23"/>
        <v>1</v>
      </c>
      <c r="I398" t="str">
        <f t="shared" si="24"/>
        <v>DESONIDA 0,05% *15GR RECIPE</v>
      </c>
    </row>
    <row r="399" spans="1:9">
      <c r="A399" t="s">
        <v>96</v>
      </c>
      <c r="B399" s="23">
        <v>2</v>
      </c>
      <c r="C399" s="51">
        <v>0</v>
      </c>
      <c r="D399" s="446" t="s">
        <v>2271</v>
      </c>
      <c r="E399" s="39" t="s">
        <v>98</v>
      </c>
      <c r="F399" s="42">
        <v>7703712030275</v>
      </c>
      <c r="G399">
        <f t="shared" si="22"/>
        <v>9000</v>
      </c>
      <c r="H399">
        <f t="shared" si="23"/>
        <v>50</v>
      </c>
      <c r="I399" t="str">
        <f t="shared" si="24"/>
        <v>ENALAPRIL 5MG COASPHARMA X50 TABLETAS</v>
      </c>
    </row>
    <row r="400" spans="1:9">
      <c r="A400" t="s">
        <v>518</v>
      </c>
      <c r="B400" s="23">
        <v>1</v>
      </c>
      <c r="C400" s="51">
        <v>0</v>
      </c>
      <c r="D400" s="446" t="s">
        <v>519</v>
      </c>
      <c r="E400" s="39" t="s">
        <v>520</v>
      </c>
      <c r="F400" s="42">
        <v>650240073199</v>
      </c>
      <c r="G400">
        <f t="shared" si="22"/>
        <v>4500</v>
      </c>
      <c r="H400">
        <f t="shared" si="23"/>
        <v>1</v>
      </c>
      <c r="I400" t="str">
        <f t="shared" si="24"/>
        <v>NIKZON CAPSULAS X28 -</v>
      </c>
    </row>
    <row r="401" spans="1:9">
      <c r="A401" t="s">
        <v>866</v>
      </c>
      <c r="B401" s="23">
        <v>4</v>
      </c>
      <c r="C401" s="51">
        <v>0</v>
      </c>
      <c r="D401" s="446" t="s">
        <v>91</v>
      </c>
      <c r="E401" s="41" t="s">
        <v>513</v>
      </c>
      <c r="F401" s="42">
        <v>7704412509726</v>
      </c>
      <c r="G401">
        <f t="shared" si="22"/>
        <v>16000</v>
      </c>
      <c r="H401">
        <f t="shared" si="23"/>
        <v>1</v>
      </c>
      <c r="I401" t="str">
        <f t="shared" si="24"/>
        <v>TOTTYS CREMA / NISTATINA + OXIDO DE ZINC</v>
      </c>
    </row>
    <row r="402" spans="1:9">
      <c r="A402" s="13" t="s">
        <v>1320</v>
      </c>
      <c r="B402" s="14">
        <v>1</v>
      </c>
      <c r="C402" s="105">
        <v>0</v>
      </c>
      <c r="D402" s="308" t="s">
        <v>458</v>
      </c>
      <c r="E402" s="13" t="s">
        <v>184</v>
      </c>
      <c r="F402" s="61">
        <v>7709990384949</v>
      </c>
      <c r="G402">
        <f t="shared" si="22"/>
        <v>35000</v>
      </c>
      <c r="H402">
        <f t="shared" si="23"/>
        <v>1</v>
      </c>
      <c r="I402" t="str">
        <f t="shared" si="24"/>
        <v>UNESIA *20GR</v>
      </c>
    </row>
    <row r="403" spans="1:9">
      <c r="A403" s="7" t="s">
        <v>2401</v>
      </c>
      <c r="B403" s="30">
        <v>25</v>
      </c>
      <c r="C403" s="128">
        <v>0</v>
      </c>
      <c r="D403" s="480" t="s">
        <v>10</v>
      </c>
      <c r="E403" s="7" t="s">
        <v>2402</v>
      </c>
      <c r="F403" s="129">
        <v>7702896002320</v>
      </c>
      <c r="G403">
        <f t="shared" si="22"/>
        <v>8000</v>
      </c>
      <c r="H403">
        <f t="shared" si="23"/>
        <v>1</v>
      </c>
      <c r="I403" t="str">
        <f t="shared" si="24"/>
        <v>TRAMASINDOL - TRAMADOL GOTAS BLASKOV</v>
      </c>
    </row>
    <row r="404" spans="1:9">
      <c r="A404" s="28" t="s">
        <v>275</v>
      </c>
      <c r="B404" s="14">
        <v>2</v>
      </c>
      <c r="C404" s="105">
        <v>0</v>
      </c>
      <c r="D404" s="308" t="s">
        <v>1116</v>
      </c>
      <c r="E404" s="7" t="s">
        <v>1117</v>
      </c>
      <c r="F404" s="63">
        <v>7703445040015</v>
      </c>
      <c r="G404">
        <f t="shared" si="22"/>
        <v>23000</v>
      </c>
      <c r="H404">
        <f t="shared" si="23"/>
        <v>1</v>
      </c>
      <c r="I404" t="str">
        <f t="shared" si="24"/>
        <v>MONURIL 3G - FOSFOMICINA</v>
      </c>
    </row>
    <row r="405" spans="1:9">
      <c r="A405" s="24" t="s">
        <v>841</v>
      </c>
      <c r="B405" s="30">
        <v>3</v>
      </c>
      <c r="C405" s="31">
        <v>0</v>
      </c>
      <c r="D405" s="447" t="s">
        <v>718</v>
      </c>
      <c r="E405" s="7" t="s">
        <v>273</v>
      </c>
      <c r="F405" s="63">
        <v>7703432425542</v>
      </c>
      <c r="G405">
        <f t="shared" si="22"/>
        <v>8000</v>
      </c>
      <c r="H405">
        <f t="shared" si="23"/>
        <v>30</v>
      </c>
      <c r="I405" t="str">
        <f t="shared" si="24"/>
        <v>PRAZOSINA 1MG</v>
      </c>
    </row>
    <row r="406" spans="1:9" ht="28.5">
      <c r="A406" s="22" t="s">
        <v>2404</v>
      </c>
      <c r="B406" s="23">
        <v>1</v>
      </c>
      <c r="C406" s="51">
        <v>0.19</v>
      </c>
      <c r="D406" s="308" t="s">
        <v>1565</v>
      </c>
      <c r="E406" s="41" t="s">
        <v>769</v>
      </c>
      <c r="F406" s="42">
        <v>7707056200028</v>
      </c>
      <c r="G406">
        <f t="shared" si="22"/>
        <v>48000</v>
      </c>
      <c r="H406">
        <f t="shared" si="23"/>
        <v>1</v>
      </c>
      <c r="I406" t="str">
        <f t="shared" si="24"/>
        <v>VITACEREBRINA LIMON JARABE</v>
      </c>
    </row>
    <row r="407" spans="1:9" ht="28.5">
      <c r="A407" s="22" t="s">
        <v>767</v>
      </c>
      <c r="B407" s="23">
        <v>2</v>
      </c>
      <c r="C407" s="51">
        <v>0.19</v>
      </c>
      <c r="D407" s="308" t="s">
        <v>2405</v>
      </c>
      <c r="E407" s="41" t="s">
        <v>769</v>
      </c>
      <c r="F407" s="42">
        <v>7707056200035</v>
      </c>
      <c r="G407">
        <f t="shared" si="22"/>
        <v>54500</v>
      </c>
      <c r="H407">
        <f t="shared" si="23"/>
        <v>1</v>
      </c>
      <c r="I407" t="str">
        <f t="shared" si="24"/>
        <v>VITACEREBRINA CEREZA JARABE</v>
      </c>
    </row>
    <row r="408" spans="1:9" ht="15">
      <c r="A408" s="73" t="s">
        <v>2027</v>
      </c>
      <c r="B408" s="35">
        <v>2</v>
      </c>
      <c r="C408" s="307">
        <v>0</v>
      </c>
      <c r="D408" s="477" t="s">
        <v>26</v>
      </c>
      <c r="E408" s="73" t="s">
        <v>11</v>
      </c>
      <c r="F408" s="110">
        <v>7702870002766</v>
      </c>
      <c r="G408">
        <f t="shared" si="22"/>
        <v>30000</v>
      </c>
      <c r="H408">
        <f t="shared" si="23"/>
        <v>1</v>
      </c>
      <c r="I408" t="str">
        <f t="shared" si="24"/>
        <v>YAX X21</v>
      </c>
    </row>
    <row r="409" spans="1:9">
      <c r="A409" t="s">
        <v>1726</v>
      </c>
      <c r="B409" s="23">
        <v>2</v>
      </c>
      <c r="C409" s="51">
        <v>0</v>
      </c>
      <c r="D409" s="446" t="s">
        <v>59</v>
      </c>
      <c r="E409" s="41" t="s">
        <v>1727</v>
      </c>
      <c r="F409" s="42">
        <v>7707232099095</v>
      </c>
      <c r="G409">
        <f t="shared" si="22"/>
        <v>3000</v>
      </c>
      <c r="H409">
        <f t="shared" si="23"/>
        <v>1</v>
      </c>
      <c r="I409" t="str">
        <f t="shared" si="24"/>
        <v>ACTIVOX ICE / POLEN + VITAMINA C + MIEL + PROPOLEO</v>
      </c>
    </row>
    <row r="410" spans="1:9">
      <c r="A410" t="s">
        <v>2409</v>
      </c>
      <c r="B410" s="23">
        <v>2</v>
      </c>
      <c r="C410" s="51">
        <v>19</v>
      </c>
      <c r="D410" s="446" t="s">
        <v>358</v>
      </c>
      <c r="E410" s="41" t="s">
        <v>2410</v>
      </c>
      <c r="F410" s="42">
        <v>7702037510981</v>
      </c>
      <c r="G410">
        <f t="shared" si="22"/>
        <v>500</v>
      </c>
      <c r="H410">
        <f t="shared" si="23"/>
        <v>1</v>
      </c>
      <c r="I410" t="str">
        <f t="shared" si="24"/>
        <v>JERINGA 5ML - PRECISION CARE X100 UDS</v>
      </c>
    </row>
    <row r="411" spans="1:9">
      <c r="A411" s="69" t="s">
        <v>2411</v>
      </c>
      <c r="B411" s="14">
        <v>1</v>
      </c>
      <c r="C411" s="105">
        <v>0</v>
      </c>
      <c r="D411" s="308" t="s">
        <v>59</v>
      </c>
      <c r="E411" s="12" t="s">
        <v>2171</v>
      </c>
      <c r="F411" s="61">
        <v>7707232094953</v>
      </c>
      <c r="G411">
        <f t="shared" si="22"/>
        <v>3000</v>
      </c>
      <c r="H411">
        <f t="shared" si="23"/>
        <v>1</v>
      </c>
      <c r="I411" t="str">
        <f t="shared" si="24"/>
        <v>MIELTERTOS LYPTUS BOMBONERA - X25 SOBRES</v>
      </c>
    </row>
    <row r="412" spans="1:9">
      <c r="A412" s="24" t="s">
        <v>368</v>
      </c>
      <c r="B412" s="30">
        <v>2</v>
      </c>
      <c r="C412" s="31">
        <v>0</v>
      </c>
      <c r="D412" s="447" t="s">
        <v>10</v>
      </c>
      <c r="E412" s="8" t="s">
        <v>369</v>
      </c>
      <c r="F412" s="63">
        <v>7703712032002</v>
      </c>
      <c r="G412">
        <f t="shared" si="22"/>
        <v>8000</v>
      </c>
      <c r="H412">
        <f t="shared" si="23"/>
        <v>1</v>
      </c>
      <c r="I412" t="str">
        <f t="shared" si="24"/>
        <v>BENZOATO DE BENCILO COASPHARMA</v>
      </c>
    </row>
    <row r="413" spans="1:9" ht="28.5">
      <c r="A413" s="22" t="s">
        <v>969</v>
      </c>
      <c r="B413" s="23">
        <v>3</v>
      </c>
      <c r="C413" s="51">
        <v>0</v>
      </c>
      <c r="D413" s="446" t="s">
        <v>91</v>
      </c>
      <c r="E413" s="41" t="s">
        <v>970</v>
      </c>
      <c r="F413" s="42">
        <v>7707035510094</v>
      </c>
      <c r="G413">
        <f t="shared" si="22"/>
        <v>16000</v>
      </c>
      <c r="H413">
        <f t="shared" si="23"/>
        <v>1</v>
      </c>
      <c r="I413" t="str">
        <f t="shared" si="24"/>
        <v>CALYMAG SUSP PIÑA / HIDROXIDO ALUMINO + HIDROXIDO MAGNESIO + SIMETICONA</v>
      </c>
    </row>
    <row r="414" spans="1:9" ht="28.5">
      <c r="A414" s="22" t="s">
        <v>971</v>
      </c>
      <c r="B414" s="23">
        <v>3</v>
      </c>
      <c r="C414" s="51">
        <v>0</v>
      </c>
      <c r="D414" s="446" t="s">
        <v>91</v>
      </c>
      <c r="E414" s="41" t="s">
        <v>970</v>
      </c>
      <c r="F414" s="42">
        <v>7707035510063</v>
      </c>
      <c r="G414">
        <f t="shared" si="22"/>
        <v>16000</v>
      </c>
      <c r="H414">
        <f t="shared" si="23"/>
        <v>1</v>
      </c>
      <c r="I414" t="str">
        <f t="shared" si="24"/>
        <v>CALYMAG SUSP MANGO/ HIDROXIDO ALUMINO + HIDROXIDO MAGNESIO + SIMETICONA</v>
      </c>
    </row>
    <row r="415" spans="1:9">
      <c r="A415" s="12" t="s">
        <v>2412</v>
      </c>
      <c r="B415" s="14">
        <v>2</v>
      </c>
      <c r="C415" s="105">
        <v>0</v>
      </c>
      <c r="D415" s="308" t="s">
        <v>1984</v>
      </c>
      <c r="E415" s="12" t="s">
        <v>2413</v>
      </c>
      <c r="F415" s="61">
        <v>7707282990380</v>
      </c>
      <c r="G415">
        <f t="shared" ref="G415:G478" si="25">IFERROR(VALUE(SUBSTITUTE(LEFT(LOWER(D415),FIND("x",LOWER(D415))-1),",","")),VALUE(SUBSTITUTE(D415,",","")))</f>
        <v>1000</v>
      </c>
      <c r="H415">
        <f t="shared" ref="H415:H478" si="26">IFERROR(VALUE(MID(LOWER(D415),FIND("x",LOWER(D415))+1,20)),1)</f>
        <v>10</v>
      </c>
      <c r="I415" t="str">
        <f t="shared" si="24"/>
        <v>CURAS LARGAS- BEGUT X100</v>
      </c>
    </row>
    <row r="416" spans="1:9">
      <c r="A416" s="22" t="s">
        <v>955</v>
      </c>
      <c r="B416" s="23">
        <v>1</v>
      </c>
      <c r="C416" s="51">
        <v>0</v>
      </c>
      <c r="D416" s="446" t="s">
        <v>625</v>
      </c>
      <c r="E416" s="41" t="s">
        <v>956</v>
      </c>
      <c r="F416" s="42">
        <v>7702184020388</v>
      </c>
      <c r="G416">
        <f t="shared" si="25"/>
        <v>25000</v>
      </c>
      <c r="H416">
        <f t="shared" si="26"/>
        <v>1</v>
      </c>
      <c r="I416" t="str">
        <f t="shared" si="24"/>
        <v>FEXOFENADINA SUSP ECAR 30MG/5ML</v>
      </c>
    </row>
    <row r="417" spans="1:9">
      <c r="A417" t="s">
        <v>1999</v>
      </c>
      <c r="B417" s="23">
        <v>1</v>
      </c>
      <c r="C417" s="51">
        <v>0.19</v>
      </c>
      <c r="D417" s="446" t="s">
        <v>10</v>
      </c>
      <c r="E417" s="41" t="s">
        <v>2000</v>
      </c>
      <c r="F417" s="42">
        <v>7707271201794</v>
      </c>
      <c r="G417">
        <f t="shared" si="25"/>
        <v>8000</v>
      </c>
      <c r="H417">
        <f t="shared" si="26"/>
        <v>1</v>
      </c>
      <c r="I417" t="str">
        <f t="shared" si="24"/>
        <v>FORMOL 500ML - YOMA</v>
      </c>
    </row>
    <row r="418" spans="1:9">
      <c r="A418" s="41" t="s">
        <v>2414</v>
      </c>
      <c r="B418" s="23">
        <v>3</v>
      </c>
      <c r="C418" s="51">
        <v>0</v>
      </c>
      <c r="D418" s="446" t="s">
        <v>585</v>
      </c>
      <c r="E418" s="39" t="s">
        <v>2415</v>
      </c>
      <c r="F418" s="42">
        <v>7703712036376</v>
      </c>
      <c r="G418">
        <f t="shared" si="25"/>
        <v>6000</v>
      </c>
      <c r="H418">
        <f t="shared" si="26"/>
        <v>10</v>
      </c>
      <c r="I418" t="str">
        <f t="shared" si="24"/>
        <v>MELOXICAM 7,5 MG - COASPHARMA X10</v>
      </c>
    </row>
    <row r="419" spans="1:9">
      <c r="A419" s="71" t="s">
        <v>1781</v>
      </c>
      <c r="B419" s="14">
        <v>1</v>
      </c>
      <c r="C419" s="105">
        <v>0.19</v>
      </c>
      <c r="D419" s="308" t="s">
        <v>26</v>
      </c>
      <c r="E419" s="13" t="s">
        <v>364</v>
      </c>
      <c r="F419" s="61">
        <v>7794640171550</v>
      </c>
      <c r="G419">
        <f t="shared" si="25"/>
        <v>30000</v>
      </c>
      <c r="H419">
        <f t="shared" si="26"/>
        <v>1</v>
      </c>
      <c r="I419" t="str">
        <f t="shared" si="24"/>
        <v>SENSODYNE RÁPIDO ALIVIO X100GR</v>
      </c>
    </row>
    <row r="420" spans="1:9">
      <c r="A420" s="13" t="s">
        <v>2416</v>
      </c>
      <c r="B420" s="14">
        <v>1</v>
      </c>
      <c r="C420" s="105">
        <v>0.19</v>
      </c>
      <c r="D420" s="308" t="s">
        <v>2417</v>
      </c>
      <c r="E420" s="13" t="s">
        <v>2418</v>
      </c>
      <c r="F420" s="61">
        <v>7707016403940</v>
      </c>
      <c r="G420">
        <f t="shared" si="25"/>
        <v>63000</v>
      </c>
      <c r="H420">
        <f t="shared" si="26"/>
        <v>1</v>
      </c>
      <c r="I420" t="str">
        <f t="shared" si="24"/>
        <v>SUNDARK SPF 60 ADULTOS POTE *1200GR</v>
      </c>
    </row>
    <row r="421" spans="1:9">
      <c r="A421" s="159" t="s">
        <v>2268</v>
      </c>
      <c r="B421" s="147">
        <v>1</v>
      </c>
      <c r="C421" s="148">
        <v>0.19</v>
      </c>
      <c r="D421" s="444" t="s">
        <v>750</v>
      </c>
      <c r="E421" s="159" t="s">
        <v>2270</v>
      </c>
      <c r="F421" s="160">
        <v>7707016439499</v>
      </c>
      <c r="G421">
        <f t="shared" si="25"/>
        <v>34000</v>
      </c>
      <c r="H421">
        <f t="shared" si="26"/>
        <v>1</v>
      </c>
      <c r="I421" t="str">
        <f t="shared" si="24"/>
        <v>SUNDARK SPF 60 ADULTOS POTE *60GR</v>
      </c>
    </row>
    <row r="422" spans="1:9" ht="15">
      <c r="A422" s="43" t="s">
        <v>2239</v>
      </c>
      <c r="B422" s="37">
        <v>1</v>
      </c>
      <c r="C422" s="429">
        <v>0</v>
      </c>
      <c r="D422" s="376" t="s">
        <v>80</v>
      </c>
      <c r="E422" s="112" t="s">
        <v>332</v>
      </c>
      <c r="F422" s="115">
        <v>7702184020197</v>
      </c>
      <c r="G422">
        <f t="shared" si="25"/>
        <v>6000</v>
      </c>
      <c r="H422">
        <f t="shared" si="26"/>
        <v>1</v>
      </c>
      <c r="I422" t="str">
        <f t="shared" si="24"/>
        <v>TRIMETROPRIM SULFA 40/200 SUSP X120ML ECAR</v>
      </c>
    </row>
    <row r="423" spans="1:9">
      <c r="A423" s="24" t="s">
        <v>2419</v>
      </c>
      <c r="B423" s="30">
        <v>1</v>
      </c>
      <c r="C423" s="128">
        <v>0</v>
      </c>
      <c r="D423" s="480" t="s">
        <v>1116</v>
      </c>
      <c r="E423" s="7" t="s">
        <v>2420</v>
      </c>
      <c r="F423" s="129">
        <v>7707229970291</v>
      </c>
      <c r="G423">
        <f t="shared" si="25"/>
        <v>23000</v>
      </c>
      <c r="H423">
        <f t="shared" si="26"/>
        <v>1</v>
      </c>
      <c r="I423" t="str">
        <f t="shared" si="24"/>
        <v>VENOVIT</v>
      </c>
    </row>
    <row r="424" spans="1:9">
      <c r="A424" s="22" t="s">
        <v>1581</v>
      </c>
      <c r="B424" s="23">
        <v>1</v>
      </c>
      <c r="C424" s="51">
        <v>0</v>
      </c>
      <c r="D424" s="446" t="s">
        <v>2122</v>
      </c>
      <c r="E424" s="39" t="s">
        <v>1583</v>
      </c>
      <c r="F424" s="42">
        <v>751273776771</v>
      </c>
      <c r="G424">
        <f t="shared" si="25"/>
        <v>50000</v>
      </c>
      <c r="H424">
        <f t="shared" si="26"/>
        <v>60</v>
      </c>
      <c r="I424" t="str">
        <f t="shared" si="24"/>
        <v>OMEGA 3 - FISH OIL 1200MG - HELTHY AMERICA X60 SOFT GELS</v>
      </c>
    </row>
    <row r="425" spans="1:9">
      <c r="A425" s="22" t="s">
        <v>739</v>
      </c>
      <c r="B425" s="23">
        <v>2</v>
      </c>
      <c r="C425" s="51">
        <v>0</v>
      </c>
      <c r="D425" s="446" t="s">
        <v>740</v>
      </c>
      <c r="E425" s="39" t="s">
        <v>741</v>
      </c>
      <c r="F425" s="42">
        <v>7703038020097</v>
      </c>
      <c r="G425">
        <f t="shared" si="25"/>
        <v>20000</v>
      </c>
      <c r="H425">
        <f t="shared" si="26"/>
        <v>30</v>
      </c>
      <c r="I425" t="str">
        <f t="shared" si="24"/>
        <v>OROCAL SIMPLME 600MG - CARBONATO DE CALCIO</v>
      </c>
    </row>
    <row r="426" spans="1:9">
      <c r="A426" s="69" t="s">
        <v>362</v>
      </c>
      <c r="B426" s="14">
        <v>1</v>
      </c>
      <c r="C426" s="105">
        <v>0.19</v>
      </c>
      <c r="D426" s="308" t="s">
        <v>458</v>
      </c>
      <c r="E426" s="13" t="s">
        <v>364</v>
      </c>
      <c r="F426" s="211">
        <v>7794640170133</v>
      </c>
      <c r="G426">
        <f t="shared" si="25"/>
        <v>35000</v>
      </c>
      <c r="H426">
        <f t="shared" si="26"/>
        <v>1</v>
      </c>
      <c r="I426" t="str">
        <f t="shared" si="24"/>
        <v>CREMA DENTAL SENSODYNE REPARA Y PROTEGE</v>
      </c>
    </row>
    <row r="427" spans="1:9">
      <c r="A427" s="12" t="s">
        <v>722</v>
      </c>
      <c r="B427" s="14">
        <v>1</v>
      </c>
      <c r="C427" s="105">
        <v>0</v>
      </c>
      <c r="D427" s="308" t="s">
        <v>2421</v>
      </c>
      <c r="E427" s="13" t="s">
        <v>724</v>
      </c>
      <c r="F427" s="61">
        <v>300651431483</v>
      </c>
      <c r="G427">
        <f t="shared" si="25"/>
        <v>62000</v>
      </c>
      <c r="H427">
        <f t="shared" si="26"/>
        <v>1</v>
      </c>
      <c r="I427" t="str">
        <f t="shared" si="24"/>
        <v>SYSTANE ULTRA</v>
      </c>
    </row>
    <row r="428" spans="1:9">
      <c r="A428" s="13" t="s">
        <v>1335</v>
      </c>
      <c r="B428" s="14">
        <v>1</v>
      </c>
      <c r="C428" s="105">
        <v>0</v>
      </c>
      <c r="D428" s="308" t="s">
        <v>2422</v>
      </c>
      <c r="E428" s="13" t="s">
        <v>1337</v>
      </c>
      <c r="F428" s="61">
        <v>8437019299583</v>
      </c>
      <c r="G428">
        <f t="shared" si="25"/>
        <v>50000</v>
      </c>
      <c r="H428">
        <f t="shared" si="26"/>
        <v>1</v>
      </c>
      <c r="I428" t="str">
        <f t="shared" si="24"/>
        <v>SLINDA</v>
      </c>
    </row>
    <row r="429" spans="1:9">
      <c r="A429" s="39" t="s">
        <v>2423</v>
      </c>
      <c r="B429" s="23">
        <v>1</v>
      </c>
      <c r="C429" s="51">
        <v>0</v>
      </c>
      <c r="D429" s="446" t="s">
        <v>2424</v>
      </c>
      <c r="E429" s="39" t="s">
        <v>2425</v>
      </c>
      <c r="F429" s="42">
        <v>7795345123226</v>
      </c>
      <c r="G429">
        <f t="shared" si="25"/>
        <v>78000</v>
      </c>
      <c r="H429">
        <f t="shared" si="26"/>
        <v>16</v>
      </c>
      <c r="I429" t="str">
        <f t="shared" si="24"/>
        <v>AMOXICLIN DUO TAB 500MG/ 125 MG *16 TABS - AMOXICILINA + ACIDO CLAVULANICO</v>
      </c>
    </row>
    <row r="430" spans="1:9">
      <c r="A430" s="64" t="s">
        <v>616</v>
      </c>
      <c r="B430" s="102">
        <v>4</v>
      </c>
      <c r="C430" s="101">
        <v>0</v>
      </c>
      <c r="D430" s="443">
        <v>18000</v>
      </c>
      <c r="E430" s="64" t="s">
        <v>618</v>
      </c>
      <c r="F430" s="103">
        <v>7702870071465</v>
      </c>
      <c r="G430">
        <f t="shared" si="25"/>
        <v>18000</v>
      </c>
      <c r="H430">
        <f t="shared" si="26"/>
        <v>1</v>
      </c>
      <c r="I430" t="str">
        <f t="shared" si="24"/>
        <v>BELLAFACE SUAVE *28</v>
      </c>
    </row>
    <row r="431" spans="1:9">
      <c r="A431" s="69" t="s">
        <v>2427</v>
      </c>
      <c r="B431" s="14">
        <v>1</v>
      </c>
      <c r="C431" s="105">
        <v>0.19</v>
      </c>
      <c r="D431" s="308" t="s">
        <v>59</v>
      </c>
      <c r="E431" s="12" t="s">
        <v>2171</v>
      </c>
      <c r="F431" s="61">
        <v>7707772810747</v>
      </c>
      <c r="G431">
        <f t="shared" si="25"/>
        <v>3000</v>
      </c>
      <c r="H431">
        <f t="shared" si="26"/>
        <v>1</v>
      </c>
      <c r="I431" t="str">
        <f t="shared" si="24"/>
        <v>MIELTERTOS LYPTUS *12 SOBRES - ZERO</v>
      </c>
    </row>
    <row r="432" spans="1:9">
      <c r="A432" s="71" t="s">
        <v>460</v>
      </c>
      <c r="B432" s="14">
        <v>1</v>
      </c>
      <c r="C432" s="136">
        <v>0</v>
      </c>
      <c r="D432" s="469" t="s">
        <v>133</v>
      </c>
      <c r="E432" s="13" t="s">
        <v>280</v>
      </c>
      <c r="F432" s="61">
        <v>7703038020103</v>
      </c>
      <c r="G432">
        <f t="shared" si="25"/>
        <v>16000</v>
      </c>
      <c r="H432">
        <f t="shared" si="26"/>
        <v>30</v>
      </c>
      <c r="I432" t="str">
        <f t="shared" si="24"/>
        <v>OROCAL D - CARBONATO DE CALCIO + VIT D 600 + 200 (1500/300)</v>
      </c>
    </row>
    <row r="433" spans="1:9">
      <c r="A433" t="s">
        <v>2428</v>
      </c>
      <c r="B433" s="23">
        <v>2</v>
      </c>
      <c r="C433" s="51">
        <v>0</v>
      </c>
      <c r="D433" s="446" t="s">
        <v>109</v>
      </c>
      <c r="E433" s="41" t="s">
        <v>2429</v>
      </c>
      <c r="F433" s="42">
        <v>7709141546004</v>
      </c>
      <c r="G433">
        <f t="shared" si="25"/>
        <v>10000</v>
      </c>
      <c r="H433">
        <f t="shared" si="26"/>
        <v>1</v>
      </c>
      <c r="I433" t="str">
        <f t="shared" si="24"/>
        <v>PIROXICAM GEL 0,5% - X40GR</v>
      </c>
    </row>
    <row r="434" spans="1:9">
      <c r="A434" t="s">
        <v>2006</v>
      </c>
      <c r="B434" s="23">
        <v>3</v>
      </c>
      <c r="C434" s="51">
        <v>0</v>
      </c>
      <c r="D434" s="446" t="s">
        <v>408</v>
      </c>
      <c r="E434" s="39" t="s">
        <v>2008</v>
      </c>
      <c r="F434" s="42">
        <v>8904159624150</v>
      </c>
      <c r="G434">
        <f t="shared" si="25"/>
        <v>9000</v>
      </c>
      <c r="H434">
        <f t="shared" si="26"/>
        <v>10</v>
      </c>
      <c r="I434" t="str">
        <f t="shared" si="24"/>
        <v>PREGABALINA 75MG - EPIBALIN X30</v>
      </c>
    </row>
    <row r="435" spans="1:9">
      <c r="A435" s="24" t="s">
        <v>1572</v>
      </c>
      <c r="B435" s="30">
        <v>1</v>
      </c>
      <c r="C435" s="31">
        <v>0</v>
      </c>
      <c r="D435" s="447" t="s">
        <v>808</v>
      </c>
      <c r="E435" s="8" t="s">
        <v>1573</v>
      </c>
      <c r="F435" s="63">
        <v>8901463122280</v>
      </c>
      <c r="G435">
        <f t="shared" si="25"/>
        <v>13000</v>
      </c>
      <c r="H435">
        <f t="shared" si="26"/>
        <v>10</v>
      </c>
      <c r="I435" t="str">
        <f t="shared" si="24"/>
        <v>TAMSULOSINA CLORHIDRATO - DEMULIN ER 0,4MG</v>
      </c>
    </row>
    <row r="436" spans="1:9" ht="15">
      <c r="A436" s="56" t="s">
        <v>2432</v>
      </c>
      <c r="B436" s="153">
        <v>2</v>
      </c>
      <c r="C436" s="55">
        <v>0.19</v>
      </c>
      <c r="D436" s="375" t="s">
        <v>2433</v>
      </c>
      <c r="E436" s="152" t="s">
        <v>1917</v>
      </c>
      <c r="F436" s="155">
        <v>7709990750973</v>
      </c>
      <c r="G436" t="e">
        <f t="shared" si="25"/>
        <v>#VALUE!</v>
      </c>
      <c r="H436">
        <f t="shared" si="26"/>
        <v>1</v>
      </c>
      <c r="I436" t="str">
        <f t="shared" si="24"/>
        <v>JERINGA 3ML- DISPACOL</v>
      </c>
    </row>
    <row r="437" spans="1:9">
      <c r="A437" s="22" t="s">
        <v>2434</v>
      </c>
      <c r="B437" s="23">
        <v>10</v>
      </c>
      <c r="C437" s="51">
        <v>0</v>
      </c>
      <c r="D437" s="446" t="s">
        <v>384</v>
      </c>
      <c r="E437" s="41" t="s">
        <v>2435</v>
      </c>
      <c r="F437" s="42">
        <v>7709277050857</v>
      </c>
      <c r="G437">
        <f t="shared" si="25"/>
        <v>1000</v>
      </c>
      <c r="H437">
        <f t="shared" si="26"/>
        <v>1</v>
      </c>
      <c r="I437" t="str">
        <f t="shared" si="24"/>
        <v>RESGRIPFAR PLUS X10 CAPSULAS / ACETA + CAFE+ CETIRI+FENILEF</v>
      </c>
    </row>
    <row r="438" spans="1:9">
      <c r="A438" s="22" t="s">
        <v>2436</v>
      </c>
      <c r="B438" s="11">
        <v>2</v>
      </c>
      <c r="C438" s="194">
        <v>0</v>
      </c>
      <c r="D438" s="483" t="s">
        <v>88</v>
      </c>
      <c r="E438" s="41" t="s">
        <v>743</v>
      </c>
      <c r="F438" s="273">
        <v>7703763334025</v>
      </c>
      <c r="G438">
        <f t="shared" si="25"/>
        <v>18000</v>
      </c>
      <c r="H438">
        <f t="shared" si="26"/>
        <v>1</v>
      </c>
      <c r="I438" t="str">
        <f t="shared" si="24"/>
        <v>OXIMETAZOLINA PEDIATRICA LA SANTE 0,025%</v>
      </c>
    </row>
    <row r="439" spans="1:9">
      <c r="A439" s="13" t="s">
        <v>1193</v>
      </c>
      <c r="B439" s="14">
        <v>1</v>
      </c>
      <c r="C439" s="105">
        <v>0</v>
      </c>
      <c r="D439" s="308" t="s">
        <v>1560</v>
      </c>
      <c r="E439" s="13" t="s">
        <v>1195</v>
      </c>
      <c r="F439" s="61">
        <v>7702057018054</v>
      </c>
      <c r="G439">
        <f t="shared" si="25"/>
        <v>54000</v>
      </c>
      <c r="H439">
        <f t="shared" si="26"/>
        <v>1</v>
      </c>
      <c r="I439" t="str">
        <f t="shared" si="24"/>
        <v>BENZIRIN VERDE SPRAY</v>
      </c>
    </row>
    <row r="440" spans="1:9">
      <c r="A440" s="24" t="s">
        <v>2437</v>
      </c>
      <c r="B440" s="14">
        <v>5</v>
      </c>
      <c r="C440" s="105">
        <v>0</v>
      </c>
      <c r="D440" s="308" t="s">
        <v>2438</v>
      </c>
      <c r="E440" s="8" t="s">
        <v>2439</v>
      </c>
      <c r="F440" s="63">
        <v>7702870002728</v>
      </c>
      <c r="G440">
        <f t="shared" si="25"/>
        <v>15000</v>
      </c>
      <c r="H440">
        <f t="shared" si="26"/>
        <v>2</v>
      </c>
      <c r="I440" t="str">
        <f t="shared" si="24"/>
        <v>POST DAY *2 TAB</v>
      </c>
    </row>
    <row r="441" spans="1:9">
      <c r="A441" t="s">
        <v>2440</v>
      </c>
      <c r="B441" s="23">
        <v>1</v>
      </c>
      <c r="C441" s="51">
        <v>0</v>
      </c>
      <c r="D441" s="446" t="s">
        <v>188</v>
      </c>
      <c r="E441" s="41" t="s">
        <v>2441</v>
      </c>
      <c r="F441" s="42">
        <v>7707355053660</v>
      </c>
      <c r="G441">
        <f t="shared" si="25"/>
        <v>32000</v>
      </c>
      <c r="H441">
        <f t="shared" si="26"/>
        <v>1</v>
      </c>
      <c r="I441" t="str">
        <f t="shared" si="24"/>
        <v>BRONCOCHEM F ADULTOS</v>
      </c>
    </row>
    <row r="442" spans="1:9">
      <c r="A442" s="13" t="s">
        <v>271</v>
      </c>
      <c r="B442" s="14">
        <v>8</v>
      </c>
      <c r="C442" s="105">
        <v>0</v>
      </c>
      <c r="D442" s="308" t="s">
        <v>272</v>
      </c>
      <c r="E442" s="13" t="s">
        <v>273</v>
      </c>
      <c r="F442" s="61">
        <v>7703432422237</v>
      </c>
      <c r="G442">
        <f t="shared" si="25"/>
        <v>5000</v>
      </c>
      <c r="H442">
        <f t="shared" si="26"/>
        <v>30</v>
      </c>
      <c r="I442" t="str">
        <f t="shared" si="24"/>
        <v>LOSARTAN 50MG - EXPOFARMA X30</v>
      </c>
    </row>
    <row r="443" spans="1:9" ht="15">
      <c r="A443" s="16" t="s">
        <v>2443</v>
      </c>
      <c r="B443" s="17">
        <v>4</v>
      </c>
      <c r="C443" s="124">
        <v>0</v>
      </c>
      <c r="D443" s="321" t="s">
        <v>7</v>
      </c>
      <c r="E443" s="73" t="s">
        <v>1639</v>
      </c>
      <c r="F443" s="20">
        <v>7703038065616</v>
      </c>
      <c r="G443">
        <f t="shared" si="25"/>
        <v>7000</v>
      </c>
      <c r="H443">
        <f t="shared" si="26"/>
        <v>1</v>
      </c>
      <c r="I443" t="str">
        <f t="shared" si="24"/>
        <v>SALBUTAMOL JARABE - LAPROFF</v>
      </c>
    </row>
    <row r="444" spans="1:9">
      <c r="A444" t="s">
        <v>2100</v>
      </c>
      <c r="B444" s="23">
        <v>5</v>
      </c>
      <c r="C444" s="51">
        <v>0.19</v>
      </c>
      <c r="D444" s="446" t="s">
        <v>2445</v>
      </c>
      <c r="E444" s="41" t="s">
        <v>2101</v>
      </c>
      <c r="F444" s="42">
        <v>7709198383485</v>
      </c>
      <c r="G444">
        <f t="shared" si="25"/>
        <v>10000</v>
      </c>
      <c r="H444">
        <f t="shared" si="26"/>
        <v>1</v>
      </c>
      <c r="I444" t="str">
        <f t="shared" si="24"/>
        <v>TERMOMETRO DIGITAL - ZJK MT091 PUNTA DURA</v>
      </c>
    </row>
    <row r="445" spans="1:9" ht="28.5">
      <c r="A445" s="71" t="s">
        <v>2223</v>
      </c>
      <c r="B445" s="14">
        <v>3</v>
      </c>
      <c r="C445" s="105">
        <v>0</v>
      </c>
      <c r="D445" s="411" t="s">
        <v>2224</v>
      </c>
      <c r="E445" s="13" t="s">
        <v>2225</v>
      </c>
      <c r="F445" s="61">
        <v>7702026177874</v>
      </c>
      <c r="G445">
        <f t="shared" si="25"/>
        <v>6500</v>
      </c>
      <c r="H445">
        <f t="shared" si="26"/>
        <v>1</v>
      </c>
      <c r="I445" t="str">
        <f t="shared" si="24"/>
        <v>TOALLAS NOSOTRAS INVISIBLES RAPIGEL *10</v>
      </c>
    </row>
    <row r="446" spans="1:9">
      <c r="A446" t="s">
        <v>2124</v>
      </c>
      <c r="B446" s="23">
        <v>1</v>
      </c>
      <c r="C446" s="51">
        <v>0</v>
      </c>
      <c r="D446" s="446" t="s">
        <v>2446</v>
      </c>
      <c r="E446" s="41" t="s">
        <v>2126</v>
      </c>
      <c r="F446" s="42">
        <v>7702184580202</v>
      </c>
      <c r="G446">
        <f t="shared" si="25"/>
        <v>6000</v>
      </c>
      <c r="H446">
        <f t="shared" si="26"/>
        <v>12</v>
      </c>
      <c r="I446" t="str">
        <f t="shared" si="24"/>
        <v>VICAL C - VITAMINA C 500MG ECAR X144</v>
      </c>
    </row>
    <row r="447" spans="1:9">
      <c r="A447" s="69" t="s">
        <v>306</v>
      </c>
      <c r="B447" s="14">
        <v>3</v>
      </c>
      <c r="C447" s="105">
        <v>19</v>
      </c>
      <c r="D447" s="308" t="s">
        <v>293</v>
      </c>
      <c r="E447" s="13" t="s">
        <v>308</v>
      </c>
      <c r="F447" s="61">
        <v>7702057080044</v>
      </c>
      <c r="G447">
        <f t="shared" si="25"/>
        <v>4000</v>
      </c>
      <c r="H447">
        <f t="shared" si="26"/>
        <v>1</v>
      </c>
      <c r="I447" t="str">
        <f t="shared" si="24"/>
        <v>YODORA *12GR</v>
      </c>
    </row>
    <row r="448" spans="1:9">
      <c r="A448" s="69" t="s">
        <v>831</v>
      </c>
      <c r="B448" s="14">
        <v>2</v>
      </c>
      <c r="C448" s="105">
        <v>0.19</v>
      </c>
      <c r="D448" s="308" t="s">
        <v>10</v>
      </c>
      <c r="E448" s="13" t="s">
        <v>832</v>
      </c>
      <c r="F448" s="61">
        <v>7702057080075</v>
      </c>
      <c r="G448">
        <f t="shared" si="25"/>
        <v>8000</v>
      </c>
      <c r="H448">
        <f t="shared" si="26"/>
        <v>1</v>
      </c>
      <c r="I448" t="str">
        <f t="shared" si="24"/>
        <v>YODORA *25GR</v>
      </c>
    </row>
    <row r="449" spans="1:9">
      <c r="A449" s="8" t="s">
        <v>1108</v>
      </c>
      <c r="B449" s="30">
        <v>20</v>
      </c>
      <c r="C449" s="31">
        <v>0</v>
      </c>
      <c r="D449" s="447" t="s">
        <v>697</v>
      </c>
      <c r="E449" s="8" t="s">
        <v>1109</v>
      </c>
      <c r="F449" s="63">
        <v>7707336091773</v>
      </c>
      <c r="G449">
        <f t="shared" si="25"/>
        <v>2500</v>
      </c>
      <c r="H449">
        <f t="shared" si="26"/>
        <v>1</v>
      </c>
      <c r="I449" t="str">
        <f t="shared" si="24"/>
        <v>VENOCLISES MACROGOTERO ZIBOJECT</v>
      </c>
    </row>
    <row r="450" spans="1:9">
      <c r="A450" s="24" t="s">
        <v>1400</v>
      </c>
      <c r="B450" s="30">
        <v>4</v>
      </c>
      <c r="C450" s="31">
        <v>0.19</v>
      </c>
      <c r="D450" s="447" t="s">
        <v>7</v>
      </c>
      <c r="E450" s="8" t="s">
        <v>1401</v>
      </c>
      <c r="F450" s="63">
        <v>7707271203248</v>
      </c>
      <c r="G450">
        <f t="shared" si="25"/>
        <v>7000</v>
      </c>
      <c r="H450">
        <f t="shared" si="26"/>
        <v>1</v>
      </c>
      <c r="I450" t="str">
        <f t="shared" si="24"/>
        <v>ACIDO BORICO BOLSA *200GR *- YOMA</v>
      </c>
    </row>
    <row r="451" spans="1:9">
      <c r="A451" s="24" t="s">
        <v>1591</v>
      </c>
      <c r="B451" s="30">
        <v>4</v>
      </c>
      <c r="C451" s="128">
        <v>0.19</v>
      </c>
      <c r="D451" s="480" t="s">
        <v>315</v>
      </c>
      <c r="E451" s="8" t="s">
        <v>1401</v>
      </c>
      <c r="F451" s="63">
        <v>7707271201237</v>
      </c>
      <c r="G451">
        <f t="shared" si="25"/>
        <v>14500</v>
      </c>
      <c r="H451">
        <f t="shared" si="26"/>
        <v>15</v>
      </c>
      <c r="I451" t="str">
        <f t="shared" ref="I451:I514" si="27">TRIM(A451)</f>
        <v>ACIDO BORICO BOLSA *400GR *- YOMA</v>
      </c>
    </row>
    <row r="452" spans="1:9">
      <c r="A452" s="22" t="s">
        <v>1899</v>
      </c>
      <c r="B452" s="23">
        <v>1</v>
      </c>
      <c r="C452" s="51">
        <v>0</v>
      </c>
      <c r="D452" s="446" t="s">
        <v>1900</v>
      </c>
      <c r="E452" s="41" t="s">
        <v>1901</v>
      </c>
      <c r="F452" s="42">
        <v>7702057160999</v>
      </c>
      <c r="G452">
        <f t="shared" si="25"/>
        <v>3000</v>
      </c>
      <c r="H452">
        <f t="shared" si="26"/>
        <v>1</v>
      </c>
      <c r="I452" t="str">
        <f t="shared" si="27"/>
        <v>NORAVER GRIPA NOCHE X24 SOBRES</v>
      </c>
    </row>
    <row r="453" spans="1:9">
      <c r="A453" s="22" t="s">
        <v>2447</v>
      </c>
      <c r="B453" s="11">
        <v>1</v>
      </c>
      <c r="C453" s="194">
        <v>0</v>
      </c>
      <c r="D453" s="483" t="s">
        <v>2448</v>
      </c>
      <c r="E453" s="41" t="s">
        <v>2449</v>
      </c>
      <c r="F453" s="273">
        <v>7707355056814</v>
      </c>
      <c r="G453">
        <f t="shared" si="25"/>
        <v>4000</v>
      </c>
      <c r="H453">
        <f t="shared" si="26"/>
        <v>4</v>
      </c>
      <c r="I453" t="str">
        <f t="shared" si="27"/>
        <v>NOXPIRIN SINUS *72 TAB</v>
      </c>
    </row>
    <row r="454" spans="1:9">
      <c r="A454" s="146" t="s">
        <v>584</v>
      </c>
      <c r="B454" s="147">
        <v>8</v>
      </c>
      <c r="C454" s="148">
        <v>0</v>
      </c>
      <c r="D454" s="444" t="s">
        <v>585</v>
      </c>
      <c r="E454" s="159" t="s">
        <v>586</v>
      </c>
      <c r="F454" s="160">
        <v>7703712030930</v>
      </c>
      <c r="G454">
        <f t="shared" si="25"/>
        <v>6000</v>
      </c>
      <c r="H454">
        <f t="shared" si="26"/>
        <v>10</v>
      </c>
      <c r="I454" t="str">
        <f t="shared" si="27"/>
        <v>PIROXICAM 20MG- COASPHARMA</v>
      </c>
    </row>
    <row r="455" spans="1:9">
      <c r="A455" s="28" t="s">
        <v>2450</v>
      </c>
      <c r="B455" s="30">
        <v>2</v>
      </c>
      <c r="C455" s="31">
        <v>0</v>
      </c>
      <c r="D455" s="447" t="s">
        <v>2451</v>
      </c>
      <c r="E455" s="8" t="s">
        <v>2452</v>
      </c>
      <c r="F455" s="63">
        <v>7702057061906</v>
      </c>
      <c r="G455">
        <f t="shared" si="25"/>
        <v>9000</v>
      </c>
      <c r="H455">
        <f t="shared" si="26"/>
        <v>7</v>
      </c>
      <c r="I455" t="str">
        <f t="shared" si="27"/>
        <v>VENLAFAXINA 75MG - MK</v>
      </c>
    </row>
    <row r="456" spans="1:9">
      <c r="A456" t="s">
        <v>2453</v>
      </c>
      <c r="B456" s="23">
        <v>1</v>
      </c>
      <c r="C456" s="51">
        <v>0</v>
      </c>
      <c r="D456" s="446" t="s">
        <v>384</v>
      </c>
      <c r="E456" s="39" t="s">
        <v>322</v>
      </c>
      <c r="F456" s="42">
        <v>7707355052205</v>
      </c>
      <c r="G456">
        <f t="shared" si="25"/>
        <v>1000</v>
      </c>
      <c r="H456">
        <f t="shared" si="26"/>
        <v>1</v>
      </c>
      <c r="I456" t="str">
        <f t="shared" si="27"/>
        <v>DOCEFAL - ACETA + FENILEF+ CLORFERI+ CAFEI</v>
      </c>
    </row>
    <row r="457" spans="1:9" ht="15">
      <c r="A457" s="152" t="s">
        <v>2352</v>
      </c>
      <c r="B457" s="153">
        <v>3</v>
      </c>
      <c r="C457" s="55">
        <v>0</v>
      </c>
      <c r="D457" s="375" t="s">
        <v>355</v>
      </c>
      <c r="E457" s="152" t="s">
        <v>2353</v>
      </c>
      <c r="F457" s="155">
        <v>7704412169388</v>
      </c>
      <c r="G457">
        <f t="shared" si="25"/>
        <v>10000</v>
      </c>
      <c r="H457">
        <f t="shared" si="26"/>
        <v>10</v>
      </c>
      <c r="I457" t="str">
        <f t="shared" si="27"/>
        <v>IBUPROFENO + METOCARBAMOL 200MG/500MG - MEMPHIS</v>
      </c>
    </row>
    <row r="458" spans="1:9" ht="15">
      <c r="A458" s="19" t="s">
        <v>2454</v>
      </c>
      <c r="B458" s="37">
        <v>2</v>
      </c>
      <c r="C458" s="429">
        <v>0</v>
      </c>
      <c r="D458" s="376" t="s">
        <v>103</v>
      </c>
      <c r="E458" s="112" t="s">
        <v>2455</v>
      </c>
      <c r="F458" s="115">
        <v>7709492276681</v>
      </c>
      <c r="G458">
        <f t="shared" si="25"/>
        <v>5000</v>
      </c>
      <c r="H458">
        <f t="shared" si="26"/>
        <v>10</v>
      </c>
      <c r="I458" t="str">
        <f t="shared" si="27"/>
        <v>VITAMINA C - KEOPS VIT</v>
      </c>
    </row>
    <row r="459" spans="1:9" ht="28.5">
      <c r="A459" t="s">
        <v>2456</v>
      </c>
      <c r="B459" s="23">
        <v>6</v>
      </c>
      <c r="C459" s="51">
        <v>0</v>
      </c>
      <c r="D459" s="446" t="s">
        <v>109</v>
      </c>
      <c r="E459" s="41" t="s">
        <v>2457</v>
      </c>
      <c r="F459" s="42">
        <v>7703763070329</v>
      </c>
      <c r="G459">
        <f t="shared" si="25"/>
        <v>10000</v>
      </c>
      <c r="H459">
        <f t="shared" si="26"/>
        <v>1</v>
      </c>
      <c r="I459" t="str">
        <f t="shared" si="27"/>
        <v>AMOXICILINA SUSP - LA SANTÉ</v>
      </c>
    </row>
    <row r="460" spans="1:9">
      <c r="A460" t="s">
        <v>2458</v>
      </c>
      <c r="B460" s="23">
        <v>2</v>
      </c>
      <c r="C460" s="51">
        <v>0</v>
      </c>
      <c r="D460" s="446" t="s">
        <v>118</v>
      </c>
      <c r="E460" s="39" t="s">
        <v>2459</v>
      </c>
      <c r="F460" s="42">
        <v>7709670465814</v>
      </c>
      <c r="G460">
        <f t="shared" si="25"/>
        <v>13000</v>
      </c>
      <c r="H460">
        <f t="shared" si="26"/>
        <v>1</v>
      </c>
      <c r="I460" t="str">
        <f t="shared" si="27"/>
        <v>GOTAS RESCATE - ESENCIA FLORAL EQUILIBRIO EMOCIONAL RESCATE</v>
      </c>
    </row>
    <row r="461" spans="1:9" ht="15">
      <c r="A461" s="56" t="s">
        <v>1188</v>
      </c>
      <c r="B461" s="153">
        <v>1</v>
      </c>
      <c r="C461" s="55">
        <v>0</v>
      </c>
      <c r="D461" s="375" t="s">
        <v>38</v>
      </c>
      <c r="E461" s="152" t="s">
        <v>1189</v>
      </c>
      <c r="F461" s="155">
        <v>7702207188620</v>
      </c>
      <c r="G461">
        <f t="shared" si="25"/>
        <v>9000</v>
      </c>
      <c r="H461">
        <f t="shared" si="26"/>
        <v>1</v>
      </c>
      <c r="I461" t="str">
        <f t="shared" si="27"/>
        <v>SMECTA VAINILLA NARNAJA - DIOSMECTITA 3GR X10 SOBRES /</v>
      </c>
    </row>
    <row r="462" spans="1:9">
      <c r="A462" t="s">
        <v>2076</v>
      </c>
      <c r="B462" s="23">
        <v>2</v>
      </c>
      <c r="C462" s="51">
        <v>0</v>
      </c>
      <c r="D462" s="446" t="s">
        <v>2460</v>
      </c>
      <c r="E462" s="39" t="s">
        <v>2077</v>
      </c>
      <c r="F462" s="42">
        <v>7705959885922</v>
      </c>
      <c r="G462">
        <f t="shared" si="25"/>
        <v>10000</v>
      </c>
      <c r="H462">
        <f t="shared" si="26"/>
        <v>8</v>
      </c>
      <c r="I462" t="str">
        <f t="shared" si="27"/>
        <v>ACETAMINOFEN + CAFEINA 500/65MG GENFAR X48 TABLETAS</v>
      </c>
    </row>
    <row r="463" spans="1:9">
      <c r="A463" s="7" t="s">
        <v>42</v>
      </c>
      <c r="B463" s="25">
        <v>5</v>
      </c>
      <c r="C463" s="26">
        <v>0</v>
      </c>
      <c r="D463" s="447" t="s">
        <v>2461</v>
      </c>
      <c r="E463" s="7" t="s">
        <v>44</v>
      </c>
      <c r="F463" s="129">
        <v>7702870004425</v>
      </c>
      <c r="G463">
        <f t="shared" si="25"/>
        <v>26000</v>
      </c>
      <c r="H463">
        <f t="shared" si="26"/>
        <v>21</v>
      </c>
      <c r="I463" t="str">
        <f t="shared" si="27"/>
        <v>BELLAFACE *21</v>
      </c>
    </row>
    <row r="464" spans="1:9">
      <c r="A464" s="64" t="s">
        <v>1933</v>
      </c>
      <c r="B464" s="102">
        <v>1</v>
      </c>
      <c r="C464" s="101">
        <v>0</v>
      </c>
      <c r="D464" s="443" t="s">
        <v>80</v>
      </c>
      <c r="E464" s="64" t="s">
        <v>1934</v>
      </c>
      <c r="F464" s="103">
        <v>7707288825341</v>
      </c>
      <c r="G464">
        <f t="shared" si="25"/>
        <v>6000</v>
      </c>
      <c r="H464">
        <f t="shared" si="26"/>
        <v>1</v>
      </c>
      <c r="I464" t="str">
        <f t="shared" si="27"/>
        <v>CONSTILAX- LACTULOSA</v>
      </c>
    </row>
    <row r="465" spans="1:9">
      <c r="A465" s="7" t="s">
        <v>480</v>
      </c>
      <c r="B465" s="30">
        <v>1</v>
      </c>
      <c r="C465" s="31">
        <v>0</v>
      </c>
      <c r="D465" s="447" t="s">
        <v>750</v>
      </c>
      <c r="E465" s="7" t="s">
        <v>24</v>
      </c>
      <c r="F465" s="63">
        <v>7703445130181</v>
      </c>
      <c r="G465">
        <f t="shared" si="25"/>
        <v>34000</v>
      </c>
      <c r="H465">
        <f t="shared" si="26"/>
        <v>1</v>
      </c>
      <c r="I465" t="str">
        <f t="shared" si="27"/>
        <v>FLUIMUCIL JARABE 4%</v>
      </c>
    </row>
    <row r="466" spans="1:9">
      <c r="A466" s="146" t="s">
        <v>2462</v>
      </c>
      <c r="B466" s="147">
        <v>3</v>
      </c>
      <c r="C466" s="148">
        <v>0.19</v>
      </c>
      <c r="D466" s="444" t="s">
        <v>1282</v>
      </c>
      <c r="E466" s="168" t="s">
        <v>2463</v>
      </c>
      <c r="F466" s="160">
        <v>7702035432117</v>
      </c>
      <c r="G466">
        <f t="shared" si="25"/>
        <v>12500</v>
      </c>
      <c r="H466">
        <f t="shared" si="26"/>
        <v>1</v>
      </c>
      <c r="I466" t="str">
        <f t="shared" si="27"/>
        <v>LISTERINE COOL MINT *180ML</v>
      </c>
    </row>
    <row r="467" spans="1:9">
      <c r="A467" s="22" t="s">
        <v>2464</v>
      </c>
      <c r="B467" s="23">
        <v>1</v>
      </c>
      <c r="C467" s="51">
        <v>0.19</v>
      </c>
      <c r="D467" s="446" t="s">
        <v>1080</v>
      </c>
      <c r="E467" s="159" t="s">
        <v>2463</v>
      </c>
      <c r="F467" s="42">
        <v>7702035833815</v>
      </c>
      <c r="G467">
        <f t="shared" si="25"/>
        <v>13500</v>
      </c>
      <c r="H467">
        <f t="shared" si="26"/>
        <v>1</v>
      </c>
      <c r="I467" t="str">
        <f t="shared" si="27"/>
        <v>LISTERINE CUIDADO TOTAL *180ML</v>
      </c>
    </row>
    <row r="468" spans="1:9">
      <c r="A468" s="141" t="s">
        <v>2465</v>
      </c>
      <c r="B468" s="147">
        <v>1</v>
      </c>
      <c r="C468" s="148">
        <v>0</v>
      </c>
      <c r="D468" s="444" t="s">
        <v>2466</v>
      </c>
      <c r="E468" s="159" t="s">
        <v>2467</v>
      </c>
      <c r="F468" s="160">
        <v>7702057837655</v>
      </c>
      <c r="G468">
        <f t="shared" si="25"/>
        <v>50500</v>
      </c>
      <c r="H468">
        <f t="shared" si="26"/>
        <v>1</v>
      </c>
      <c r="I468" t="str">
        <f t="shared" si="27"/>
        <v>NORAVER ENJUAGUE MENTA SPRAY X120ML</v>
      </c>
    </row>
    <row r="469" spans="1:9">
      <c r="A469" s="69" t="s">
        <v>2468</v>
      </c>
      <c r="B469" s="14">
        <v>1</v>
      </c>
      <c r="C469" s="105">
        <v>0</v>
      </c>
      <c r="D469" s="308" t="s">
        <v>2469</v>
      </c>
      <c r="E469" s="13" t="s">
        <v>2470</v>
      </c>
      <c r="F469" s="61">
        <v>7702132000295</v>
      </c>
      <c r="G469">
        <f t="shared" si="25"/>
        <v>15000</v>
      </c>
      <c r="H469">
        <f t="shared" si="26"/>
        <v>3</v>
      </c>
      <c r="I469" t="str">
        <f t="shared" si="27"/>
        <v>TODAY GANCHERA SURTIDA PAGUE X30</v>
      </c>
    </row>
    <row r="470" spans="1:9">
      <c r="A470" s="24" t="s">
        <v>1982</v>
      </c>
      <c r="B470" s="30">
        <v>3</v>
      </c>
      <c r="C470" s="31">
        <v>0</v>
      </c>
      <c r="D470" s="447" t="s">
        <v>818</v>
      </c>
      <c r="E470" s="8" t="s">
        <v>1248</v>
      </c>
      <c r="F470" s="63">
        <v>7703712035362</v>
      </c>
      <c r="G470">
        <f t="shared" si="25"/>
        <v>800</v>
      </c>
      <c r="H470">
        <f t="shared" si="26"/>
        <v>10</v>
      </c>
      <c r="I470" t="str">
        <f t="shared" si="27"/>
        <v>ACETAMINOFEN COASPHARMA *300</v>
      </c>
    </row>
    <row r="471" spans="1:9">
      <c r="A471" s="69" t="s">
        <v>1660</v>
      </c>
      <c r="B471" s="14">
        <v>1</v>
      </c>
      <c r="C471" s="105">
        <v>0</v>
      </c>
      <c r="D471" s="308" t="s">
        <v>1661</v>
      </c>
      <c r="E471" s="13" t="s">
        <v>1662</v>
      </c>
      <c r="F471" s="63">
        <v>7702057080426</v>
      </c>
      <c r="G471">
        <f t="shared" si="25"/>
        <v>36500</v>
      </c>
      <c r="H471">
        <f t="shared" si="26"/>
        <v>1</v>
      </c>
      <c r="I471" t="str">
        <f t="shared" si="27"/>
        <v>BLANKISIMA 2% *60GR</v>
      </c>
    </row>
    <row r="472" spans="1:9">
      <c r="A472" s="22" t="s">
        <v>1232</v>
      </c>
      <c r="B472" s="11">
        <v>1</v>
      </c>
      <c r="C472" s="194">
        <v>0.19</v>
      </c>
      <c r="D472" s="483" t="s">
        <v>1116</v>
      </c>
      <c r="E472" s="41" t="s">
        <v>1234</v>
      </c>
      <c r="F472" s="273">
        <v>7896009498091</v>
      </c>
      <c r="G472">
        <f t="shared" si="25"/>
        <v>23000</v>
      </c>
      <c r="H472">
        <f t="shared" si="26"/>
        <v>1</v>
      </c>
      <c r="I472" t="str">
        <f t="shared" si="27"/>
        <v>SENSODYNE 8 EN 1 - PROTECCIÓN COMPLETA X90GR</v>
      </c>
    </row>
    <row r="473" spans="1:9">
      <c r="A473" s="24" t="s">
        <v>1946</v>
      </c>
      <c r="B473" s="25">
        <v>1</v>
      </c>
      <c r="C473" s="26">
        <v>0</v>
      </c>
      <c r="D473" s="447" t="s">
        <v>7</v>
      </c>
      <c r="E473" s="7" t="s">
        <v>1947</v>
      </c>
      <c r="F473" s="129">
        <v>7702184592021</v>
      </c>
      <c r="G473">
        <f t="shared" si="25"/>
        <v>7000</v>
      </c>
      <c r="H473">
        <f t="shared" si="26"/>
        <v>1</v>
      </c>
      <c r="I473" t="str">
        <f t="shared" si="27"/>
        <v>FARMALAX *15 SOBRES/ POLIETILENGLICOL 3350</v>
      </c>
    </row>
    <row r="474" spans="1:9">
      <c r="A474" t="s">
        <v>1498</v>
      </c>
      <c r="B474" s="23">
        <v>2</v>
      </c>
      <c r="C474" s="51">
        <v>0</v>
      </c>
      <c r="D474" s="446" t="s">
        <v>2471</v>
      </c>
      <c r="E474" s="41" t="s">
        <v>1500</v>
      </c>
      <c r="F474" s="42">
        <v>7707019312836</v>
      </c>
      <c r="G474">
        <f t="shared" si="25"/>
        <v>27000</v>
      </c>
      <c r="H474">
        <f t="shared" si="26"/>
        <v>14</v>
      </c>
      <c r="I474" t="str">
        <f t="shared" si="27"/>
        <v>LEVOFLOXACINO 500MG X14 - FLURINEX BIOQUIFAR</v>
      </c>
    </row>
    <row r="475" spans="1:9">
      <c r="A475" s="64" t="s">
        <v>727</v>
      </c>
      <c r="B475" s="102">
        <v>1</v>
      </c>
      <c r="C475" s="312">
        <v>0</v>
      </c>
      <c r="D475" s="522" t="s">
        <v>23</v>
      </c>
      <c r="E475" s="64" t="s">
        <v>75</v>
      </c>
      <c r="F475" s="103">
        <v>7707355053363</v>
      </c>
      <c r="G475">
        <f t="shared" si="25"/>
        <v>15000</v>
      </c>
      <c r="H475">
        <f t="shared" si="26"/>
        <v>1</v>
      </c>
      <c r="I475" t="str">
        <f t="shared" si="27"/>
        <v>NOXPIRIN F JUNIOR *120ML / ACETAMINOFEN + FENILEFRINA + CETIRIZINA</v>
      </c>
    </row>
    <row r="476" spans="1:9">
      <c r="A476" t="s">
        <v>231</v>
      </c>
      <c r="B476" s="23">
        <v>10</v>
      </c>
      <c r="C476" s="51">
        <v>0</v>
      </c>
      <c r="D476" s="446" t="s">
        <v>232</v>
      </c>
      <c r="E476" s="39" t="s">
        <v>233</v>
      </c>
      <c r="F476" s="42">
        <v>7707019381627</v>
      </c>
      <c r="G476">
        <f t="shared" si="25"/>
        <v>10000</v>
      </c>
      <c r="H476">
        <f t="shared" si="26"/>
        <v>2</v>
      </c>
      <c r="I476" t="str">
        <f t="shared" si="27"/>
        <v>SEAMIB 1GR- SECNIDAZOL X2 TABS</v>
      </c>
    </row>
    <row r="477" spans="1:9">
      <c r="A477" s="24" t="s">
        <v>429</v>
      </c>
      <c r="B477" s="30">
        <v>2</v>
      </c>
      <c r="C477" s="31">
        <v>0</v>
      </c>
      <c r="D477" s="447" t="s">
        <v>430</v>
      </c>
      <c r="E477" s="7" t="s">
        <v>431</v>
      </c>
      <c r="F477" s="63">
        <v>7703038050056</v>
      </c>
      <c r="G477">
        <f t="shared" si="25"/>
        <v>3000</v>
      </c>
      <c r="H477">
        <f t="shared" si="26"/>
        <v>2</v>
      </c>
      <c r="I477" t="str">
        <f t="shared" si="27"/>
        <v>ALBENDAZOL 200MG TAB- LAPROFF X50</v>
      </c>
    </row>
    <row r="478" spans="1:9">
      <c r="A478" s="64" t="s">
        <v>2472</v>
      </c>
      <c r="B478" s="102">
        <v>2</v>
      </c>
      <c r="C478" s="312">
        <v>0</v>
      </c>
      <c r="D478" s="522" t="s">
        <v>625</v>
      </c>
      <c r="E478" s="64" t="s">
        <v>1558</v>
      </c>
      <c r="F478" s="103">
        <v>7709141546011</v>
      </c>
      <c r="G478">
        <f t="shared" si="25"/>
        <v>25000</v>
      </c>
      <c r="H478">
        <f t="shared" si="26"/>
        <v>1</v>
      </c>
      <c r="I478" t="str">
        <f t="shared" si="27"/>
        <v>KETOPROFENO GEL - VITALIS</v>
      </c>
    </row>
    <row r="479" spans="1:9">
      <c r="A479" t="s">
        <v>2473</v>
      </c>
      <c r="B479" s="23">
        <v>8</v>
      </c>
      <c r="C479" s="51">
        <v>0</v>
      </c>
      <c r="D479" s="446" t="s">
        <v>7</v>
      </c>
      <c r="E479" s="41" t="s">
        <v>1723</v>
      </c>
      <c r="F479" s="42">
        <v>7709923870518</v>
      </c>
      <c r="G479">
        <f t="shared" ref="G479:G542" si="28">IFERROR(VALUE(SUBSTITUTE(LEFT(LOWER(D479),FIND("x",LOWER(D479))-1),",","")),VALUE(SUBSTITUTE(D479,",","")))</f>
        <v>7000</v>
      </c>
      <c r="H479">
        <f t="shared" ref="H479:H542" si="29">IFERROR(VALUE(MID(LOWER(D479),FIND("x",LOWER(D479))+1,20)),1)</f>
        <v>1</v>
      </c>
      <c r="I479" t="str">
        <f t="shared" si="27"/>
        <v>PRUEBA EMBARAZO CASSETE- CHEMI ROSA S.A.S</v>
      </c>
    </row>
    <row r="480" spans="1:9">
      <c r="A480" s="28" t="s">
        <v>1122</v>
      </c>
      <c r="B480" s="30">
        <v>2</v>
      </c>
      <c r="C480" s="31">
        <v>0</v>
      </c>
      <c r="D480" s="447" t="s">
        <v>123</v>
      </c>
      <c r="E480" s="7" t="s">
        <v>63</v>
      </c>
      <c r="F480" s="63">
        <v>7702418004351</v>
      </c>
      <c r="G480">
        <f t="shared" si="28"/>
        <v>16000</v>
      </c>
      <c r="H480">
        <f t="shared" si="29"/>
        <v>10</v>
      </c>
      <c r="I480" t="str">
        <f t="shared" si="27"/>
        <v>NEUROBION TABLETAS CAJA X30</v>
      </c>
    </row>
    <row r="481" spans="1:9" ht="15">
      <c r="A481" s="18" t="s">
        <v>1074</v>
      </c>
      <c r="B481" s="17">
        <v>2</v>
      </c>
      <c r="C481" s="124">
        <v>0.19</v>
      </c>
      <c r="D481" s="321" t="s">
        <v>2474</v>
      </c>
      <c r="E481" s="73" t="s">
        <v>1076</v>
      </c>
      <c r="F481" s="20">
        <v>7702123013891</v>
      </c>
      <c r="G481">
        <f t="shared" si="28"/>
        <v>21000</v>
      </c>
      <c r="H481">
        <f t="shared" si="29"/>
        <v>1</v>
      </c>
      <c r="I481" t="str">
        <f t="shared" si="27"/>
        <v>TALCO MEXANA 150GR + 85GR</v>
      </c>
    </row>
    <row r="482" spans="1:9" ht="15">
      <c r="A482" s="16" t="s">
        <v>510</v>
      </c>
      <c r="B482" s="17">
        <v>6</v>
      </c>
      <c r="C482" s="124">
        <v>0</v>
      </c>
      <c r="D482" s="321" t="s">
        <v>59</v>
      </c>
      <c r="E482" s="73" t="s">
        <v>511</v>
      </c>
      <c r="F482" s="63">
        <v>7703038060994</v>
      </c>
      <c r="G482">
        <f t="shared" si="28"/>
        <v>3000</v>
      </c>
      <c r="H482">
        <f t="shared" si="29"/>
        <v>1</v>
      </c>
      <c r="I482" t="str">
        <f t="shared" si="27"/>
        <v>ALBENDAZOL SUSPENSIÓN</v>
      </c>
    </row>
    <row r="483" spans="1:9">
      <c r="A483" s="64" t="s">
        <v>2475</v>
      </c>
      <c r="B483" s="102">
        <v>6</v>
      </c>
      <c r="C483" s="101">
        <v>0</v>
      </c>
      <c r="D483" s="443" t="s">
        <v>118</v>
      </c>
      <c r="E483" s="64" t="s">
        <v>75</v>
      </c>
      <c r="F483" s="103">
        <v>7703038020134</v>
      </c>
      <c r="G483">
        <f t="shared" si="28"/>
        <v>13000</v>
      </c>
      <c r="H483">
        <f t="shared" si="29"/>
        <v>1</v>
      </c>
      <c r="I483" t="str">
        <f t="shared" si="27"/>
        <v>SUPRIFENO *120ML</v>
      </c>
    </row>
    <row r="484" spans="1:9">
      <c r="A484" t="s">
        <v>2476</v>
      </c>
      <c r="B484" s="23">
        <v>1</v>
      </c>
      <c r="C484" s="51">
        <v>0</v>
      </c>
      <c r="D484" s="446" t="s">
        <v>384</v>
      </c>
      <c r="E484" s="41" t="s">
        <v>2477</v>
      </c>
      <c r="F484" s="42">
        <v>7703712033641</v>
      </c>
      <c r="G484">
        <f t="shared" si="28"/>
        <v>1000</v>
      </c>
      <c r="H484">
        <f t="shared" si="29"/>
        <v>1</v>
      </c>
      <c r="I484" t="str">
        <f t="shared" si="27"/>
        <v>PAMOATO PIRANTEL TABLETAS X60 COASPHARMA</v>
      </c>
    </row>
    <row r="485" spans="1:9">
      <c r="A485" t="s">
        <v>1610</v>
      </c>
      <c r="B485" s="23">
        <v>1</v>
      </c>
      <c r="C485" s="51">
        <v>0</v>
      </c>
      <c r="D485" s="446" t="s">
        <v>1040</v>
      </c>
      <c r="E485" s="41" t="s">
        <v>1611</v>
      </c>
      <c r="F485" s="42">
        <v>7501098608084</v>
      </c>
      <c r="G485">
        <f t="shared" si="28"/>
        <v>13000</v>
      </c>
      <c r="H485">
        <f t="shared" si="29"/>
        <v>30</v>
      </c>
      <c r="I485" t="str">
        <f t="shared" si="27"/>
        <v>BETALOC ZOK 25MG</v>
      </c>
    </row>
    <row r="486" spans="1:9">
      <c r="A486" t="s">
        <v>1508</v>
      </c>
      <c r="B486" s="23">
        <v>2</v>
      </c>
      <c r="C486" s="51">
        <v>0</v>
      </c>
      <c r="D486" s="446" t="s">
        <v>53</v>
      </c>
      <c r="E486" s="41" t="s">
        <v>1509</v>
      </c>
      <c r="F486" s="42">
        <v>7702184876732</v>
      </c>
      <c r="G486">
        <f t="shared" si="28"/>
        <v>1500</v>
      </c>
      <c r="H486">
        <f t="shared" si="29"/>
        <v>10</v>
      </c>
      <c r="I486" t="str">
        <f t="shared" si="27"/>
        <v>CETIRIZINA TABLETAS 10MG - X400 TABS</v>
      </c>
    </row>
    <row r="487" spans="1:9">
      <c r="A487" t="s">
        <v>2481</v>
      </c>
      <c r="B487" s="23">
        <v>5</v>
      </c>
      <c r="C487" s="51">
        <v>0</v>
      </c>
      <c r="D487" s="446" t="s">
        <v>7</v>
      </c>
      <c r="E487" s="41" t="s">
        <v>2482</v>
      </c>
      <c r="F487" s="42">
        <v>7706569001269</v>
      </c>
      <c r="G487">
        <f t="shared" si="28"/>
        <v>7000</v>
      </c>
      <c r="H487">
        <f t="shared" si="29"/>
        <v>1</v>
      </c>
      <c r="I487" t="str">
        <f t="shared" si="27"/>
        <v>CLOTRIMAZOL TOPICA 1% AG X40GR</v>
      </c>
    </row>
    <row r="488" spans="1:9">
      <c r="A488" s="71" t="s">
        <v>1247</v>
      </c>
      <c r="B488" s="14">
        <v>1</v>
      </c>
      <c r="C488" s="105">
        <v>0</v>
      </c>
      <c r="D488" s="308" t="s">
        <v>53</v>
      </c>
      <c r="E488" s="13" t="s">
        <v>1248</v>
      </c>
      <c r="F488" s="61">
        <v>7703038050247</v>
      </c>
      <c r="G488">
        <f t="shared" si="28"/>
        <v>1500</v>
      </c>
      <c r="H488">
        <f t="shared" si="29"/>
        <v>10</v>
      </c>
      <c r="I488" t="str">
        <f t="shared" si="27"/>
        <v>FUROSEMIDA 40MG - LA PROFF</v>
      </c>
    </row>
    <row r="489" spans="1:9" ht="15">
      <c r="A489" s="53" t="s">
        <v>771</v>
      </c>
      <c r="B489" s="153">
        <v>4</v>
      </c>
      <c r="C489" s="55">
        <v>0</v>
      </c>
      <c r="D489" s="375" t="s">
        <v>1270</v>
      </c>
      <c r="E489" s="152" t="s">
        <v>165</v>
      </c>
      <c r="F489" s="155">
        <v>7501033957413</v>
      </c>
      <c r="G489">
        <f t="shared" si="28"/>
        <v>10500</v>
      </c>
      <c r="H489">
        <f t="shared" si="29"/>
        <v>1</v>
      </c>
      <c r="I489" t="str">
        <f t="shared" si="27"/>
        <v>PEDIALYTE FRESA 45mEq</v>
      </c>
    </row>
    <row r="490" spans="1:9">
      <c r="A490" t="s">
        <v>317</v>
      </c>
      <c r="B490" s="23">
        <v>4</v>
      </c>
      <c r="C490" s="51">
        <v>19</v>
      </c>
      <c r="D490" s="446" t="s">
        <v>10</v>
      </c>
      <c r="E490" s="41" t="s">
        <v>319</v>
      </c>
      <c r="F490" s="42">
        <v>7707165900161</v>
      </c>
      <c r="G490">
        <f t="shared" si="28"/>
        <v>8000</v>
      </c>
      <c r="H490">
        <f t="shared" si="29"/>
        <v>1</v>
      </c>
      <c r="I490" t="str">
        <f t="shared" si="27"/>
        <v>VACOL *20GR</v>
      </c>
    </row>
    <row r="491" spans="1:9">
      <c r="A491" s="69" t="s">
        <v>712</v>
      </c>
      <c r="B491" s="23">
        <v>2</v>
      </c>
      <c r="C491" s="136">
        <v>0.19</v>
      </c>
      <c r="D491" s="469" t="s">
        <v>32</v>
      </c>
      <c r="E491" s="13" t="s">
        <v>713</v>
      </c>
      <c r="F491" s="61">
        <v>7707165900178</v>
      </c>
      <c r="G491">
        <f t="shared" si="28"/>
        <v>12000</v>
      </c>
      <c r="H491">
        <f t="shared" si="29"/>
        <v>1</v>
      </c>
      <c r="I491" t="str">
        <f t="shared" si="27"/>
        <v>VACOL *60GR</v>
      </c>
    </row>
    <row r="492" spans="1:9">
      <c r="A492" s="22" t="s">
        <v>2483</v>
      </c>
      <c r="B492" s="23">
        <v>2</v>
      </c>
      <c r="C492" s="51">
        <v>0</v>
      </c>
      <c r="D492" s="446" t="s">
        <v>2484</v>
      </c>
      <c r="E492" s="41" t="s">
        <v>2485</v>
      </c>
      <c r="F492" s="42">
        <v>7702006404297</v>
      </c>
      <c r="G492">
        <f t="shared" si="28"/>
        <v>25000</v>
      </c>
      <c r="H492">
        <f t="shared" si="29"/>
        <v>2</v>
      </c>
      <c r="I492" t="str">
        <f t="shared" si="27"/>
        <v>TALCO REXONA EFFICIENT ORIGINAL X180 + 55GR</v>
      </c>
    </row>
    <row r="493" spans="1:9">
      <c r="A493" s="22" t="s">
        <v>614</v>
      </c>
      <c r="B493" s="23">
        <v>5</v>
      </c>
      <c r="C493" s="51">
        <v>0</v>
      </c>
      <c r="D493" s="446" t="s">
        <v>29</v>
      </c>
      <c r="E493" s="39" t="s">
        <v>615</v>
      </c>
      <c r="F493" s="42">
        <v>7702057075231</v>
      </c>
      <c r="G493">
        <f t="shared" si="28"/>
        <v>15000</v>
      </c>
      <c r="H493">
        <f t="shared" si="29"/>
        <v>10</v>
      </c>
      <c r="I493" t="str">
        <f t="shared" si="27"/>
        <v>DIOSMINA + HESPERIDINA 450MG/50MG - MK X30</v>
      </c>
    </row>
    <row r="494" spans="1:9">
      <c r="A494" t="s">
        <v>2486</v>
      </c>
      <c r="B494" s="23">
        <v>1</v>
      </c>
      <c r="C494" s="51">
        <v>0</v>
      </c>
      <c r="D494" s="446" t="s">
        <v>2487</v>
      </c>
      <c r="E494" s="39" t="s">
        <v>2488</v>
      </c>
      <c r="F494" s="42">
        <v>7707670345013</v>
      </c>
      <c r="G494">
        <f t="shared" si="28"/>
        <v>92000</v>
      </c>
      <c r="H494">
        <f t="shared" si="29"/>
        <v>1</v>
      </c>
      <c r="I494" t="str">
        <f t="shared" si="27"/>
        <v>PUROXAN JARABE / DOXOFILINA JARABE 2%</v>
      </c>
    </row>
    <row r="495" spans="1:9">
      <c r="A495" s="28" t="s">
        <v>22</v>
      </c>
      <c r="B495" s="30">
        <v>4</v>
      </c>
      <c r="C495" s="31">
        <v>0</v>
      </c>
      <c r="D495" s="447" t="s">
        <v>23</v>
      </c>
      <c r="E495" s="7" t="s">
        <v>24</v>
      </c>
      <c r="F495" s="63">
        <v>7705959885229</v>
      </c>
      <c r="G495">
        <f t="shared" si="28"/>
        <v>15000</v>
      </c>
      <c r="H495">
        <f t="shared" si="29"/>
        <v>1</v>
      </c>
      <c r="I495" t="str">
        <f t="shared" si="27"/>
        <v>IBUPROFENO GENFAR KIDS</v>
      </c>
    </row>
    <row r="496" spans="1:9">
      <c r="A496" t="s">
        <v>2489</v>
      </c>
      <c r="B496" s="23">
        <v>2</v>
      </c>
      <c r="C496" s="51">
        <v>0</v>
      </c>
      <c r="D496" s="446" t="s">
        <v>2490</v>
      </c>
      <c r="E496" s="41" t="s">
        <v>2491</v>
      </c>
      <c r="F496" s="42">
        <v>7707270363660</v>
      </c>
      <c r="G496">
        <f t="shared" si="28"/>
        <v>1000</v>
      </c>
      <c r="H496">
        <f t="shared" si="29"/>
        <v>2</v>
      </c>
      <c r="I496" t="str">
        <f t="shared" si="27"/>
        <v>GUANTES M - PROTEX</v>
      </c>
    </row>
    <row r="497" spans="1:9">
      <c r="A497" t="s">
        <v>1311</v>
      </c>
      <c r="B497" s="23">
        <v>2</v>
      </c>
      <c r="C497" s="51">
        <v>0</v>
      </c>
      <c r="D497" s="446" t="s">
        <v>53</v>
      </c>
      <c r="E497" s="41" t="s">
        <v>83</v>
      </c>
      <c r="F497" s="42">
        <v>7706849115921</v>
      </c>
      <c r="G497">
        <f t="shared" si="28"/>
        <v>1500</v>
      </c>
      <c r="H497">
        <f t="shared" si="29"/>
        <v>10</v>
      </c>
      <c r="I497" t="str">
        <f t="shared" si="27"/>
        <v>HEPANAT - SILIMARINA X30 TABLETAS</v>
      </c>
    </row>
    <row r="498" spans="1:9" ht="15">
      <c r="A498" s="22" t="s">
        <v>631</v>
      </c>
      <c r="B498" s="23">
        <v>2</v>
      </c>
      <c r="C498" s="55">
        <v>0</v>
      </c>
      <c r="D498" s="375" t="s">
        <v>453</v>
      </c>
      <c r="E498" s="39" t="s">
        <v>632</v>
      </c>
      <c r="F498" s="42">
        <v>7703038065470</v>
      </c>
      <c r="G498">
        <f t="shared" si="28"/>
        <v>42000</v>
      </c>
      <c r="H498">
        <f t="shared" si="29"/>
        <v>30</v>
      </c>
      <c r="I498" t="str">
        <f t="shared" si="27"/>
        <v>IOFI X30 / FUMARATO FERROSO + ACID. FOLICO + VITAMI C.</v>
      </c>
    </row>
    <row r="499" spans="1:9" ht="15">
      <c r="A499" s="18" t="s">
        <v>2492</v>
      </c>
      <c r="B499" s="17">
        <v>2</v>
      </c>
      <c r="C499" s="124">
        <v>0.19</v>
      </c>
      <c r="D499" s="379" t="s">
        <v>497</v>
      </c>
      <c r="E499" s="73" t="s">
        <v>2493</v>
      </c>
      <c r="F499" s="20">
        <v>7702123013846</v>
      </c>
      <c r="G499">
        <f t="shared" si="28"/>
        <v>29000</v>
      </c>
      <c r="H499">
        <f t="shared" si="29"/>
        <v>1</v>
      </c>
      <c r="I499" t="str">
        <f t="shared" si="27"/>
        <v>TALCO MEXANA *300GR + 85GR PACK</v>
      </c>
    </row>
    <row r="500" spans="1:9">
      <c r="A500" t="s">
        <v>2494</v>
      </c>
      <c r="B500" s="23">
        <v>5</v>
      </c>
      <c r="C500" s="51">
        <v>0</v>
      </c>
      <c r="D500" s="446" t="s">
        <v>2495</v>
      </c>
      <c r="E500" s="41" t="s">
        <v>2496</v>
      </c>
      <c r="F500" s="42">
        <v>7704412004085</v>
      </c>
      <c r="G500">
        <f t="shared" si="28"/>
        <v>6500</v>
      </c>
      <c r="H500">
        <f t="shared" si="29"/>
        <v>4</v>
      </c>
      <c r="I500" t="str">
        <f t="shared" si="27"/>
        <v>SECNIDAZOL 500MG TABLETAS</v>
      </c>
    </row>
    <row r="501" spans="1:9">
      <c r="A501" s="22" t="s">
        <v>2497</v>
      </c>
      <c r="B501" s="23">
        <v>2</v>
      </c>
      <c r="C501" s="51">
        <v>0.19</v>
      </c>
      <c r="D501" s="446" t="s">
        <v>38</v>
      </c>
      <c r="E501" s="41" t="s">
        <v>2498</v>
      </c>
      <c r="F501" s="42">
        <v>7702006301442</v>
      </c>
      <c r="G501">
        <f t="shared" si="28"/>
        <v>9000</v>
      </c>
      <c r="H501">
        <f t="shared" si="29"/>
        <v>1</v>
      </c>
      <c r="I501" t="str">
        <f t="shared" si="27"/>
        <v>TALCO REXONA EFFICIENT ORIGINAL X55GR</v>
      </c>
    </row>
    <row r="502" spans="1:9">
      <c r="A502" s="39" t="s">
        <v>2290</v>
      </c>
      <c r="B502" s="23">
        <v>1</v>
      </c>
      <c r="C502" s="51">
        <v>0</v>
      </c>
      <c r="D502" s="446" t="s">
        <v>2499</v>
      </c>
      <c r="E502" s="39" t="s">
        <v>2292</v>
      </c>
      <c r="F502" s="42">
        <v>7703445109057</v>
      </c>
      <c r="G502">
        <f t="shared" si="28"/>
        <v>70000</v>
      </c>
      <c r="H502">
        <f t="shared" si="29"/>
        <v>20</v>
      </c>
      <c r="I502" t="str">
        <f t="shared" si="27"/>
        <v>URSACOL 300MG- ACIDO URSODESOXIXCOLICO</v>
      </c>
    </row>
    <row r="503" spans="1:9">
      <c r="A503" t="s">
        <v>2273</v>
      </c>
      <c r="B503" s="23">
        <v>8</v>
      </c>
      <c r="C503" s="51">
        <v>0</v>
      </c>
      <c r="D503" s="446" t="s">
        <v>408</v>
      </c>
      <c r="E503" s="41" t="s">
        <v>1723</v>
      </c>
      <c r="F503" s="42">
        <v>7707226436301</v>
      </c>
      <c r="G503">
        <f t="shared" si="28"/>
        <v>9000</v>
      </c>
      <c r="H503">
        <f t="shared" si="29"/>
        <v>10</v>
      </c>
      <c r="I503" t="str">
        <f t="shared" si="27"/>
        <v>PRUEBA DE EMBARAZO VENUST</v>
      </c>
    </row>
    <row r="504" spans="1:9">
      <c r="A504" s="71" t="s">
        <v>2500</v>
      </c>
      <c r="B504" s="14">
        <v>1</v>
      </c>
      <c r="C504" s="136">
        <v>0</v>
      </c>
      <c r="D504" s="469" t="s">
        <v>74</v>
      </c>
      <c r="E504" s="13" t="s">
        <v>1131</v>
      </c>
      <c r="F504" s="61">
        <v>7707313289957</v>
      </c>
      <c r="G504">
        <f t="shared" si="28"/>
        <v>20000</v>
      </c>
      <c r="H504">
        <f t="shared" si="29"/>
        <v>1</v>
      </c>
      <c r="I504" t="str">
        <f t="shared" si="27"/>
        <v>ACTIFREN NIÑO- CEREZA</v>
      </c>
    </row>
    <row r="505" spans="1:9">
      <c r="A505" s="146" t="s">
        <v>1130</v>
      </c>
      <c r="B505" s="147">
        <v>1</v>
      </c>
      <c r="C505" s="148">
        <v>0</v>
      </c>
      <c r="D505" s="444" t="s">
        <v>74</v>
      </c>
      <c r="E505" s="159" t="s">
        <v>1131</v>
      </c>
      <c r="F505" s="160">
        <v>7707313289520</v>
      </c>
      <c r="G505">
        <f t="shared" si="28"/>
        <v>20000</v>
      </c>
      <c r="H505">
        <f t="shared" si="29"/>
        <v>1</v>
      </c>
      <c r="I505" t="str">
        <f t="shared" si="27"/>
        <v>ACTIFREN ADULTO / MULTIVITAMINICO SUSP</v>
      </c>
    </row>
    <row r="506" spans="1:9">
      <c r="A506" s="28" t="s">
        <v>160</v>
      </c>
      <c r="B506" s="30">
        <v>4</v>
      </c>
      <c r="C506" s="31">
        <v>0</v>
      </c>
      <c r="D506" s="447" t="s">
        <v>23</v>
      </c>
      <c r="E506" s="8" t="s">
        <v>161</v>
      </c>
      <c r="F506" s="63">
        <v>7704412118546</v>
      </c>
      <c r="G506">
        <f t="shared" si="28"/>
        <v>15000</v>
      </c>
      <c r="H506">
        <f t="shared" si="29"/>
        <v>1</v>
      </c>
      <c r="I506" t="str">
        <f t="shared" si="27"/>
        <v>CLOTRIMAZOL VAGINAL 2% - MEMPHIS</v>
      </c>
    </row>
    <row r="507" spans="1:9">
      <c r="A507" s="24" t="s">
        <v>2501</v>
      </c>
      <c r="B507" s="30">
        <v>1</v>
      </c>
      <c r="C507" s="31">
        <v>0.19</v>
      </c>
      <c r="D507" s="447" t="s">
        <v>91</v>
      </c>
      <c r="E507" s="8" t="s">
        <v>2502</v>
      </c>
      <c r="F507" s="63">
        <v>650240032677</v>
      </c>
      <c r="G507">
        <f t="shared" si="28"/>
        <v>16000</v>
      </c>
      <c r="H507">
        <f t="shared" si="29"/>
        <v>1</v>
      </c>
      <c r="I507" t="str">
        <f t="shared" si="27"/>
        <v>TEATRICAL HUMECTANTE</v>
      </c>
    </row>
    <row r="508" spans="1:9">
      <c r="A508" s="71" t="s">
        <v>1819</v>
      </c>
      <c r="B508" s="14">
        <v>6</v>
      </c>
      <c r="C508" s="105">
        <v>0</v>
      </c>
      <c r="D508" s="308" t="s">
        <v>7</v>
      </c>
      <c r="E508" s="13" t="s">
        <v>1820</v>
      </c>
      <c r="F508" s="61">
        <v>7703038061038</v>
      </c>
      <c r="G508">
        <f t="shared" si="28"/>
        <v>7000</v>
      </c>
      <c r="H508">
        <f t="shared" si="29"/>
        <v>1</v>
      </c>
      <c r="I508" t="str">
        <f t="shared" si="27"/>
        <v>KETOTIFENO JARABE- LAPROFF</v>
      </c>
    </row>
    <row r="509" spans="1:9" ht="15">
      <c r="A509" s="69" t="s">
        <v>264</v>
      </c>
      <c r="B509" s="14">
        <v>1</v>
      </c>
      <c r="C509" s="55">
        <v>0</v>
      </c>
      <c r="D509" s="375" t="s">
        <v>214</v>
      </c>
      <c r="E509" s="12" t="s">
        <v>265</v>
      </c>
      <c r="F509" s="61">
        <v>7702870071502</v>
      </c>
      <c r="G509">
        <f t="shared" si="28"/>
        <v>2000</v>
      </c>
      <c r="H509">
        <f t="shared" si="29"/>
        <v>1</v>
      </c>
      <c r="I509" t="str">
        <f t="shared" si="27"/>
        <v>LUMBAL FORTE *36 TAB</v>
      </c>
    </row>
    <row r="510" spans="1:9">
      <c r="A510" s="8" t="s">
        <v>2503</v>
      </c>
      <c r="B510" s="30">
        <v>1</v>
      </c>
      <c r="C510" s="31">
        <v>0</v>
      </c>
      <c r="D510" s="447" t="s">
        <v>2504</v>
      </c>
      <c r="E510" s="8" t="s">
        <v>2505</v>
      </c>
      <c r="F510" s="63">
        <v>7703153032906</v>
      </c>
      <c r="G510" t="e">
        <f t="shared" si="28"/>
        <v>#VALUE!</v>
      </c>
      <c r="H510">
        <f t="shared" si="29"/>
        <v>1</v>
      </c>
      <c r="I510" t="str">
        <f t="shared" si="27"/>
        <v>VITAMINA D3 2000 U,I *100 CAPS BLISTER COLMED</v>
      </c>
    </row>
    <row r="511" spans="1:9">
      <c r="A511" s="71" t="s">
        <v>2229</v>
      </c>
      <c r="B511" s="14">
        <v>1</v>
      </c>
      <c r="C511" s="105">
        <v>0.19</v>
      </c>
      <c r="D511" s="308" t="s">
        <v>1075</v>
      </c>
      <c r="E511" s="12" t="s">
        <v>2230</v>
      </c>
      <c r="F511" s="61">
        <v>7702057082130</v>
      </c>
      <c r="G511">
        <f t="shared" si="28"/>
        <v>22000</v>
      </c>
      <c r="H511">
        <f t="shared" si="29"/>
        <v>2</v>
      </c>
      <c r="I511" t="str">
        <f t="shared" si="27"/>
        <v>YODORA *32GR +32GR PROMO</v>
      </c>
    </row>
    <row r="512" spans="1:9">
      <c r="A512" s="71" t="s">
        <v>1047</v>
      </c>
      <c r="B512" s="14">
        <v>1</v>
      </c>
      <c r="C512" s="105">
        <v>0.19</v>
      </c>
      <c r="D512" s="308" t="s">
        <v>26</v>
      </c>
      <c r="E512" s="12" t="s">
        <v>1048</v>
      </c>
      <c r="F512" s="61">
        <v>7702057089290</v>
      </c>
      <c r="G512">
        <f t="shared" si="28"/>
        <v>30000</v>
      </c>
      <c r="H512">
        <f t="shared" si="29"/>
        <v>1</v>
      </c>
      <c r="I512" t="str">
        <f t="shared" si="27"/>
        <v>YODORA PROMO 60GR + 32GR PACK</v>
      </c>
    </row>
    <row r="513" spans="1:9">
      <c r="A513" s="64" t="s">
        <v>1058</v>
      </c>
      <c r="B513" s="102">
        <v>2</v>
      </c>
      <c r="C513" s="101">
        <v>0</v>
      </c>
      <c r="D513" s="443" t="s">
        <v>1777</v>
      </c>
      <c r="E513" s="64" t="s">
        <v>1060</v>
      </c>
      <c r="F513" s="103">
        <v>7709225183033</v>
      </c>
      <c r="G513">
        <f t="shared" si="28"/>
        <v>21000</v>
      </c>
      <c r="H513">
        <f t="shared" si="29"/>
        <v>30</v>
      </c>
      <c r="I513" t="str">
        <f t="shared" si="27"/>
        <v>ACTIVIT-B / COMPLEJO B + ZINC+ ACIDO FOLICO + VITAMINA D3</v>
      </c>
    </row>
    <row r="514" spans="1:9">
      <c r="A514" t="s">
        <v>2506</v>
      </c>
      <c r="B514" s="23">
        <v>2</v>
      </c>
      <c r="C514" s="51">
        <v>0.19</v>
      </c>
      <c r="D514" s="446" t="s">
        <v>74</v>
      </c>
      <c r="E514" s="41" t="s">
        <v>2507</v>
      </c>
      <c r="F514" s="42">
        <v>7891024123362</v>
      </c>
      <c r="G514">
        <f t="shared" si="28"/>
        <v>20000</v>
      </c>
      <c r="H514">
        <f t="shared" si="29"/>
        <v>1</v>
      </c>
      <c r="I514" t="str">
        <f t="shared" si="27"/>
        <v>COLGATE MAXWHITE BLANCUR LIMP- COMPL X180GR</v>
      </c>
    </row>
    <row r="515" spans="1:9">
      <c r="A515" s="22" t="s">
        <v>205</v>
      </c>
      <c r="B515" s="23">
        <v>1</v>
      </c>
      <c r="C515" s="51">
        <v>0.19</v>
      </c>
      <c r="D515" s="446" t="s">
        <v>888</v>
      </c>
      <c r="E515" s="41" t="s">
        <v>207</v>
      </c>
      <c r="F515" s="42">
        <v>7708636936016</v>
      </c>
      <c r="G515">
        <f t="shared" si="28"/>
        <v>37000</v>
      </c>
      <c r="H515">
        <f t="shared" si="29"/>
        <v>1</v>
      </c>
      <c r="I515" t="str">
        <f t="shared" ref="I515:I578" si="30">TRIM(A515)</f>
        <v>CLORHEXIDINA 0,12% ENJUAGUE X180ML - DOLAPCK ENCIAS</v>
      </c>
    </row>
    <row r="516" spans="1:9">
      <c r="A516" s="22" t="s">
        <v>2508</v>
      </c>
      <c r="B516" s="23">
        <v>1</v>
      </c>
      <c r="C516" s="51">
        <v>0</v>
      </c>
      <c r="D516" s="446" t="s">
        <v>348</v>
      </c>
      <c r="E516" s="41" t="s">
        <v>75</v>
      </c>
      <c r="F516" s="42">
        <v>7703445210012</v>
      </c>
      <c r="G516">
        <f t="shared" si="28"/>
        <v>36000</v>
      </c>
      <c r="H516">
        <f t="shared" si="29"/>
        <v>1</v>
      </c>
      <c r="I516" t="str">
        <f t="shared" si="30"/>
        <v>FLUTOX JARABE</v>
      </c>
    </row>
    <row r="517" spans="1:9">
      <c r="A517" s="22" t="s">
        <v>2509</v>
      </c>
      <c r="B517" s="23">
        <v>3</v>
      </c>
      <c r="C517" s="51">
        <v>0</v>
      </c>
      <c r="D517" s="446" t="s">
        <v>85</v>
      </c>
      <c r="E517" s="39" t="s">
        <v>2510</v>
      </c>
      <c r="F517" s="42">
        <v>7706569000682</v>
      </c>
      <c r="G517">
        <f t="shared" si="28"/>
        <v>11000</v>
      </c>
      <c r="H517">
        <f t="shared" si="29"/>
        <v>1</v>
      </c>
      <c r="I517" t="str">
        <f t="shared" si="30"/>
        <v>IBUPROFENO SUSP AG - KIDS</v>
      </c>
    </row>
    <row r="518" spans="1:9">
      <c r="A518" s="64" t="s">
        <v>197</v>
      </c>
      <c r="B518" s="102">
        <v>7</v>
      </c>
      <c r="C518" s="101">
        <v>0</v>
      </c>
      <c r="D518" s="443" t="s">
        <v>88</v>
      </c>
      <c r="E518" s="64" t="s">
        <v>198</v>
      </c>
      <c r="F518" s="103">
        <v>7709695236871</v>
      </c>
      <c r="G518">
        <f t="shared" si="28"/>
        <v>18000</v>
      </c>
      <c r="H518">
        <f t="shared" si="29"/>
        <v>1</v>
      </c>
      <c r="I518" t="str">
        <f t="shared" si="30"/>
        <v>PROPOTUSSIN NIÑOS</v>
      </c>
    </row>
    <row r="519" spans="1:9">
      <c r="A519" s="22" t="s">
        <v>2511</v>
      </c>
      <c r="B519" s="23">
        <v>2</v>
      </c>
      <c r="C519" s="51">
        <v>0.19</v>
      </c>
      <c r="D519" s="446" t="s">
        <v>2512</v>
      </c>
      <c r="E519" s="41" t="s">
        <v>2513</v>
      </c>
      <c r="F519" s="42">
        <v>7702027440175</v>
      </c>
      <c r="G519">
        <f t="shared" si="28"/>
        <v>9000</v>
      </c>
      <c r="H519">
        <f t="shared" si="29"/>
        <v>12</v>
      </c>
      <c r="I519" t="str">
        <f t="shared" si="30"/>
        <v>PROTECTORES *12 DE LACTANCIA NOSOTRAS</v>
      </c>
    </row>
    <row r="520" spans="1:9">
      <c r="A520" t="s">
        <v>2514</v>
      </c>
      <c r="B520" s="23">
        <v>1</v>
      </c>
      <c r="C520" s="51">
        <v>0</v>
      </c>
      <c r="D520" s="446" t="s">
        <v>2222</v>
      </c>
      <c r="E520" s="41" t="s">
        <v>2515</v>
      </c>
      <c r="F520" s="42">
        <v>7703712036505</v>
      </c>
      <c r="G520">
        <f t="shared" si="28"/>
        <v>4500</v>
      </c>
      <c r="H520">
        <f t="shared" si="29"/>
        <v>10</v>
      </c>
      <c r="I520" t="str">
        <f t="shared" si="30"/>
        <v>NAPROXENO 500MG X330 COASPHA</v>
      </c>
    </row>
    <row r="521" spans="1:9" ht="15">
      <c r="A521" s="74" t="s">
        <v>2190</v>
      </c>
      <c r="B521" s="36">
        <v>10</v>
      </c>
      <c r="C521" s="164">
        <v>0</v>
      </c>
      <c r="D521" s="378" t="s">
        <v>2516</v>
      </c>
      <c r="E521" s="74" t="s">
        <v>1773</v>
      </c>
      <c r="F521" s="46">
        <v>7707177972286</v>
      </c>
      <c r="G521">
        <f t="shared" si="28"/>
        <v>13000</v>
      </c>
      <c r="H521">
        <f t="shared" si="29"/>
        <v>8</v>
      </c>
      <c r="I521" t="str">
        <f t="shared" si="30"/>
        <v>CEFRADINA CAPS RECIPE X24 / CEFREX BUSSIÉ</v>
      </c>
    </row>
    <row r="522" spans="1:9">
      <c r="A522" s="24" t="s">
        <v>1388</v>
      </c>
      <c r="B522" s="30">
        <v>1</v>
      </c>
      <c r="C522" s="31">
        <v>0.19</v>
      </c>
      <c r="D522" s="447" t="s">
        <v>676</v>
      </c>
      <c r="E522" s="8" t="s">
        <v>1389</v>
      </c>
      <c r="F522" s="63">
        <v>7705471700390</v>
      </c>
      <c r="G522">
        <f t="shared" si="28"/>
        <v>21000</v>
      </c>
      <c r="H522">
        <f t="shared" si="29"/>
        <v>1</v>
      </c>
      <c r="I522" t="str">
        <f t="shared" si="30"/>
        <v>HIELO MINERAL GEL X200GR</v>
      </c>
    </row>
    <row r="523" spans="1:9">
      <c r="A523" s="24" t="s">
        <v>2517</v>
      </c>
      <c r="B523" s="30">
        <v>2</v>
      </c>
      <c r="C523" s="31">
        <v>0.19</v>
      </c>
      <c r="D523" s="447" t="s">
        <v>32</v>
      </c>
      <c r="E523" s="8" t="s">
        <v>2518</v>
      </c>
      <c r="F523" s="63">
        <v>7705471700383</v>
      </c>
      <c r="G523">
        <f t="shared" si="28"/>
        <v>12000</v>
      </c>
      <c r="H523">
        <f t="shared" si="29"/>
        <v>1</v>
      </c>
      <c r="I523" t="str">
        <f t="shared" si="30"/>
        <v>HIELO MINERAL GEL X100GR</v>
      </c>
    </row>
    <row r="524" spans="1:9">
      <c r="A524" s="22" t="s">
        <v>980</v>
      </c>
      <c r="B524" s="23">
        <v>3</v>
      </c>
      <c r="C524" s="51">
        <v>0</v>
      </c>
      <c r="D524" s="446" t="s">
        <v>355</v>
      </c>
      <c r="E524" s="41" t="s">
        <v>982</v>
      </c>
      <c r="F524" s="42">
        <v>7702605101801</v>
      </c>
      <c r="G524">
        <f t="shared" si="28"/>
        <v>10000</v>
      </c>
      <c r="H524">
        <f t="shared" si="29"/>
        <v>10</v>
      </c>
      <c r="I524" t="str">
        <f t="shared" si="30"/>
        <v>KETOPROFENO 100MG TAB- GENFAR X30 TBAS</v>
      </c>
    </row>
    <row r="525" spans="1:9">
      <c r="A525" t="s">
        <v>2519</v>
      </c>
      <c r="B525" s="23">
        <v>5</v>
      </c>
      <c r="C525" s="51">
        <v>0</v>
      </c>
      <c r="D525" s="446" t="s">
        <v>59</v>
      </c>
      <c r="E525" s="41" t="s">
        <v>2520</v>
      </c>
      <c r="F525" s="42">
        <v>7707364804246</v>
      </c>
      <c r="G525">
        <f t="shared" si="28"/>
        <v>3000</v>
      </c>
      <c r="H525">
        <f t="shared" si="29"/>
        <v>1</v>
      </c>
      <c r="I525" t="str">
        <f t="shared" si="30"/>
        <v>VENDA ELASTICA 3X5 MEDICAL SUPPLIES ROSA</v>
      </c>
    </row>
    <row r="526" spans="1:9">
      <c r="A526" s="146" t="s">
        <v>852</v>
      </c>
      <c r="B526" s="147">
        <v>1</v>
      </c>
      <c r="C526" s="148">
        <v>0</v>
      </c>
      <c r="D526" s="444" t="s">
        <v>2222</v>
      </c>
      <c r="E526" s="159" t="s">
        <v>854</v>
      </c>
      <c r="F526" s="160">
        <v>7703153024796</v>
      </c>
      <c r="G526">
        <f t="shared" si="28"/>
        <v>4500</v>
      </c>
      <c r="H526">
        <f t="shared" si="29"/>
        <v>10</v>
      </c>
      <c r="I526" t="str">
        <f t="shared" si="30"/>
        <v>VITAMINA E 400 U.I COLMED *100 CAPSULAS</v>
      </c>
    </row>
    <row r="527" spans="1:9">
      <c r="A527" t="s">
        <v>2521</v>
      </c>
      <c r="B527" s="23">
        <v>3</v>
      </c>
      <c r="C527" s="51">
        <v>0</v>
      </c>
      <c r="D527" s="446" t="s">
        <v>103</v>
      </c>
      <c r="E527" s="41" t="s">
        <v>2522</v>
      </c>
      <c r="F527" s="42">
        <v>7707274724139</v>
      </c>
      <c r="G527">
        <f t="shared" si="28"/>
        <v>5000</v>
      </c>
      <c r="H527">
        <f t="shared" si="29"/>
        <v>10</v>
      </c>
      <c r="I527" t="str">
        <f t="shared" si="30"/>
        <v>AMOXICILINA CAPS X60 - SOLOMOXY</v>
      </c>
    </row>
    <row r="528" spans="1:9">
      <c r="A528" t="s">
        <v>1903</v>
      </c>
      <c r="B528" s="23">
        <v>2</v>
      </c>
      <c r="C528" s="51">
        <v>0</v>
      </c>
      <c r="D528" s="446" t="s">
        <v>112</v>
      </c>
      <c r="E528" s="41" t="s">
        <v>1904</v>
      </c>
      <c r="F528" s="42">
        <v>7709258997706</v>
      </c>
      <c r="G528">
        <f t="shared" si="28"/>
        <v>26000</v>
      </c>
      <c r="H528">
        <f t="shared" si="29"/>
        <v>1</v>
      </c>
      <c r="I528" t="str">
        <f t="shared" si="30"/>
        <v>KOMILON APPETIT / MULTIVITAMINICO</v>
      </c>
    </row>
    <row r="529" spans="1:9">
      <c r="A529" s="24" t="s">
        <v>2524</v>
      </c>
      <c r="B529" s="30">
        <v>1</v>
      </c>
      <c r="C529" s="31">
        <v>0</v>
      </c>
      <c r="D529" s="447" t="s">
        <v>38</v>
      </c>
      <c r="E529" s="7" t="s">
        <v>2355</v>
      </c>
      <c r="F529" s="63">
        <v>7702605337606</v>
      </c>
      <c r="G529">
        <f t="shared" si="28"/>
        <v>9000</v>
      </c>
      <c r="H529">
        <f t="shared" si="29"/>
        <v>1</v>
      </c>
      <c r="I529" t="str">
        <f t="shared" si="30"/>
        <v>KETOROLACO AMP- GENFAR / X5 AMP</v>
      </c>
    </row>
    <row r="530" spans="1:9">
      <c r="A530" s="24" t="s">
        <v>2525</v>
      </c>
      <c r="B530" s="30">
        <v>3</v>
      </c>
      <c r="C530" s="31">
        <v>0.19</v>
      </c>
      <c r="D530" s="447" t="s">
        <v>293</v>
      </c>
      <c r="E530" s="7" t="s">
        <v>2526</v>
      </c>
      <c r="F530" s="63">
        <v>7705471700154</v>
      </c>
      <c r="G530">
        <f t="shared" si="28"/>
        <v>4000</v>
      </c>
      <c r="H530">
        <f t="shared" si="29"/>
        <v>1</v>
      </c>
      <c r="I530" t="str">
        <f t="shared" si="30"/>
        <v>MANTECA DE CACAO UVA ATHOS</v>
      </c>
    </row>
    <row r="531" spans="1:9">
      <c r="A531" s="24" t="s">
        <v>2527</v>
      </c>
      <c r="B531" s="30">
        <v>3</v>
      </c>
      <c r="C531" s="31">
        <v>0.19</v>
      </c>
      <c r="D531" s="447" t="s">
        <v>293</v>
      </c>
      <c r="E531" s="7" t="s">
        <v>2526</v>
      </c>
      <c r="F531" s="63">
        <v>7705471700161</v>
      </c>
      <c r="G531">
        <f t="shared" si="28"/>
        <v>4000</v>
      </c>
      <c r="H531">
        <f t="shared" si="29"/>
        <v>1</v>
      </c>
      <c r="I531" t="str">
        <f t="shared" si="30"/>
        <v>MANTECA DE CACAO VAINILLA ATHOS</v>
      </c>
    </row>
    <row r="532" spans="1:9">
      <c r="A532" s="24" t="s">
        <v>2528</v>
      </c>
      <c r="B532" s="30">
        <v>3</v>
      </c>
      <c r="C532" s="31">
        <v>0.19</v>
      </c>
      <c r="D532" s="447" t="s">
        <v>293</v>
      </c>
      <c r="E532" s="7" t="s">
        <v>2529</v>
      </c>
      <c r="F532" s="63">
        <v>7705471206526</v>
      </c>
      <c r="G532">
        <f t="shared" si="28"/>
        <v>4000</v>
      </c>
      <c r="H532">
        <f t="shared" si="29"/>
        <v>1</v>
      </c>
      <c r="I532" t="str">
        <f t="shared" si="30"/>
        <v>MANTECA DE CACAO COCO ATHOS</v>
      </c>
    </row>
    <row r="533" spans="1:9">
      <c r="A533" s="24" t="s">
        <v>2530</v>
      </c>
      <c r="B533" s="30">
        <v>3</v>
      </c>
      <c r="C533" s="31">
        <v>0.19</v>
      </c>
      <c r="D533" s="447" t="s">
        <v>293</v>
      </c>
      <c r="E533" s="7" t="s">
        <v>2526</v>
      </c>
      <c r="F533" s="63">
        <v>7705471700079</v>
      </c>
      <c r="G533">
        <f t="shared" si="28"/>
        <v>4000</v>
      </c>
      <c r="H533">
        <f t="shared" si="29"/>
        <v>1</v>
      </c>
      <c r="I533" t="str">
        <f t="shared" si="30"/>
        <v>MANTECA DE CACAO LIMON ATHOS</v>
      </c>
    </row>
    <row r="534" spans="1:9">
      <c r="A534" s="64" t="s">
        <v>1163</v>
      </c>
      <c r="B534" s="102">
        <v>1</v>
      </c>
      <c r="C534" s="101">
        <v>0</v>
      </c>
      <c r="D534" s="443" t="s">
        <v>2531</v>
      </c>
      <c r="E534" s="64" t="s">
        <v>889</v>
      </c>
      <c r="F534" s="103">
        <v>7707239276215</v>
      </c>
      <c r="G534">
        <f t="shared" si="28"/>
        <v>45000</v>
      </c>
      <c r="H534">
        <f t="shared" si="29"/>
        <v>1</v>
      </c>
      <c r="I534" t="str">
        <f t="shared" si="30"/>
        <v>HIALTEARS- 15ML</v>
      </c>
    </row>
    <row r="535" spans="1:9">
      <c r="A535" s="64" t="s">
        <v>887</v>
      </c>
      <c r="B535" s="102">
        <v>1</v>
      </c>
      <c r="C535" s="101">
        <v>0</v>
      </c>
      <c r="D535" s="443" t="s">
        <v>2532</v>
      </c>
      <c r="E535" s="64" t="s">
        <v>889</v>
      </c>
      <c r="F535" s="103">
        <v>7707239276291</v>
      </c>
      <c r="G535">
        <f t="shared" si="28"/>
        <v>40000</v>
      </c>
      <c r="H535">
        <f t="shared" si="29"/>
        <v>1</v>
      </c>
      <c r="I535" t="str">
        <f t="shared" si="30"/>
        <v>HIALTEARS-10ML</v>
      </c>
    </row>
    <row r="536" spans="1:9" ht="30">
      <c r="A536" s="16" t="s">
        <v>2533</v>
      </c>
      <c r="B536" s="23">
        <v>1</v>
      </c>
      <c r="C536" s="51">
        <v>0</v>
      </c>
      <c r="D536" s="446" t="s">
        <v>59</v>
      </c>
      <c r="E536" s="73" t="s">
        <v>1606</v>
      </c>
      <c r="F536" s="20">
        <v>7730969301797</v>
      </c>
      <c r="G536">
        <f t="shared" si="28"/>
        <v>3000</v>
      </c>
      <c r="H536">
        <f t="shared" si="29"/>
        <v>1</v>
      </c>
      <c r="I536" t="str">
        <f t="shared" si="30"/>
        <v>SERTAL COMPUESTO X10 -TAB / CLONIXINATO DE LISINA 125MG + PROPINOX CLORHIDRATO 10MG</v>
      </c>
    </row>
    <row r="537" spans="1:9">
      <c r="A537" s="146" t="s">
        <v>577</v>
      </c>
      <c r="B537" s="147">
        <v>1</v>
      </c>
      <c r="C537" s="234">
        <v>0</v>
      </c>
      <c r="D537" s="485" t="s">
        <v>578</v>
      </c>
      <c r="E537" s="159" t="s">
        <v>579</v>
      </c>
      <c r="F537" s="160">
        <v>7702057079642</v>
      </c>
      <c r="G537">
        <f t="shared" si="28"/>
        <v>12000</v>
      </c>
      <c r="H537">
        <f t="shared" si="29"/>
        <v>20</v>
      </c>
      <c r="I537" t="str">
        <f t="shared" si="30"/>
        <v>RISPERIDONA 1MG - MK X20</v>
      </c>
    </row>
    <row r="538" spans="1:9">
      <c r="A538" s="146" t="s">
        <v>1619</v>
      </c>
      <c r="B538" s="147">
        <v>1</v>
      </c>
      <c r="C538" s="234">
        <v>0</v>
      </c>
      <c r="D538" s="485" t="s">
        <v>1886</v>
      </c>
      <c r="E538" s="159" t="s">
        <v>579</v>
      </c>
      <c r="F538" s="160">
        <v>7702057079598</v>
      </c>
      <c r="G538">
        <f t="shared" si="28"/>
        <v>20000</v>
      </c>
      <c r="H538">
        <f t="shared" si="29"/>
        <v>20</v>
      </c>
      <c r="I538" t="str">
        <f t="shared" si="30"/>
        <v>RISPERIDONA 2MG - MK X20</v>
      </c>
    </row>
    <row r="539" spans="1:9">
      <c r="A539" s="22" t="s">
        <v>2534</v>
      </c>
      <c r="B539" s="23">
        <v>20</v>
      </c>
      <c r="C539" s="51">
        <v>0</v>
      </c>
      <c r="D539" s="483" t="s">
        <v>10</v>
      </c>
      <c r="E539" s="39" t="s">
        <v>2535</v>
      </c>
      <c r="F539" s="42">
        <v>7704412265776</v>
      </c>
      <c r="G539">
        <f t="shared" si="28"/>
        <v>8000</v>
      </c>
      <c r="H539">
        <f t="shared" si="29"/>
        <v>1</v>
      </c>
      <c r="I539" t="str">
        <f t="shared" si="30"/>
        <v>TRAMADOL GOTAS MEMPHIS</v>
      </c>
    </row>
    <row r="540" spans="1:9">
      <c r="A540" t="s">
        <v>2536</v>
      </c>
      <c r="B540" s="23">
        <v>30</v>
      </c>
      <c r="C540" s="51">
        <v>0</v>
      </c>
      <c r="D540" s="446" t="s">
        <v>10</v>
      </c>
      <c r="E540" s="41" t="s">
        <v>2535</v>
      </c>
      <c r="F540" s="42">
        <v>7702184020661</v>
      </c>
      <c r="G540">
        <f t="shared" si="28"/>
        <v>8000</v>
      </c>
      <c r="H540">
        <f t="shared" si="29"/>
        <v>1</v>
      </c>
      <c r="I540" t="str">
        <f t="shared" si="30"/>
        <v>TRAMADOL GOTAS ECAR - MENTA</v>
      </c>
    </row>
    <row r="541" spans="1:9">
      <c r="A541" s="13" t="s">
        <v>2537</v>
      </c>
      <c r="B541" s="14">
        <v>20</v>
      </c>
      <c r="C541" s="105">
        <v>0</v>
      </c>
      <c r="D541" s="308" t="s">
        <v>10</v>
      </c>
      <c r="E541" s="13" t="s">
        <v>2538</v>
      </c>
      <c r="F541" s="61">
        <v>267703432421605</v>
      </c>
      <c r="G541">
        <f t="shared" si="28"/>
        <v>8000</v>
      </c>
      <c r="H541">
        <f t="shared" si="29"/>
        <v>1</v>
      </c>
      <c r="I541" t="str">
        <f t="shared" si="30"/>
        <v>TRAMADOL GOTAS - EXPOFARMA</v>
      </c>
    </row>
    <row r="542" spans="1:9">
      <c r="A542" t="s">
        <v>2542</v>
      </c>
      <c r="B542" s="23">
        <v>2</v>
      </c>
      <c r="C542" s="51">
        <v>0</v>
      </c>
      <c r="D542" s="446" t="s">
        <v>222</v>
      </c>
      <c r="E542" s="39" t="s">
        <v>2543</v>
      </c>
      <c r="F542" s="42">
        <v>7707282990939</v>
      </c>
      <c r="G542">
        <f t="shared" si="28"/>
        <v>1500</v>
      </c>
      <c r="H542">
        <f t="shared" si="29"/>
        <v>1</v>
      </c>
      <c r="I542" t="str">
        <f t="shared" si="30"/>
        <v>ESPARADRAPO TELA 1*1/2 BEGUT</v>
      </c>
    </row>
    <row r="543" spans="1:9">
      <c r="A543" t="s">
        <v>2544</v>
      </c>
      <c r="B543" s="23">
        <v>3</v>
      </c>
      <c r="C543" s="51">
        <v>0</v>
      </c>
      <c r="D543" s="446" t="s">
        <v>2545</v>
      </c>
      <c r="E543" s="39" t="s">
        <v>2543</v>
      </c>
      <c r="F543" s="42">
        <v>7707282990076</v>
      </c>
      <c r="G543" t="e">
        <f t="shared" ref="G543:G606" si="31">IFERROR(VALUE(SUBSTITUTE(LEFT(LOWER(D543),FIND("x",LOWER(D543))-1),",","")),VALUE(SUBSTITUTE(D543,",","")))</f>
        <v>#VALUE!</v>
      </c>
      <c r="H543">
        <f t="shared" ref="H543:H606" si="32">IFERROR(VALUE(MID(LOWER(D543),FIND("x",LOWER(D543))+1,20)),1)</f>
        <v>1</v>
      </c>
      <c r="I543" t="str">
        <f t="shared" si="30"/>
        <v>ESPARADRAPO TELA 1*1 BEGUT</v>
      </c>
    </row>
    <row r="544" spans="1:9">
      <c r="A544" s="7" t="s">
        <v>178</v>
      </c>
      <c r="B544" s="30">
        <v>6</v>
      </c>
      <c r="C544" s="31">
        <v>0</v>
      </c>
      <c r="D544" s="447" t="s">
        <v>10</v>
      </c>
      <c r="E544" s="8" t="s">
        <v>179</v>
      </c>
      <c r="F544" s="63">
        <v>7730766003375</v>
      </c>
      <c r="G544">
        <f t="shared" si="31"/>
        <v>8000</v>
      </c>
      <c r="H544">
        <f t="shared" si="32"/>
        <v>1</v>
      </c>
      <c r="I544" t="str">
        <f t="shared" si="30"/>
        <v>MICROGYNON 30 *21</v>
      </c>
    </row>
    <row r="545" spans="1:9">
      <c r="A545" t="s">
        <v>2546</v>
      </c>
      <c r="B545" s="23">
        <v>3</v>
      </c>
      <c r="C545" s="51">
        <v>0</v>
      </c>
      <c r="D545" s="446" t="s">
        <v>14</v>
      </c>
      <c r="E545" s="41" t="s">
        <v>2547</v>
      </c>
      <c r="F545" s="42">
        <v>7704412142916</v>
      </c>
      <c r="G545">
        <f t="shared" si="31"/>
        <v>17000</v>
      </c>
      <c r="H545">
        <f t="shared" si="32"/>
        <v>1</v>
      </c>
      <c r="I545" t="str">
        <f t="shared" si="30"/>
        <v>DICLOXACILINA SUSP - MEPHIS</v>
      </c>
    </row>
    <row r="546" spans="1:9">
      <c r="A546" t="s">
        <v>2548</v>
      </c>
      <c r="B546" s="23">
        <v>3</v>
      </c>
      <c r="C546" s="51">
        <v>0.19</v>
      </c>
      <c r="D546" s="446" t="s">
        <v>747</v>
      </c>
      <c r="E546" s="41" t="s">
        <v>2549</v>
      </c>
      <c r="F546" s="42">
        <v>7709997867865</v>
      </c>
      <c r="G546">
        <f t="shared" si="31"/>
        <v>14000</v>
      </c>
      <c r="H546">
        <f t="shared" si="32"/>
        <v>1</v>
      </c>
      <c r="I546" t="str">
        <f t="shared" si="30"/>
        <v>EUCALIP RUB - NASAL</v>
      </c>
    </row>
    <row r="547" spans="1:9">
      <c r="A547" s="69" t="s">
        <v>2550</v>
      </c>
      <c r="B547" s="14">
        <v>1</v>
      </c>
      <c r="C547" s="105">
        <v>0</v>
      </c>
      <c r="D547" s="308" t="s">
        <v>381</v>
      </c>
      <c r="E547" s="13" t="s">
        <v>2551</v>
      </c>
      <c r="F547" s="61">
        <v>7500435120050</v>
      </c>
      <c r="G547">
        <f t="shared" si="31"/>
        <v>40000</v>
      </c>
      <c r="H547">
        <f t="shared" si="32"/>
        <v>1</v>
      </c>
      <c r="I547" t="str">
        <f t="shared" si="30"/>
        <v>CLEAR BLUE DIGITAL PRUEBA EMBARAZO</v>
      </c>
    </row>
    <row r="548" spans="1:9">
      <c r="A548" s="24" t="s">
        <v>2552</v>
      </c>
      <c r="B548" s="25">
        <v>1</v>
      </c>
      <c r="C548" s="26">
        <v>0</v>
      </c>
      <c r="D548" s="305" t="s">
        <v>2209</v>
      </c>
      <c r="E548" s="7" t="s">
        <v>2553</v>
      </c>
      <c r="F548" s="129">
        <v>736085414615</v>
      </c>
      <c r="G548">
        <f t="shared" si="31"/>
        <v>61000</v>
      </c>
      <c r="H548">
        <f t="shared" si="32"/>
        <v>1</v>
      </c>
      <c r="I548" t="str">
        <f t="shared" si="30"/>
        <v>HUMYLUB OFTENO</v>
      </c>
    </row>
    <row r="549" spans="1:9">
      <c r="A549" t="s">
        <v>2554</v>
      </c>
      <c r="B549" s="23">
        <v>1</v>
      </c>
      <c r="C549" s="51">
        <v>0</v>
      </c>
      <c r="D549" s="446" t="s">
        <v>222</v>
      </c>
      <c r="E549" s="41" t="s">
        <v>2555</v>
      </c>
      <c r="F549" s="42">
        <v>7709358082456</v>
      </c>
      <c r="G549">
        <f t="shared" si="31"/>
        <v>1500</v>
      </c>
      <c r="H549">
        <f t="shared" si="32"/>
        <v>1</v>
      </c>
      <c r="I549" t="str">
        <f t="shared" si="30"/>
        <v>CEFADOL / IBUPROFENO + ACETAMINOFEN + CAFEINA</v>
      </c>
    </row>
    <row r="550" spans="1:9">
      <c r="A550" t="s">
        <v>2556</v>
      </c>
      <c r="B550" s="23">
        <v>1</v>
      </c>
      <c r="C550" s="51">
        <v>0</v>
      </c>
      <c r="D550" s="446" t="s">
        <v>262</v>
      </c>
      <c r="E550" s="41" t="s">
        <v>2477</v>
      </c>
      <c r="F550" s="42">
        <v>7702184013991</v>
      </c>
      <c r="G550">
        <f t="shared" si="31"/>
        <v>7000</v>
      </c>
      <c r="H550">
        <f t="shared" si="32"/>
        <v>10</v>
      </c>
      <c r="I550" t="str">
        <f t="shared" si="30"/>
        <v>CLONIDINA 0,150MG - ECAR X60</v>
      </c>
    </row>
    <row r="551" spans="1:9">
      <c r="A551" s="28" t="s">
        <v>2072</v>
      </c>
      <c r="B551" s="30">
        <v>5</v>
      </c>
      <c r="C551" s="31">
        <v>0</v>
      </c>
      <c r="D551" s="447" t="s">
        <v>80</v>
      </c>
      <c r="E551" s="8" t="s">
        <v>2073</v>
      </c>
      <c r="F551" s="63">
        <v>7704412170896</v>
      </c>
      <c r="G551">
        <f t="shared" si="31"/>
        <v>6000</v>
      </c>
      <c r="H551">
        <f t="shared" si="32"/>
        <v>1</v>
      </c>
      <c r="I551" t="str">
        <f t="shared" si="30"/>
        <v>PAMOATO PIRANTEL MEMPHIS SUSP</v>
      </c>
    </row>
    <row r="552" spans="1:9" ht="15">
      <c r="A552" s="96" t="s">
        <v>1584</v>
      </c>
      <c r="B552" s="153">
        <v>1</v>
      </c>
      <c r="C552" s="55">
        <v>0</v>
      </c>
      <c r="D552" s="375" t="s">
        <v>222</v>
      </c>
      <c r="E552" s="152" t="s">
        <v>1585</v>
      </c>
      <c r="F552" s="155">
        <v>7707355055626</v>
      </c>
      <c r="G552">
        <f t="shared" si="31"/>
        <v>1500</v>
      </c>
      <c r="H552">
        <f t="shared" si="32"/>
        <v>1</v>
      </c>
      <c r="I552" t="str">
        <f t="shared" si="30"/>
        <v>NOXPIRIN PLUS X120 CAPS - PAGUE 120 LLEVE 124</v>
      </c>
    </row>
    <row r="553" spans="1:9">
      <c r="A553" t="s">
        <v>2557</v>
      </c>
      <c r="B553" s="23">
        <v>3</v>
      </c>
      <c r="C553" s="51">
        <v>0</v>
      </c>
      <c r="D553" s="446" t="s">
        <v>227</v>
      </c>
      <c r="E553" s="41" t="s">
        <v>2558</v>
      </c>
      <c r="F553" s="42">
        <v>7703546269315</v>
      </c>
      <c r="G553">
        <f t="shared" si="31"/>
        <v>8000</v>
      </c>
      <c r="H553">
        <f t="shared" si="32"/>
        <v>10</v>
      </c>
      <c r="I553" t="str">
        <f t="shared" si="30"/>
        <v>ATORVASTATINA 40MG- RISCOL NOVAMED X30</v>
      </c>
    </row>
    <row r="554" spans="1:9">
      <c r="A554" t="s">
        <v>838</v>
      </c>
      <c r="B554" s="23">
        <v>4</v>
      </c>
      <c r="C554" s="51">
        <v>0</v>
      </c>
      <c r="D554" s="446" t="s">
        <v>2280</v>
      </c>
      <c r="E554" s="41" t="s">
        <v>839</v>
      </c>
      <c r="F554" s="42">
        <v>7702870002636</v>
      </c>
      <c r="G554">
        <f t="shared" si="31"/>
        <v>12000</v>
      </c>
      <c r="H554">
        <f t="shared" si="32"/>
        <v>1</v>
      </c>
      <c r="I554" t="str">
        <f t="shared" si="30"/>
        <v>NOFERTYL AMP</v>
      </c>
    </row>
    <row r="555" spans="1:9">
      <c r="A555" s="28" t="s">
        <v>1902</v>
      </c>
      <c r="B555" s="30">
        <v>1</v>
      </c>
      <c r="C555" s="31">
        <v>0</v>
      </c>
      <c r="D555" s="447" t="s">
        <v>2559</v>
      </c>
      <c r="E555" s="7" t="s">
        <v>1263</v>
      </c>
      <c r="F555" s="63">
        <v>7702057168070</v>
      </c>
      <c r="G555">
        <f t="shared" si="31"/>
        <v>2000</v>
      </c>
      <c r="H555">
        <f t="shared" si="32"/>
        <v>1</v>
      </c>
      <c r="I555" t="str">
        <f t="shared" si="30"/>
        <v>NORAVER GARGANTA CEREZA *96 TABS</v>
      </c>
    </row>
    <row r="556" spans="1:9">
      <c r="A556" t="s">
        <v>2560</v>
      </c>
      <c r="B556" s="23">
        <v>2</v>
      </c>
      <c r="C556" s="51">
        <v>0</v>
      </c>
      <c r="D556" s="446" t="s">
        <v>2561</v>
      </c>
      <c r="E556" s="41" t="s">
        <v>2562</v>
      </c>
      <c r="F556" s="42">
        <v>7707355054322</v>
      </c>
      <c r="G556">
        <f t="shared" si="31"/>
        <v>3000</v>
      </c>
      <c r="H556">
        <f t="shared" si="32"/>
        <v>0.01</v>
      </c>
      <c r="I556" t="str">
        <f t="shared" si="30"/>
        <v>NOXPIRIN NOCHE PAGUE X24</v>
      </c>
    </row>
    <row r="557" spans="1:9">
      <c r="A557" s="146" t="s">
        <v>468</v>
      </c>
      <c r="B557" s="147">
        <v>6</v>
      </c>
      <c r="C557" s="148">
        <v>0</v>
      </c>
      <c r="D557" s="444" t="s">
        <v>214</v>
      </c>
      <c r="E557" s="159" t="s">
        <v>469</v>
      </c>
      <c r="F557" s="160">
        <v>7702208146032</v>
      </c>
      <c r="G557">
        <f t="shared" si="31"/>
        <v>2000</v>
      </c>
      <c r="H557">
        <f t="shared" si="32"/>
        <v>1</v>
      </c>
      <c r="I557" t="str">
        <f t="shared" si="30"/>
        <v>ALGODON *20GR HIGIETEX</v>
      </c>
    </row>
    <row r="558" spans="1:9">
      <c r="A558" s="24" t="s">
        <v>401</v>
      </c>
      <c r="B558" s="30">
        <v>2</v>
      </c>
      <c r="C558" s="31">
        <v>0</v>
      </c>
      <c r="D558" s="305" t="s">
        <v>402</v>
      </c>
      <c r="E558" s="7" t="s">
        <v>403</v>
      </c>
      <c r="F558" s="63">
        <v>7707019334302</v>
      </c>
      <c r="G558">
        <f t="shared" si="31"/>
        <v>29500</v>
      </c>
      <c r="H558">
        <f t="shared" si="32"/>
        <v>1</v>
      </c>
      <c r="I558" t="str">
        <f t="shared" si="30"/>
        <v>FUNGISTEROL SHAMPOO *200ML</v>
      </c>
    </row>
    <row r="559" spans="1:9">
      <c r="A559" s="7" t="s">
        <v>61</v>
      </c>
      <c r="B559" s="30">
        <v>6</v>
      </c>
      <c r="C559" s="31">
        <v>0</v>
      </c>
      <c r="D559" s="447" t="s">
        <v>62</v>
      </c>
      <c r="E559" s="7" t="s">
        <v>63</v>
      </c>
      <c r="F559" s="63">
        <v>7703153031251</v>
      </c>
      <c r="G559">
        <f t="shared" si="31"/>
        <v>35000</v>
      </c>
      <c r="H559">
        <f t="shared" si="32"/>
        <v>10</v>
      </c>
      <c r="I559" t="str">
        <f t="shared" si="30"/>
        <v>TRIMEBUTINA + SIMETICONA 200MG/ 120MG X30 CAJA (X10)</v>
      </c>
    </row>
    <row r="560" spans="1:9">
      <c r="A560" s="69" t="s">
        <v>2248</v>
      </c>
      <c r="B560" s="14">
        <v>6</v>
      </c>
      <c r="C560" s="105">
        <v>0</v>
      </c>
      <c r="D560" s="308" t="s">
        <v>91</v>
      </c>
      <c r="E560" s="13" t="s">
        <v>1177</v>
      </c>
      <c r="F560" s="61">
        <v>7702184130162</v>
      </c>
      <c r="G560">
        <f t="shared" si="31"/>
        <v>16000</v>
      </c>
      <c r="H560">
        <f t="shared" si="32"/>
        <v>1</v>
      </c>
      <c r="I560" t="str">
        <f t="shared" si="30"/>
        <v>VITAMINA B12 *10ML AMPOLLA / X1 AMPOLLAS</v>
      </c>
    </row>
    <row r="561" spans="1:9" ht="15">
      <c r="A561" s="73" t="s">
        <v>466</v>
      </c>
      <c r="B561" s="17">
        <v>12</v>
      </c>
      <c r="C561" s="124">
        <v>0</v>
      </c>
      <c r="D561" s="321" t="s">
        <v>23</v>
      </c>
      <c r="E561" s="73" t="s">
        <v>467</v>
      </c>
      <c r="F561" s="20">
        <v>7702184030196</v>
      </c>
      <c r="G561">
        <f t="shared" si="31"/>
        <v>15000</v>
      </c>
      <c r="H561">
        <f t="shared" si="32"/>
        <v>1</v>
      </c>
      <c r="I561" t="str">
        <f t="shared" si="30"/>
        <v>COMPLEJO B - 10ML AMPOLLA X12 UNDS</v>
      </c>
    </row>
    <row r="562" spans="1:9" ht="15">
      <c r="A562" s="73" t="s">
        <v>287</v>
      </c>
      <c r="B562" s="17">
        <v>8</v>
      </c>
      <c r="C562" s="33">
        <v>0</v>
      </c>
      <c r="D562" s="477" t="s">
        <v>10</v>
      </c>
      <c r="E562" s="73" t="s">
        <v>288</v>
      </c>
      <c r="F562" s="20">
        <v>7730766003382</v>
      </c>
      <c r="G562">
        <f t="shared" si="31"/>
        <v>8000</v>
      </c>
      <c r="H562">
        <f t="shared" si="32"/>
        <v>1</v>
      </c>
      <c r="I562" t="str">
        <f t="shared" si="30"/>
        <v>MICROGYNON SUAVE</v>
      </c>
    </row>
    <row r="563" spans="1:9">
      <c r="A563" t="s">
        <v>2563</v>
      </c>
      <c r="B563" s="23">
        <v>2</v>
      </c>
      <c r="C563" s="51">
        <v>0</v>
      </c>
      <c r="D563" s="446" t="s">
        <v>10</v>
      </c>
      <c r="E563" s="39" t="s">
        <v>2564</v>
      </c>
      <c r="F563" s="42">
        <v>7702896001231</v>
      </c>
      <c r="G563">
        <f t="shared" si="31"/>
        <v>8000</v>
      </c>
      <c r="H563">
        <f t="shared" si="32"/>
        <v>1</v>
      </c>
      <c r="I563" t="str">
        <f t="shared" si="30"/>
        <v>DEXABLAS 8MG - DEXAMETASONA AMPOLLA X5</v>
      </c>
    </row>
    <row r="564" spans="1:9">
      <c r="A564" t="s">
        <v>2565</v>
      </c>
      <c r="B564" s="23">
        <v>6</v>
      </c>
      <c r="C564" s="51">
        <v>0</v>
      </c>
      <c r="D564" s="446" t="s">
        <v>697</v>
      </c>
      <c r="E564" s="39" t="s">
        <v>2566</v>
      </c>
      <c r="F564" s="42">
        <v>7709122432425</v>
      </c>
      <c r="G564">
        <f t="shared" si="31"/>
        <v>2500</v>
      </c>
      <c r="H564">
        <f t="shared" si="32"/>
        <v>1</v>
      </c>
      <c r="I564" t="str">
        <f t="shared" si="30"/>
        <v>CATETER No 22 - BEGUT</v>
      </c>
    </row>
    <row r="565" spans="1:9">
      <c r="A565" t="s">
        <v>2567</v>
      </c>
      <c r="B565" s="23">
        <v>3</v>
      </c>
      <c r="C565" s="51">
        <v>0.19</v>
      </c>
      <c r="D565" s="446" t="s">
        <v>2568</v>
      </c>
      <c r="E565" s="41" t="s">
        <v>2569</v>
      </c>
      <c r="F565" s="42">
        <v>7702037510974</v>
      </c>
      <c r="G565">
        <f t="shared" si="31"/>
        <v>400</v>
      </c>
      <c r="H565">
        <f t="shared" si="32"/>
        <v>1</v>
      </c>
      <c r="I565" t="str">
        <f t="shared" si="30"/>
        <v>jeringa 3ml - presicion care 3 partes</v>
      </c>
    </row>
    <row r="566" spans="1:9">
      <c r="A566" s="24" t="s">
        <v>1316</v>
      </c>
      <c r="B566" s="25">
        <v>2</v>
      </c>
      <c r="C566" s="322">
        <v>0.05</v>
      </c>
      <c r="D566" s="523" t="s">
        <v>1317</v>
      </c>
      <c r="E566" s="7" t="s">
        <v>523</v>
      </c>
      <c r="F566" s="129">
        <v>7703006283332</v>
      </c>
      <c r="G566">
        <f t="shared" si="31"/>
        <v>10500</v>
      </c>
      <c r="H566">
        <f t="shared" si="32"/>
        <v>150</v>
      </c>
      <c r="I566" t="str">
        <f t="shared" si="30"/>
        <v>LADIET 150 TAB</v>
      </c>
    </row>
    <row r="567" spans="1:9" ht="15">
      <c r="A567" s="73" t="s">
        <v>2262</v>
      </c>
      <c r="B567" s="17">
        <v>2</v>
      </c>
      <c r="C567" s="124">
        <v>0</v>
      </c>
      <c r="D567" s="321" t="s">
        <v>747</v>
      </c>
      <c r="E567" s="73" t="s">
        <v>2263</v>
      </c>
      <c r="F567" s="20">
        <v>7707177970022</v>
      </c>
      <c r="G567">
        <f t="shared" si="31"/>
        <v>14000</v>
      </c>
      <c r="H567">
        <f t="shared" si="32"/>
        <v>1</v>
      </c>
      <c r="I567" t="str">
        <f t="shared" si="30"/>
        <v>NAPROX 2,5% - NAPROXENO SUSPENSIÓN</v>
      </c>
    </row>
    <row r="568" spans="1:9">
      <c r="A568" s="141" t="s">
        <v>1256</v>
      </c>
      <c r="B568" s="147">
        <v>1</v>
      </c>
      <c r="C568" s="148">
        <v>0</v>
      </c>
      <c r="D568" s="444" t="s">
        <v>464</v>
      </c>
      <c r="E568" s="159" t="s">
        <v>1258</v>
      </c>
      <c r="F568" s="160">
        <v>7707239270022</v>
      </c>
      <c r="G568">
        <f t="shared" si="31"/>
        <v>45000</v>
      </c>
      <c r="H568">
        <f t="shared" si="32"/>
        <v>1</v>
      </c>
      <c r="I568" t="str">
        <f t="shared" si="30"/>
        <v>FREEGEN GOTAS *15ML</v>
      </c>
    </row>
    <row r="569" spans="1:9">
      <c r="A569" s="141" t="s">
        <v>1259</v>
      </c>
      <c r="B569" s="147">
        <v>1</v>
      </c>
      <c r="C569" s="148">
        <v>0</v>
      </c>
      <c r="D569" s="444" t="s">
        <v>458</v>
      </c>
      <c r="E569" s="159" t="s">
        <v>1260</v>
      </c>
      <c r="F569" s="160">
        <v>7707239275829</v>
      </c>
      <c r="G569">
        <f t="shared" si="31"/>
        <v>35000</v>
      </c>
      <c r="H569">
        <f t="shared" si="32"/>
        <v>1</v>
      </c>
      <c r="I569" t="str">
        <f t="shared" si="30"/>
        <v>FREEGEN GOTAS *10ML</v>
      </c>
    </row>
    <row r="570" spans="1:9">
      <c r="A570" s="12" t="s">
        <v>1125</v>
      </c>
      <c r="B570" s="14">
        <v>2</v>
      </c>
      <c r="C570" s="105">
        <v>0</v>
      </c>
      <c r="D570" s="308" t="s">
        <v>697</v>
      </c>
      <c r="E570" s="12" t="s">
        <v>985</v>
      </c>
      <c r="F570" s="61">
        <v>7707184609793</v>
      </c>
      <c r="G570">
        <f t="shared" si="31"/>
        <v>2500</v>
      </c>
      <c r="H570">
        <f t="shared" si="32"/>
        <v>1</v>
      </c>
      <c r="I570" t="str">
        <f t="shared" si="30"/>
        <v>TAFLAX FORTE / DEXIBUPROFENO + ACETAMINOFEN + CAFEINA</v>
      </c>
    </row>
    <row r="571" spans="1:9">
      <c r="A571" t="s">
        <v>2570</v>
      </c>
      <c r="B571" s="23">
        <v>1</v>
      </c>
      <c r="C571" s="51">
        <v>0</v>
      </c>
      <c r="D571" s="446" t="s">
        <v>1032</v>
      </c>
      <c r="E571" s="39" t="s">
        <v>2571</v>
      </c>
      <c r="F571" s="42">
        <v>7702132001384</v>
      </c>
      <c r="G571">
        <f t="shared" si="31"/>
        <v>2200</v>
      </c>
      <c r="H571">
        <f t="shared" si="32"/>
        <v>1</v>
      </c>
      <c r="I571" t="str">
        <f t="shared" si="30"/>
        <v>ADVIL FEM TABS / IBUPROFENO + CAFEINA</v>
      </c>
    </row>
    <row r="572" spans="1:9">
      <c r="A572" s="71" t="s">
        <v>2572</v>
      </c>
      <c r="B572" s="14">
        <v>3</v>
      </c>
      <c r="C572" s="105">
        <v>0</v>
      </c>
      <c r="D572" s="308" t="s">
        <v>10</v>
      </c>
      <c r="E572" s="13" t="s">
        <v>2573</v>
      </c>
      <c r="F572" s="61">
        <v>7703038010050</v>
      </c>
      <c r="G572">
        <f t="shared" si="31"/>
        <v>8000</v>
      </c>
      <c r="H572">
        <f t="shared" si="32"/>
        <v>1</v>
      </c>
      <c r="I572" t="str">
        <f t="shared" si="30"/>
        <v>AMBROXOL JARABE ADULTO LAPROFF</v>
      </c>
    </row>
    <row r="573" spans="1:9">
      <c r="A573" s="146" t="s">
        <v>2574</v>
      </c>
      <c r="B573" s="147">
        <v>1</v>
      </c>
      <c r="C573" s="148">
        <v>0</v>
      </c>
      <c r="D573" s="444" t="s">
        <v>805</v>
      </c>
      <c r="E573" s="159" t="s">
        <v>2575</v>
      </c>
      <c r="F573" s="160">
        <v>7891317103507</v>
      </c>
      <c r="G573">
        <f t="shared" si="31"/>
        <v>62500</v>
      </c>
      <c r="H573">
        <f t="shared" si="32"/>
        <v>1</v>
      </c>
      <c r="I573" t="str">
        <f t="shared" si="30"/>
        <v>FILINAR JARABE X120ML</v>
      </c>
    </row>
    <row r="574" spans="1:9">
      <c r="A574" t="s">
        <v>1250</v>
      </c>
      <c r="B574" s="23">
        <v>2</v>
      </c>
      <c r="C574" s="51">
        <v>0</v>
      </c>
      <c r="D574" s="446" t="s">
        <v>68</v>
      </c>
      <c r="E574" s="41" t="s">
        <v>1251</v>
      </c>
      <c r="F574" s="42">
        <v>7703381000463</v>
      </c>
      <c r="G574">
        <f t="shared" si="31"/>
        <v>39000</v>
      </c>
      <c r="H574">
        <f t="shared" si="32"/>
        <v>1</v>
      </c>
      <c r="I574" t="str">
        <f t="shared" si="30"/>
        <v>BERODUAL GOTAS NEBULIZAR</v>
      </c>
    </row>
    <row r="575" spans="1:9">
      <c r="A575" s="22" t="s">
        <v>2576</v>
      </c>
      <c r="B575" s="23">
        <v>1</v>
      </c>
      <c r="C575" s="51">
        <v>0</v>
      </c>
      <c r="D575" s="446" t="s">
        <v>29</v>
      </c>
      <c r="E575" s="39" t="s">
        <v>2577</v>
      </c>
      <c r="F575" s="42">
        <v>7702605111404</v>
      </c>
      <c r="G575">
        <f t="shared" si="31"/>
        <v>15000</v>
      </c>
      <c r="H575">
        <f t="shared" si="32"/>
        <v>10</v>
      </c>
      <c r="I575" t="str">
        <f t="shared" si="30"/>
        <v>GENFAR DOL / ACETAMINOFEN + IBUPROFENO + CAFEINA CAJA X10</v>
      </c>
    </row>
    <row r="576" spans="1:9">
      <c r="A576" s="24" t="s">
        <v>426</v>
      </c>
      <c r="B576" s="30">
        <v>1</v>
      </c>
      <c r="C576" s="31">
        <v>0</v>
      </c>
      <c r="D576" s="447" t="s">
        <v>427</v>
      </c>
      <c r="E576" s="7" t="s">
        <v>428</v>
      </c>
      <c r="F576" s="63">
        <v>7703038050360</v>
      </c>
      <c r="G576">
        <f t="shared" si="31"/>
        <v>2500</v>
      </c>
      <c r="H576">
        <f t="shared" si="32"/>
        <v>10</v>
      </c>
      <c r="I576" t="str">
        <f t="shared" si="30"/>
        <v>LOVASTATINA 20MG</v>
      </c>
    </row>
    <row r="577" spans="1:9">
      <c r="A577" t="s">
        <v>2578</v>
      </c>
      <c r="B577" s="23">
        <v>2</v>
      </c>
      <c r="C577" s="51">
        <v>0</v>
      </c>
      <c r="D577" s="446" t="s">
        <v>123</v>
      </c>
      <c r="E577" s="41" t="s">
        <v>2558</v>
      </c>
      <c r="F577" s="42">
        <v>7703283404529</v>
      </c>
      <c r="G577">
        <f t="shared" si="31"/>
        <v>16000</v>
      </c>
      <c r="H577">
        <f t="shared" si="32"/>
        <v>10</v>
      </c>
      <c r="I577" t="str">
        <f t="shared" si="30"/>
        <v>LYRICA 50MG - PREGABALINA X30</v>
      </c>
    </row>
    <row r="578" spans="1:9">
      <c r="A578" t="s">
        <v>2581</v>
      </c>
      <c r="B578" s="23">
        <v>2</v>
      </c>
      <c r="C578" s="51">
        <v>0.19</v>
      </c>
      <c r="D578" s="446" t="s">
        <v>2582</v>
      </c>
      <c r="E578" s="41" t="s">
        <v>2583</v>
      </c>
      <c r="F578" s="42">
        <v>7707228361038</v>
      </c>
      <c r="G578">
        <f t="shared" si="31"/>
        <v>3000</v>
      </c>
      <c r="H578">
        <f t="shared" si="32"/>
        <v>20</v>
      </c>
      <c r="I578" t="str">
        <f t="shared" si="30"/>
        <v>BAJALENGUAS X20 UNDS</v>
      </c>
    </row>
    <row r="579" spans="1:9">
      <c r="A579" s="146" t="s">
        <v>2584</v>
      </c>
      <c r="B579" s="147">
        <v>1</v>
      </c>
      <c r="C579" s="148">
        <v>0</v>
      </c>
      <c r="D579" s="444" t="s">
        <v>200</v>
      </c>
      <c r="E579" s="159" t="s">
        <v>1606</v>
      </c>
      <c r="F579" s="160">
        <v>7703202221312</v>
      </c>
      <c r="G579">
        <f t="shared" si="31"/>
        <v>1900</v>
      </c>
      <c r="H579">
        <f t="shared" si="32"/>
        <v>1</v>
      </c>
      <c r="I579" t="str">
        <f t="shared" ref="I579:I642" si="33">TRIM(A579)</f>
        <v>BUSCAPINA COMPUESTA NF *100 (X1)</v>
      </c>
    </row>
    <row r="580" spans="1:9">
      <c r="A580" s="64" t="s">
        <v>499</v>
      </c>
      <c r="B580" s="102">
        <v>2</v>
      </c>
      <c r="C580" s="101">
        <v>0</v>
      </c>
      <c r="D580" s="443" t="s">
        <v>2479</v>
      </c>
      <c r="E580" s="64" t="s">
        <v>501</v>
      </c>
      <c r="F580" s="103">
        <v>8437009433584</v>
      </c>
      <c r="G580">
        <f t="shared" si="31"/>
        <v>19500</v>
      </c>
      <c r="H580">
        <f t="shared" si="32"/>
        <v>1</v>
      </c>
      <c r="I580" t="str">
        <f t="shared" si="33"/>
        <v>DIENIELLE</v>
      </c>
    </row>
    <row r="581" spans="1:9">
      <c r="A581" s="22" t="s">
        <v>582</v>
      </c>
      <c r="B581" s="23">
        <v>1</v>
      </c>
      <c r="C581" s="51">
        <v>0.19</v>
      </c>
      <c r="D581" s="446" t="s">
        <v>14</v>
      </c>
      <c r="E581" s="41" t="s">
        <v>583</v>
      </c>
      <c r="F581" s="42">
        <v>650240035401</v>
      </c>
      <c r="G581">
        <f t="shared" si="31"/>
        <v>17000</v>
      </c>
      <c r="H581">
        <f t="shared" si="32"/>
        <v>1</v>
      </c>
      <c r="I581" t="str">
        <f t="shared" si="33"/>
        <v>ASEPXIA CARBON *100GR</v>
      </c>
    </row>
    <row r="582" spans="1:9" ht="28.5">
      <c r="A582" t="s">
        <v>1686</v>
      </c>
      <c r="B582" s="23">
        <v>2</v>
      </c>
      <c r="C582" s="51">
        <v>0.19</v>
      </c>
      <c r="D582" s="446" t="s">
        <v>1687</v>
      </c>
      <c r="E582" s="41" t="s">
        <v>1688</v>
      </c>
      <c r="F582" s="42">
        <v>7702057707729</v>
      </c>
      <c r="G582">
        <f t="shared" si="31"/>
        <v>19000</v>
      </c>
      <c r="H582">
        <f t="shared" si="32"/>
        <v>1</v>
      </c>
      <c r="I582" t="str">
        <f t="shared" si="33"/>
        <v>MULTISOLUTION 1 X60ML TQ</v>
      </c>
    </row>
    <row r="583" spans="1:9">
      <c r="A583" t="s">
        <v>1776</v>
      </c>
      <c r="B583" s="23">
        <v>2</v>
      </c>
      <c r="C583" s="51">
        <v>0</v>
      </c>
      <c r="D583" s="446" t="s">
        <v>740</v>
      </c>
      <c r="E583" s="39" t="s">
        <v>116</v>
      </c>
      <c r="F583" s="42">
        <v>7703432421353</v>
      </c>
      <c r="G583">
        <f t="shared" si="31"/>
        <v>20000</v>
      </c>
      <c r="H583">
        <f t="shared" si="32"/>
        <v>30</v>
      </c>
      <c r="I583" t="str">
        <f t="shared" si="33"/>
        <v>NIMODIPINO 30MG - X30 TABLETAS EXPOFARMA</v>
      </c>
    </row>
    <row r="584" spans="1:9">
      <c r="A584" t="s">
        <v>2585</v>
      </c>
      <c r="B584" s="23">
        <v>1</v>
      </c>
      <c r="C584" s="51">
        <v>0</v>
      </c>
      <c r="D584" s="446" t="s">
        <v>2586</v>
      </c>
      <c r="E584" s="41" t="s">
        <v>2587</v>
      </c>
      <c r="F584" s="42">
        <v>7702057079369</v>
      </c>
      <c r="G584">
        <f t="shared" si="31"/>
        <v>31000</v>
      </c>
      <c r="H584">
        <f t="shared" si="32"/>
        <v>20</v>
      </c>
      <c r="I584" t="str">
        <f t="shared" si="33"/>
        <v>RISPERIDONA 3MG MK - X20</v>
      </c>
    </row>
    <row r="585" spans="1:9">
      <c r="A585" s="28" t="s">
        <v>2588</v>
      </c>
      <c r="B585" s="30">
        <v>1</v>
      </c>
      <c r="C585" s="31">
        <v>0</v>
      </c>
      <c r="D585" s="447" t="s">
        <v>702</v>
      </c>
      <c r="E585" s="8" t="s">
        <v>75</v>
      </c>
      <c r="F585" s="63">
        <v>7707355052014</v>
      </c>
      <c r="G585">
        <f t="shared" si="31"/>
        <v>15000</v>
      </c>
      <c r="H585">
        <f t="shared" si="32"/>
        <v>1</v>
      </c>
      <c r="I585" t="str">
        <f t="shared" si="33"/>
        <v>ADOREM JARABE NIÑOS 2+</v>
      </c>
    </row>
    <row r="586" spans="1:9">
      <c r="A586" s="69" t="s">
        <v>2372</v>
      </c>
      <c r="B586" s="14">
        <v>1</v>
      </c>
      <c r="C586" s="105">
        <v>0.19</v>
      </c>
      <c r="D586" s="308" t="s">
        <v>32</v>
      </c>
      <c r="E586" s="13" t="s">
        <v>2373</v>
      </c>
      <c r="F586" s="61">
        <v>7703377776693</v>
      </c>
      <c r="G586">
        <f t="shared" si="31"/>
        <v>12000</v>
      </c>
      <c r="H586">
        <f t="shared" si="32"/>
        <v>1</v>
      </c>
      <c r="I586" t="str">
        <f t="shared" si="33"/>
        <v>MENTOL ZAHYE X60GR</v>
      </c>
    </row>
    <row r="587" spans="1:9">
      <c r="A587" s="28" t="s">
        <v>1530</v>
      </c>
      <c r="B587" s="30">
        <v>50</v>
      </c>
      <c r="C587" s="31">
        <v>0.19</v>
      </c>
      <c r="D587" s="447" t="s">
        <v>298</v>
      </c>
      <c r="E587" s="7" t="s">
        <v>1531</v>
      </c>
      <c r="F587" s="63">
        <v>7707346260039</v>
      </c>
      <c r="G587">
        <f t="shared" si="31"/>
        <v>800</v>
      </c>
      <c r="H587">
        <f t="shared" si="32"/>
        <v>1</v>
      </c>
      <c r="I587" t="str">
        <f t="shared" si="33"/>
        <v>CITOQUIMICO CEPILAB - X100</v>
      </c>
    </row>
    <row r="588" spans="1:9" ht="15">
      <c r="A588" s="73" t="s">
        <v>978</v>
      </c>
      <c r="B588" s="17">
        <v>2</v>
      </c>
      <c r="C588" s="33">
        <v>0</v>
      </c>
      <c r="D588" s="477" t="s">
        <v>118</v>
      </c>
      <c r="E588" s="73" t="s">
        <v>979</v>
      </c>
      <c r="F588" s="20">
        <v>7702896425853</v>
      </c>
      <c r="G588">
        <f t="shared" si="31"/>
        <v>13000</v>
      </c>
      <c r="H588">
        <f t="shared" si="32"/>
        <v>1</v>
      </c>
      <c r="I588" t="str">
        <f t="shared" si="33"/>
        <v>CROMOGLICATO 4% OFTALMICO - TIKOJ</v>
      </c>
    </row>
    <row r="589" spans="1:9">
      <c r="A589" s="24" t="s">
        <v>1937</v>
      </c>
      <c r="B589" s="30">
        <v>1</v>
      </c>
      <c r="C589" s="31">
        <v>0</v>
      </c>
      <c r="D589" s="447" t="s">
        <v>1032</v>
      </c>
      <c r="E589" s="7" t="s">
        <v>1323</v>
      </c>
      <c r="F589" s="63">
        <v>7702132008529</v>
      </c>
      <c r="G589">
        <f t="shared" si="31"/>
        <v>2200</v>
      </c>
      <c r="H589">
        <f t="shared" si="32"/>
        <v>1</v>
      </c>
      <c r="I589" t="str">
        <f t="shared" si="33"/>
        <v>ADVIL ULTRA X72</v>
      </c>
    </row>
    <row r="590" spans="1:9" ht="15">
      <c r="A590" s="112" t="s">
        <v>2590</v>
      </c>
      <c r="B590" s="162">
        <v>2</v>
      </c>
      <c r="C590" s="324">
        <v>0</v>
      </c>
      <c r="D590" s="406" t="s">
        <v>750</v>
      </c>
      <c r="E590" s="112" t="s">
        <v>2591</v>
      </c>
      <c r="F590" s="472">
        <v>7702896000982</v>
      </c>
      <c r="G590">
        <f t="shared" si="31"/>
        <v>34000</v>
      </c>
      <c r="H590">
        <f t="shared" si="32"/>
        <v>1</v>
      </c>
      <c r="I590" t="str">
        <f t="shared" si="33"/>
        <v>BLASKET - KETOTIFENO 05MG/ML</v>
      </c>
    </row>
    <row r="591" spans="1:9">
      <c r="A591" t="s">
        <v>2592</v>
      </c>
      <c r="B591" s="23">
        <v>2</v>
      </c>
      <c r="C591" s="51">
        <v>0</v>
      </c>
      <c r="D591" s="446" t="s">
        <v>1777</v>
      </c>
      <c r="E591" s="41" t="s">
        <v>2593</v>
      </c>
      <c r="F591" s="42">
        <v>8903726313855</v>
      </c>
      <c r="G591">
        <f t="shared" si="31"/>
        <v>21000</v>
      </c>
      <c r="H591">
        <f t="shared" si="32"/>
        <v>30</v>
      </c>
      <c r="I591" t="str">
        <f t="shared" si="33"/>
        <v>CLOPIDOGREL 75MG- CLOPISEV X30</v>
      </c>
    </row>
    <row r="592" spans="1:9">
      <c r="A592" s="7" t="s">
        <v>1557</v>
      </c>
      <c r="B592" s="30">
        <v>5</v>
      </c>
      <c r="C592" s="31">
        <v>0</v>
      </c>
      <c r="D592" s="447" t="s">
        <v>109</v>
      </c>
      <c r="E592" s="8" t="s">
        <v>1558</v>
      </c>
      <c r="F592" s="63">
        <v>7709141546059</v>
      </c>
      <c r="G592">
        <f t="shared" si="31"/>
        <v>10000</v>
      </c>
      <c r="H592">
        <f t="shared" si="32"/>
        <v>1</v>
      </c>
      <c r="I592" t="str">
        <f t="shared" si="33"/>
        <v>DICLOFENACO 1% GEL- VITALIS</v>
      </c>
    </row>
    <row r="593" spans="1:9">
      <c r="A593" s="22" t="s">
        <v>699</v>
      </c>
      <c r="B593" s="23">
        <v>1</v>
      </c>
      <c r="C593" s="51">
        <v>0</v>
      </c>
      <c r="D593" s="446" t="s">
        <v>262</v>
      </c>
      <c r="E593" s="39" t="s">
        <v>700</v>
      </c>
      <c r="F593" s="42">
        <v>7703712035317</v>
      </c>
      <c r="G593">
        <f t="shared" si="31"/>
        <v>7000</v>
      </c>
      <c r="H593">
        <f t="shared" si="32"/>
        <v>10</v>
      </c>
      <c r="I593" t="str">
        <f t="shared" si="33"/>
        <v>DOXICICLINA COASPHARMA X250 TABS</v>
      </c>
    </row>
    <row r="594" spans="1:9">
      <c r="A594" s="7" t="s">
        <v>1254</v>
      </c>
      <c r="B594" s="30">
        <v>3</v>
      </c>
      <c r="C594" s="31">
        <v>0</v>
      </c>
      <c r="D594" s="447" t="s">
        <v>74</v>
      </c>
      <c r="E594" s="7" t="s">
        <v>1255</v>
      </c>
      <c r="F594" s="63">
        <v>7707172685778</v>
      </c>
      <c r="G594">
        <f t="shared" si="31"/>
        <v>20000</v>
      </c>
      <c r="H594">
        <f t="shared" si="32"/>
        <v>1</v>
      </c>
      <c r="I594" t="str">
        <f t="shared" si="33"/>
        <v>DOLEX 2+ SUSP</v>
      </c>
    </row>
    <row r="595" spans="1:9">
      <c r="A595" t="s">
        <v>1330</v>
      </c>
      <c r="B595" s="23">
        <v>6</v>
      </c>
      <c r="C595" s="51">
        <v>0</v>
      </c>
      <c r="D595" s="446" t="s">
        <v>109</v>
      </c>
      <c r="E595" s="41" t="s">
        <v>1332</v>
      </c>
      <c r="F595" s="42">
        <v>7708636936061</v>
      </c>
      <c r="G595">
        <f t="shared" si="31"/>
        <v>10000</v>
      </c>
      <c r="H595">
        <f t="shared" si="32"/>
        <v>1</v>
      </c>
      <c r="I595" t="str">
        <f t="shared" si="33"/>
        <v>LIDOCAINA INYECTABLE X10ML / 2%</v>
      </c>
    </row>
    <row r="596" spans="1:9">
      <c r="A596" t="s">
        <v>2594</v>
      </c>
      <c r="B596" s="23">
        <v>1</v>
      </c>
      <c r="C596" s="51">
        <v>0</v>
      </c>
      <c r="D596" s="446" t="s">
        <v>80</v>
      </c>
      <c r="E596" s="41" t="s">
        <v>2595</v>
      </c>
      <c r="F596" s="42">
        <v>6921875051376</v>
      </c>
      <c r="G596">
        <f t="shared" si="31"/>
        <v>6000</v>
      </c>
      <c r="H596">
        <f t="shared" si="32"/>
        <v>1</v>
      </c>
      <c r="I596" t="str">
        <f t="shared" si="33"/>
        <v>LINCOMICINA AMPOLL A - LINCODELT X10</v>
      </c>
    </row>
    <row r="597" spans="1:9">
      <c r="A597" t="s">
        <v>2596</v>
      </c>
      <c r="B597" s="23">
        <v>2</v>
      </c>
      <c r="C597" s="51">
        <v>0</v>
      </c>
      <c r="D597" s="446" t="s">
        <v>2597</v>
      </c>
      <c r="E597" s="41" t="s">
        <v>2598</v>
      </c>
      <c r="F597" s="42">
        <v>7702031580010</v>
      </c>
      <c r="G597">
        <f t="shared" si="31"/>
        <v>13000</v>
      </c>
      <c r="H597">
        <f t="shared" si="32"/>
        <v>42</v>
      </c>
      <c r="I597" t="str">
        <f t="shared" si="33"/>
        <v>TOALLAS CON ALAS X42 - SIEMPRE LIBRE</v>
      </c>
    </row>
    <row r="598" spans="1:9">
      <c r="A598" t="s">
        <v>2599</v>
      </c>
      <c r="B598" s="23">
        <v>2</v>
      </c>
      <c r="C598" s="51">
        <v>0</v>
      </c>
      <c r="D598" s="446" t="s">
        <v>2446</v>
      </c>
      <c r="E598" s="41" t="s">
        <v>2600</v>
      </c>
      <c r="F598" s="42">
        <v>7702031800682</v>
      </c>
      <c r="G598">
        <f t="shared" si="31"/>
        <v>6000</v>
      </c>
      <c r="H598">
        <f t="shared" si="32"/>
        <v>12</v>
      </c>
      <c r="I598" t="str">
        <f t="shared" si="33"/>
        <v>TOALLAS CON ALAS X12 - SIEMPRE LIBRE</v>
      </c>
    </row>
    <row r="599" spans="1:9">
      <c r="A599" t="s">
        <v>2601</v>
      </c>
      <c r="B599" s="23">
        <v>2</v>
      </c>
      <c r="C599" s="51">
        <v>0</v>
      </c>
      <c r="D599" s="446" t="s">
        <v>103</v>
      </c>
      <c r="E599" s="41" t="s">
        <v>2602</v>
      </c>
      <c r="F599" s="42">
        <v>7702425800779</v>
      </c>
      <c r="G599">
        <f t="shared" si="31"/>
        <v>5000</v>
      </c>
      <c r="H599">
        <f t="shared" si="32"/>
        <v>10</v>
      </c>
      <c r="I599" t="str">
        <f t="shared" si="33"/>
        <v>TOALLAS CON ALAS KOTEX X10 EXTRA SUAVE</v>
      </c>
    </row>
    <row r="600" spans="1:9">
      <c r="A600" t="s">
        <v>2603</v>
      </c>
      <c r="B600" s="23">
        <v>1</v>
      </c>
      <c r="C600" s="51">
        <v>0</v>
      </c>
      <c r="D600" s="446" t="s">
        <v>652</v>
      </c>
      <c r="E600" s="41" t="s">
        <v>2602</v>
      </c>
      <c r="F600" s="42">
        <v>7861078301931</v>
      </c>
      <c r="G600">
        <f t="shared" si="31"/>
        <v>14000</v>
      </c>
      <c r="H600">
        <f t="shared" si="32"/>
        <v>10</v>
      </c>
      <c r="I600" t="str">
        <f t="shared" si="33"/>
        <v>TAOALLAS MATERNITY MAXI X10</v>
      </c>
    </row>
    <row r="601" spans="1:9">
      <c r="A601" s="7" t="s">
        <v>1327</v>
      </c>
      <c r="B601" s="30">
        <v>2</v>
      </c>
      <c r="C601" s="31">
        <v>0</v>
      </c>
      <c r="D601" s="447" t="s">
        <v>103</v>
      </c>
      <c r="E601" s="7" t="s">
        <v>1328</v>
      </c>
      <c r="F601" s="63">
        <v>7702027041662</v>
      </c>
      <c r="G601">
        <f t="shared" si="31"/>
        <v>5000</v>
      </c>
      <c r="H601">
        <f t="shared" si="32"/>
        <v>10</v>
      </c>
      <c r="I601" t="str">
        <f t="shared" si="33"/>
        <v>TOALLAS NOSOTRAS INVISIBLE CLASICA X10 - NATURAL V</v>
      </c>
    </row>
    <row r="602" spans="1:9">
      <c r="A602" s="141" t="s">
        <v>473</v>
      </c>
      <c r="B602" s="147">
        <v>1</v>
      </c>
      <c r="C602" s="148">
        <v>0</v>
      </c>
      <c r="D602" s="444" t="s">
        <v>156</v>
      </c>
      <c r="E602" s="159" t="s">
        <v>474</v>
      </c>
      <c r="F602" s="160">
        <v>7702195090479</v>
      </c>
      <c r="G602">
        <f t="shared" si="31"/>
        <v>3000</v>
      </c>
      <c r="H602">
        <f t="shared" si="32"/>
        <v>10</v>
      </c>
      <c r="I602" t="str">
        <f t="shared" si="33"/>
        <v>TRAZODONA *250 TAB- RECIPE / BUSSIÉ</v>
      </c>
    </row>
    <row r="603" spans="1:9">
      <c r="A603" s="69" t="s">
        <v>2325</v>
      </c>
      <c r="B603" s="14">
        <v>1</v>
      </c>
      <c r="C603" s="105">
        <v>0</v>
      </c>
      <c r="D603" s="308" t="s">
        <v>497</v>
      </c>
      <c r="E603" s="13" t="s">
        <v>2326</v>
      </c>
      <c r="F603" s="61">
        <v>7704190038913</v>
      </c>
      <c r="G603">
        <f t="shared" si="31"/>
        <v>29000</v>
      </c>
      <c r="H603">
        <f t="shared" si="32"/>
        <v>1</v>
      </c>
      <c r="I603" t="str">
        <f t="shared" si="33"/>
        <v>ACIDO RETINOICO CREMA QUIFARMA X30GR</v>
      </c>
    </row>
    <row r="604" spans="1:9" ht="28.5">
      <c r="A604" t="s">
        <v>2604</v>
      </c>
      <c r="B604" s="23">
        <v>1</v>
      </c>
      <c r="C604" s="51">
        <v>0.19</v>
      </c>
      <c r="D604" s="446" t="s">
        <v>430</v>
      </c>
      <c r="E604" s="41" t="s">
        <v>2605</v>
      </c>
      <c r="F604" s="42">
        <v>17707710160139</v>
      </c>
      <c r="G604">
        <f t="shared" si="31"/>
        <v>3000</v>
      </c>
      <c r="H604">
        <f t="shared" si="32"/>
        <v>2</v>
      </c>
      <c r="I604" t="str">
        <f t="shared" si="33"/>
        <v>GUANTES ESTERIL 7,5 SIZE X50</v>
      </c>
    </row>
    <row r="605" spans="1:9">
      <c r="A605" s="24" t="s">
        <v>455</v>
      </c>
      <c r="B605" s="30">
        <v>3</v>
      </c>
      <c r="C605" s="31">
        <v>0</v>
      </c>
      <c r="D605" s="447" t="s">
        <v>7</v>
      </c>
      <c r="E605" s="8" t="s">
        <v>456</v>
      </c>
      <c r="F605" s="63">
        <v>7706659501709</v>
      </c>
      <c r="G605">
        <f t="shared" si="31"/>
        <v>7000</v>
      </c>
      <c r="H605">
        <f t="shared" si="32"/>
        <v>1</v>
      </c>
      <c r="I605" t="str">
        <f t="shared" si="33"/>
        <v>HIDROXIDO DE MAGNESIO COASPHARMA X120ML</v>
      </c>
    </row>
    <row r="606" spans="1:9">
      <c r="A606" t="s">
        <v>1631</v>
      </c>
      <c r="B606" s="23">
        <v>2</v>
      </c>
      <c r="C606" s="51">
        <v>0</v>
      </c>
      <c r="D606" s="446" t="s">
        <v>1409</v>
      </c>
      <c r="E606" s="39" t="s">
        <v>1473</v>
      </c>
      <c r="F606" s="42">
        <v>7704412308428</v>
      </c>
      <c r="G606">
        <f t="shared" si="31"/>
        <v>3500</v>
      </c>
      <c r="H606">
        <f t="shared" si="32"/>
        <v>10</v>
      </c>
      <c r="I606" t="str">
        <f t="shared" si="33"/>
        <v>LOSARTAN 100MG - X30 TABLETAS MEMPHIS</v>
      </c>
    </row>
    <row r="607" spans="1:9">
      <c r="A607" t="s">
        <v>2606</v>
      </c>
      <c r="B607" s="23">
        <v>2</v>
      </c>
      <c r="C607" s="51">
        <v>0</v>
      </c>
      <c r="D607" s="446" t="s">
        <v>109</v>
      </c>
      <c r="E607" s="41" t="s">
        <v>2607</v>
      </c>
      <c r="F607" s="42">
        <v>7709530287617</v>
      </c>
      <c r="G607">
        <f t="shared" ref="G607:G670" si="34">IFERROR(VALUE(SUBSTITUTE(LEFT(LOWER(D607),FIND("x",LOWER(D607))-1),",","")),VALUE(SUBSTITUTE(D607,",","")))</f>
        <v>10000</v>
      </c>
      <c r="H607">
        <f t="shared" ref="H607:H670" si="35">IFERROR(VALUE(MID(LOWER(D607),FIND("x",LOWER(D607))+1,20)),1)</f>
        <v>1</v>
      </c>
      <c r="I607" t="str">
        <f t="shared" si="33"/>
        <v>TIMOL- OF / TIMOLOL 0,5%</v>
      </c>
    </row>
    <row r="608" spans="1:9" ht="30">
      <c r="A608" s="43" t="s">
        <v>2609</v>
      </c>
      <c r="B608" s="37">
        <v>1</v>
      </c>
      <c r="C608" s="429">
        <v>0</v>
      </c>
      <c r="D608" s="376" t="s">
        <v>676</v>
      </c>
      <c r="E608" s="112" t="s">
        <v>2610</v>
      </c>
      <c r="F608" s="115">
        <v>7709347563751</v>
      </c>
      <c r="G608">
        <f t="shared" si="34"/>
        <v>21000</v>
      </c>
      <c r="H608">
        <f t="shared" si="35"/>
        <v>1</v>
      </c>
      <c r="I608" t="str">
        <f t="shared" si="33"/>
        <v>CLOTRIMAZOL 2% + CLINDAMICINA 2% X20 GR - VCLOCLI</v>
      </c>
    </row>
    <row r="609" spans="1:9">
      <c r="A609" s="7" t="s">
        <v>1402</v>
      </c>
      <c r="B609" s="25">
        <v>1</v>
      </c>
      <c r="C609" s="26">
        <v>0</v>
      </c>
      <c r="D609" s="447" t="s">
        <v>888</v>
      </c>
      <c r="E609" s="7" t="s">
        <v>1403</v>
      </c>
      <c r="F609" s="129">
        <v>7706310000039</v>
      </c>
      <c r="G609">
        <f t="shared" si="34"/>
        <v>37000</v>
      </c>
      <c r="H609">
        <f t="shared" si="35"/>
        <v>1</v>
      </c>
      <c r="I609" t="str">
        <f t="shared" si="33"/>
        <v>ESPASMO SILIGAS</v>
      </c>
    </row>
    <row r="610" spans="1:9">
      <c r="A610" s="146" t="s">
        <v>828</v>
      </c>
      <c r="B610" s="147">
        <v>1</v>
      </c>
      <c r="C610" s="148">
        <v>0</v>
      </c>
      <c r="D610" s="444" t="s">
        <v>829</v>
      </c>
      <c r="E610" s="159" t="s">
        <v>830</v>
      </c>
      <c r="F610" s="42">
        <v>7709233974463</v>
      </c>
      <c r="G610">
        <f t="shared" si="34"/>
        <v>23000</v>
      </c>
      <c r="H610">
        <f t="shared" si="35"/>
        <v>3</v>
      </c>
      <c r="I610" t="str">
        <f t="shared" si="33"/>
        <v>LINDAZOL *3 OVULOS</v>
      </c>
    </row>
    <row r="611" spans="1:9">
      <c r="A611" t="s">
        <v>2611</v>
      </c>
      <c r="B611" s="23">
        <v>2</v>
      </c>
      <c r="C611" s="51">
        <v>0</v>
      </c>
      <c r="D611" s="446" t="s">
        <v>2612</v>
      </c>
      <c r="E611" s="39" t="s">
        <v>721</v>
      </c>
      <c r="F611" s="42">
        <v>8904159617589</v>
      </c>
      <c r="G611">
        <f t="shared" si="34"/>
        <v>28000</v>
      </c>
      <c r="H611">
        <f t="shared" si="35"/>
        <v>30</v>
      </c>
      <c r="I611" t="str">
        <f t="shared" si="33"/>
        <v>TELMISARTAN 80MG - RENANGIO X30 TABLETAS</v>
      </c>
    </row>
    <row r="612" spans="1:9">
      <c r="A612" s="22" t="s">
        <v>2613</v>
      </c>
      <c r="B612" s="11">
        <v>1</v>
      </c>
      <c r="C612" s="194">
        <v>0</v>
      </c>
      <c r="D612" s="483" t="s">
        <v>458</v>
      </c>
      <c r="E612" s="41" t="s">
        <v>2614</v>
      </c>
      <c r="F612" s="273">
        <v>650240030581</v>
      </c>
      <c r="G612">
        <f t="shared" si="34"/>
        <v>35000</v>
      </c>
      <c r="H612">
        <f t="shared" si="35"/>
        <v>1</v>
      </c>
      <c r="I612" t="str">
        <f t="shared" si="33"/>
        <v>SILK- MEDIC / TERBINAFINA HCI 1%</v>
      </c>
    </row>
    <row r="613" spans="1:9">
      <c r="A613" s="28" t="s">
        <v>635</v>
      </c>
      <c r="B613" s="30">
        <v>3</v>
      </c>
      <c r="C613" s="31">
        <v>0</v>
      </c>
      <c r="D613" s="447" t="s">
        <v>153</v>
      </c>
      <c r="E613" s="7" t="s">
        <v>636</v>
      </c>
      <c r="F613" s="63">
        <v>7703038062431</v>
      </c>
      <c r="G613">
        <f t="shared" si="34"/>
        <v>8000</v>
      </c>
      <c r="H613">
        <f t="shared" si="35"/>
        <v>10</v>
      </c>
      <c r="I613" t="str">
        <f t="shared" si="33"/>
        <v>SULFATO FERROSO GOTAS</v>
      </c>
    </row>
    <row r="614" spans="1:9">
      <c r="A614" s="8" t="s">
        <v>1848</v>
      </c>
      <c r="B614" s="30">
        <v>6</v>
      </c>
      <c r="C614" s="31">
        <v>0.19</v>
      </c>
      <c r="D614" s="447" t="s">
        <v>153</v>
      </c>
      <c r="E614" s="8" t="s">
        <v>1849</v>
      </c>
      <c r="F614" s="63">
        <v>7709469175238</v>
      </c>
      <c r="G614">
        <f t="shared" si="34"/>
        <v>8000</v>
      </c>
      <c r="H614">
        <f t="shared" si="35"/>
        <v>10</v>
      </c>
      <c r="I614" t="str">
        <f t="shared" si="33"/>
        <v>RECOLECTOR ORINA 24 HORAS NARANJA- P&amp;S</v>
      </c>
    </row>
    <row r="615" spans="1:9">
      <c r="A615" s="22" t="s">
        <v>297</v>
      </c>
      <c r="B615" s="11">
        <v>30</v>
      </c>
      <c r="C615" s="194">
        <v>0.19</v>
      </c>
      <c r="D615" s="483" t="s">
        <v>298</v>
      </c>
      <c r="E615" s="41" t="s">
        <v>299</v>
      </c>
      <c r="F615" s="273">
        <v>7707346260053</v>
      </c>
      <c r="G615">
        <f t="shared" si="34"/>
        <v>800</v>
      </c>
      <c r="H615">
        <f t="shared" si="35"/>
        <v>1</v>
      </c>
      <c r="I615" t="str">
        <f t="shared" si="33"/>
        <v>RECOLECTOR CROPOLOGICO CEPILAB</v>
      </c>
    </row>
    <row r="616" spans="1:9">
      <c r="A616" s="71" t="s">
        <v>2337</v>
      </c>
      <c r="B616" s="14">
        <v>1</v>
      </c>
      <c r="C616" s="105">
        <v>0.19</v>
      </c>
      <c r="D616" s="308" t="s">
        <v>697</v>
      </c>
      <c r="E616" s="13" t="s">
        <v>2338</v>
      </c>
      <c r="F616" s="61">
        <v>7709812676504</v>
      </c>
      <c r="G616">
        <f t="shared" si="34"/>
        <v>2500</v>
      </c>
      <c r="H616">
        <f t="shared" si="35"/>
        <v>1</v>
      </c>
      <c r="I616" t="str">
        <f t="shared" si="33"/>
        <v>MENTOL ZAHYE *5GR CAJA X12 UNDS</v>
      </c>
    </row>
    <row r="617" spans="1:9">
      <c r="A617" s="12" t="s">
        <v>640</v>
      </c>
      <c r="B617" s="14">
        <v>1</v>
      </c>
      <c r="C617" s="105">
        <v>0</v>
      </c>
      <c r="D617" s="308" t="s">
        <v>293</v>
      </c>
      <c r="E617" s="12" t="s">
        <v>641</v>
      </c>
      <c r="F617" s="42">
        <v>7702560026577</v>
      </c>
      <c r="G617">
        <f t="shared" si="34"/>
        <v>4000</v>
      </c>
      <c r="H617">
        <f t="shared" si="35"/>
        <v>1</v>
      </c>
      <c r="I617" t="str">
        <f t="shared" si="33"/>
        <v>ALCOHOL *120ML JGB</v>
      </c>
    </row>
    <row r="618" spans="1:9">
      <c r="A618" s="12" t="s">
        <v>1466</v>
      </c>
      <c r="B618" s="14">
        <v>6</v>
      </c>
      <c r="C618" s="105">
        <v>0</v>
      </c>
      <c r="D618" s="308" t="s">
        <v>80</v>
      </c>
      <c r="E618" s="12" t="s">
        <v>648</v>
      </c>
      <c r="F618" s="61">
        <v>7702560009532</v>
      </c>
      <c r="G618">
        <f t="shared" si="34"/>
        <v>6000</v>
      </c>
      <c r="H618">
        <f t="shared" si="35"/>
        <v>1</v>
      </c>
      <c r="I618" t="str">
        <f t="shared" si="33"/>
        <v>ALCOHOL *350ML JGB</v>
      </c>
    </row>
    <row r="619" spans="1:9">
      <c r="A619" s="69" t="s">
        <v>484</v>
      </c>
      <c r="B619" s="14">
        <v>2</v>
      </c>
      <c r="C619" s="105">
        <v>0</v>
      </c>
      <c r="D619" s="308" t="s">
        <v>485</v>
      </c>
      <c r="E619" s="13" t="s">
        <v>486</v>
      </c>
      <c r="F619" s="61">
        <v>7702208146018</v>
      </c>
      <c r="G619">
        <f t="shared" si="34"/>
        <v>6000</v>
      </c>
      <c r="H619">
        <f t="shared" si="35"/>
        <v>1</v>
      </c>
      <c r="I619" t="str">
        <f t="shared" si="33"/>
        <v>ALGODON *100GR HIGIETEX</v>
      </c>
    </row>
    <row r="620" spans="1:9">
      <c r="A620" s="146" t="s">
        <v>487</v>
      </c>
      <c r="B620" s="147">
        <v>6</v>
      </c>
      <c r="C620" s="148">
        <v>0</v>
      </c>
      <c r="D620" s="444" t="s">
        <v>488</v>
      </c>
      <c r="E620" s="159" t="s">
        <v>489</v>
      </c>
      <c r="F620" s="160">
        <v>7702208146001</v>
      </c>
      <c r="G620">
        <f t="shared" si="34"/>
        <v>3000</v>
      </c>
      <c r="H620">
        <f t="shared" si="35"/>
        <v>1</v>
      </c>
      <c r="I620" t="str">
        <f t="shared" si="33"/>
        <v>ALGODON *50GR HIGIETEX</v>
      </c>
    </row>
    <row r="621" spans="1:9" ht="15">
      <c r="A621" s="45" t="s">
        <v>399</v>
      </c>
      <c r="B621" s="36">
        <v>1</v>
      </c>
      <c r="C621" s="164">
        <v>0</v>
      </c>
      <c r="D621" s="378" t="s">
        <v>91</v>
      </c>
      <c r="E621" s="76" t="s">
        <v>400</v>
      </c>
      <c r="F621" s="46">
        <v>7707019334203</v>
      </c>
      <c r="G621">
        <f t="shared" si="34"/>
        <v>16000</v>
      </c>
      <c r="H621">
        <f t="shared" si="35"/>
        <v>1</v>
      </c>
      <c r="I621" t="str">
        <f t="shared" si="33"/>
        <v>FUNGISTEROL SHAMPOO *100ML</v>
      </c>
    </row>
    <row r="622" spans="1:9">
      <c r="A622" s="22" t="s">
        <v>1581</v>
      </c>
      <c r="B622" s="23">
        <v>1</v>
      </c>
      <c r="C622" s="51">
        <v>0</v>
      </c>
      <c r="D622" s="446" t="s">
        <v>2617</v>
      </c>
      <c r="E622" s="39" t="s">
        <v>1583</v>
      </c>
      <c r="F622" s="42">
        <v>751273765119</v>
      </c>
      <c r="G622">
        <f t="shared" si="34"/>
        <v>57000</v>
      </c>
      <c r="H622">
        <f t="shared" si="35"/>
        <v>100</v>
      </c>
      <c r="I622" t="str">
        <f t="shared" si="33"/>
        <v>OMEGA 3 - FISH OIL 1200MG - HELTHY AMERICA X60 SOFT GELS</v>
      </c>
    </row>
    <row r="623" spans="1:9">
      <c r="A623" s="24" t="s">
        <v>2620</v>
      </c>
      <c r="B623" s="30">
        <v>2</v>
      </c>
      <c r="C623" s="31">
        <v>0</v>
      </c>
      <c r="D623" s="447" t="s">
        <v>2621</v>
      </c>
      <c r="E623" s="7" t="s">
        <v>1043</v>
      </c>
      <c r="F623" s="63">
        <v>7702031536567</v>
      </c>
      <c r="G623">
        <f t="shared" si="34"/>
        <v>20000</v>
      </c>
      <c r="H623">
        <f t="shared" si="35"/>
        <v>24</v>
      </c>
      <c r="I623" t="str">
        <f t="shared" si="33"/>
        <v>TAMPON OB MEDIO 16 + 8 UNIDADES</v>
      </c>
    </row>
    <row r="624" spans="1:9">
      <c r="A624" s="28" t="s">
        <v>221</v>
      </c>
      <c r="B624" s="30">
        <v>1</v>
      </c>
      <c r="C624" s="31">
        <v>0</v>
      </c>
      <c r="D624" s="447" t="s">
        <v>222</v>
      </c>
      <c r="E624" s="7" t="s">
        <v>223</v>
      </c>
      <c r="F624" s="63">
        <v>7704412152847</v>
      </c>
      <c r="G624">
        <f t="shared" si="34"/>
        <v>1500</v>
      </c>
      <c r="H624">
        <f t="shared" si="35"/>
        <v>1</v>
      </c>
      <c r="I624" t="str">
        <f t="shared" si="33"/>
        <v>FLUCONAZOL 150MG X10- MEMPHIS</v>
      </c>
    </row>
    <row r="625" spans="1:9">
      <c r="A625" s="24" t="s">
        <v>1209</v>
      </c>
      <c r="B625" s="30">
        <v>2</v>
      </c>
      <c r="C625" s="31">
        <v>0</v>
      </c>
      <c r="D625" s="447" t="s">
        <v>222</v>
      </c>
      <c r="E625" s="7" t="s">
        <v>872</v>
      </c>
      <c r="F625" s="63">
        <v>7896006202516</v>
      </c>
      <c r="G625">
        <f t="shared" si="34"/>
        <v>1500</v>
      </c>
      <c r="H625">
        <f t="shared" si="35"/>
        <v>1</v>
      </c>
      <c r="I625" t="str">
        <f t="shared" si="33"/>
        <v>PRIMOSISTON X30 TABLETAS</v>
      </c>
    </row>
    <row r="626" spans="1:9">
      <c r="A626" t="s">
        <v>732</v>
      </c>
      <c r="B626" s="23">
        <v>2</v>
      </c>
      <c r="C626" s="51">
        <v>19</v>
      </c>
      <c r="D626" s="446" t="s">
        <v>911</v>
      </c>
      <c r="E626" s="41" t="s">
        <v>734</v>
      </c>
      <c r="F626" s="42">
        <v>7707336091131</v>
      </c>
      <c r="G626">
        <f t="shared" si="34"/>
        <v>700</v>
      </c>
      <c r="H626">
        <f t="shared" si="35"/>
        <v>1</v>
      </c>
      <c r="I626" t="str">
        <f t="shared" si="33"/>
        <v>TAPABOCAS AZUL X50 ZIBOJECT</v>
      </c>
    </row>
    <row r="627" spans="1:9">
      <c r="A627" s="64" t="s">
        <v>610</v>
      </c>
      <c r="B627" s="330">
        <v>3</v>
      </c>
      <c r="C627" s="331">
        <v>0</v>
      </c>
      <c r="D627" s="498" t="s">
        <v>491</v>
      </c>
      <c r="E627" s="64" t="s">
        <v>611</v>
      </c>
      <c r="F627" s="473">
        <v>8901117251175</v>
      </c>
      <c r="G627">
        <f t="shared" si="34"/>
        <v>24000</v>
      </c>
      <c r="H627">
        <f t="shared" si="35"/>
        <v>1</v>
      </c>
      <c r="I627" t="str">
        <f t="shared" si="33"/>
        <v>BECLORT- BECLOMETASONA 250MCG BUCAL</v>
      </c>
    </row>
    <row r="628" spans="1:9">
      <c r="A628" t="s">
        <v>2622</v>
      </c>
      <c r="B628" s="23">
        <v>3</v>
      </c>
      <c r="C628" s="51">
        <v>0</v>
      </c>
      <c r="D628" s="446" t="s">
        <v>355</v>
      </c>
      <c r="E628" s="41" t="s">
        <v>2623</v>
      </c>
      <c r="F628" s="42">
        <v>7707232096537</v>
      </c>
      <c r="G628">
        <f t="shared" si="34"/>
        <v>10000</v>
      </c>
      <c r="H628">
        <f t="shared" si="35"/>
        <v>10</v>
      </c>
      <c r="I628" t="str">
        <f t="shared" si="33"/>
        <v>DIGESTAR MAX FORTE CAPSULAS X20</v>
      </c>
    </row>
    <row r="629" spans="1:9" ht="15">
      <c r="A629" s="73" t="s">
        <v>1898</v>
      </c>
      <c r="B629" s="17">
        <v>1</v>
      </c>
      <c r="C629" s="124">
        <v>0</v>
      </c>
      <c r="D629" s="321" t="s">
        <v>222</v>
      </c>
      <c r="E629" s="73" t="s">
        <v>909</v>
      </c>
      <c r="F629" s="20">
        <v>7451079001529</v>
      </c>
      <c r="G629">
        <f t="shared" si="34"/>
        <v>1500</v>
      </c>
      <c r="H629">
        <f t="shared" si="35"/>
        <v>1</v>
      </c>
      <c r="I629" t="str">
        <f t="shared" si="33"/>
        <v>DOLEX GRIPA X100</v>
      </c>
    </row>
    <row r="630" spans="1:9">
      <c r="A630" s="69" t="s">
        <v>249</v>
      </c>
      <c r="B630" s="14">
        <v>1</v>
      </c>
      <c r="C630" s="105">
        <v>0</v>
      </c>
      <c r="D630" s="308" t="s">
        <v>250</v>
      </c>
      <c r="E630" s="12" t="s">
        <v>251</v>
      </c>
      <c r="F630" s="61">
        <v>7702057015336</v>
      </c>
      <c r="G630">
        <f t="shared" si="34"/>
        <v>3500</v>
      </c>
      <c r="H630">
        <f t="shared" si="35"/>
        <v>1</v>
      </c>
      <c r="I630" t="str">
        <f t="shared" si="33"/>
        <v>HIDRAPLUS 75 MANZANA VERDE X4 SACHET</v>
      </c>
    </row>
    <row r="631" spans="1:9" ht="15">
      <c r="A631" s="73" t="s">
        <v>1912</v>
      </c>
      <c r="B631" s="17">
        <v>1</v>
      </c>
      <c r="C631" s="124">
        <v>0</v>
      </c>
      <c r="D631" s="321" t="s">
        <v>1409</v>
      </c>
      <c r="E631" s="32" t="s">
        <v>1734</v>
      </c>
      <c r="F631" s="20">
        <v>7707177972705</v>
      </c>
      <c r="G631">
        <f t="shared" si="34"/>
        <v>3500</v>
      </c>
      <c r="H631">
        <f t="shared" si="35"/>
        <v>10</v>
      </c>
      <c r="I631" t="str">
        <f t="shared" si="33"/>
        <v>SUERO UVA -SOLHIDREX X30 UNDS</v>
      </c>
    </row>
    <row r="632" spans="1:9">
      <c r="A632" s="22" t="s">
        <v>744</v>
      </c>
      <c r="B632" s="23">
        <v>7</v>
      </c>
      <c r="C632" s="51">
        <v>0.19</v>
      </c>
      <c r="D632" s="446" t="s">
        <v>293</v>
      </c>
      <c r="E632" s="41" t="s">
        <v>745</v>
      </c>
      <c r="F632" s="42">
        <v>7705471701212</v>
      </c>
      <c r="G632">
        <f t="shared" si="34"/>
        <v>4000</v>
      </c>
      <c r="H632">
        <f t="shared" si="35"/>
        <v>1</v>
      </c>
      <c r="I632" t="str">
        <f t="shared" si="33"/>
        <v>SULFATO MAGNESIO / SAL EPSON - SAL INGLATERRA</v>
      </c>
    </row>
    <row r="633" spans="1:9">
      <c r="A633" t="s">
        <v>2624</v>
      </c>
      <c r="B633" s="23">
        <v>5</v>
      </c>
      <c r="C633" s="51">
        <v>0</v>
      </c>
      <c r="D633" s="446" t="s">
        <v>109</v>
      </c>
      <c r="E633" s="41" t="s">
        <v>2625</v>
      </c>
      <c r="F633" s="42">
        <v>7703712033511</v>
      </c>
      <c r="G633">
        <f t="shared" si="34"/>
        <v>10000</v>
      </c>
      <c r="H633">
        <f t="shared" si="35"/>
        <v>1</v>
      </c>
      <c r="I633" t="str">
        <f t="shared" si="33"/>
        <v>PIROXICAM GEL 0,5% - COASPHARMA</v>
      </c>
    </row>
    <row r="634" spans="1:9">
      <c r="A634" t="s">
        <v>926</v>
      </c>
      <c r="B634" s="23">
        <v>5</v>
      </c>
      <c r="C634" s="107">
        <v>0.19</v>
      </c>
      <c r="D634" s="482" t="s">
        <v>927</v>
      </c>
      <c r="E634" s="39" t="s">
        <v>928</v>
      </c>
      <c r="F634" s="42">
        <v>7702026174897</v>
      </c>
      <c r="G634">
        <f t="shared" si="34"/>
        <v>6000</v>
      </c>
      <c r="H634">
        <f t="shared" si="35"/>
        <v>1</v>
      </c>
      <c r="I634" t="str">
        <f t="shared" si="33"/>
        <v>TENA PANTS CLASICO TALLA L *1</v>
      </c>
    </row>
    <row r="635" spans="1:9">
      <c r="A635" s="24" t="s">
        <v>654</v>
      </c>
      <c r="B635" s="30">
        <v>1</v>
      </c>
      <c r="C635" s="31">
        <v>0.19</v>
      </c>
      <c r="D635" s="447" t="s">
        <v>787</v>
      </c>
      <c r="E635" s="8" t="s">
        <v>656</v>
      </c>
      <c r="F635" s="63">
        <v>7702026174156</v>
      </c>
      <c r="G635">
        <f t="shared" si="34"/>
        <v>33000</v>
      </c>
      <c r="H635">
        <f t="shared" si="35"/>
        <v>9</v>
      </c>
      <c r="I635" t="str">
        <f t="shared" si="33"/>
        <v>TENA PANTS CLASICO L *8</v>
      </c>
    </row>
    <row r="636" spans="1:9">
      <c r="A636" s="22" t="s">
        <v>2626</v>
      </c>
      <c r="B636" s="23">
        <v>6</v>
      </c>
      <c r="C636" s="105">
        <v>0.19</v>
      </c>
      <c r="D636" s="308" t="s">
        <v>80</v>
      </c>
      <c r="E636" s="39" t="s">
        <v>928</v>
      </c>
      <c r="F636" s="42">
        <v>7702026174675</v>
      </c>
      <c r="G636">
        <f t="shared" si="34"/>
        <v>6000</v>
      </c>
      <c r="H636">
        <f t="shared" si="35"/>
        <v>1</v>
      </c>
      <c r="I636" t="str">
        <f t="shared" si="33"/>
        <v>TENA PANTS CLASICO TALLA M *1</v>
      </c>
    </row>
    <row r="637" spans="1:9">
      <c r="A637" s="22" t="s">
        <v>2627</v>
      </c>
      <c r="B637" s="23">
        <v>1</v>
      </c>
      <c r="C637" s="105">
        <v>0.19</v>
      </c>
      <c r="D637" s="308" t="s">
        <v>655</v>
      </c>
      <c r="E637" s="39" t="s">
        <v>2628</v>
      </c>
      <c r="F637" s="42">
        <v>7702026174149</v>
      </c>
      <c r="G637">
        <f t="shared" si="34"/>
        <v>34000</v>
      </c>
      <c r="H637">
        <f t="shared" si="35"/>
        <v>8</v>
      </c>
      <c r="I637" t="str">
        <f t="shared" si="33"/>
        <v>TENA PANTS CONFORT TALLA M X8</v>
      </c>
    </row>
    <row r="638" spans="1:9">
      <c r="A638" s="24" t="s">
        <v>2632</v>
      </c>
      <c r="B638" s="30">
        <v>6</v>
      </c>
      <c r="C638" s="31">
        <v>0.19</v>
      </c>
      <c r="D638" s="447" t="s">
        <v>366</v>
      </c>
      <c r="E638" s="8" t="s">
        <v>2131</v>
      </c>
      <c r="F638" s="63">
        <v>7702027479755</v>
      </c>
      <c r="G638">
        <f t="shared" si="34"/>
        <v>5000</v>
      </c>
      <c r="H638">
        <f t="shared" si="35"/>
        <v>1</v>
      </c>
      <c r="I638" t="str">
        <f t="shared" si="33"/>
        <v>TENA SLIP COMFORT TALLA L X1</v>
      </c>
    </row>
    <row r="639" spans="1:9">
      <c r="A639" s="24" t="s">
        <v>2129</v>
      </c>
      <c r="B639" s="30">
        <v>1</v>
      </c>
      <c r="C639" s="31">
        <v>0.19</v>
      </c>
      <c r="D639" s="447" t="s">
        <v>2633</v>
      </c>
      <c r="E639" s="8" t="s">
        <v>2131</v>
      </c>
      <c r="F639" s="63">
        <v>7702027479731</v>
      </c>
      <c r="G639">
        <f t="shared" si="34"/>
        <v>72000</v>
      </c>
      <c r="H639">
        <f t="shared" si="35"/>
        <v>21</v>
      </c>
      <c r="I639" t="str">
        <f t="shared" si="33"/>
        <v>TENA SLIP COMFORT TALLA L X21</v>
      </c>
    </row>
    <row r="640" spans="1:9">
      <c r="A640" s="28" t="s">
        <v>786</v>
      </c>
      <c r="B640" s="30">
        <v>1</v>
      </c>
      <c r="C640" s="31">
        <v>0.19</v>
      </c>
      <c r="D640" s="447" t="s">
        <v>1427</v>
      </c>
      <c r="E640" s="8" t="s">
        <v>210</v>
      </c>
      <c r="F640" s="63">
        <v>7702027479724</v>
      </c>
      <c r="G640">
        <f t="shared" si="34"/>
        <v>30000</v>
      </c>
      <c r="H640">
        <f t="shared" si="35"/>
        <v>9</v>
      </c>
      <c r="I640" t="str">
        <f t="shared" si="33"/>
        <v>TENA SLIP COMFORT TALLA L X9</v>
      </c>
    </row>
    <row r="641" spans="1:9">
      <c r="A641" s="22" t="s">
        <v>2634</v>
      </c>
      <c r="B641" s="23">
        <v>6</v>
      </c>
      <c r="C641" s="51">
        <v>0.19</v>
      </c>
      <c r="D641" s="446" t="s">
        <v>366</v>
      </c>
      <c r="E641" s="39" t="s">
        <v>928</v>
      </c>
      <c r="F641" s="42">
        <v>7702027479656</v>
      </c>
      <c r="G641">
        <f t="shared" si="34"/>
        <v>5000</v>
      </c>
      <c r="H641">
        <f t="shared" si="35"/>
        <v>1</v>
      </c>
      <c r="I641" t="str">
        <f t="shared" si="33"/>
        <v>TENA SLIP COMFORT TALLA M X1</v>
      </c>
    </row>
    <row r="642" spans="1:9" ht="15">
      <c r="A642" s="24" t="s">
        <v>208</v>
      </c>
      <c r="B642" s="37">
        <v>1</v>
      </c>
      <c r="C642" s="164">
        <v>0.19</v>
      </c>
      <c r="D642" s="376" t="s">
        <v>2636</v>
      </c>
      <c r="E642" s="8" t="s">
        <v>210</v>
      </c>
      <c r="F642" s="46">
        <v>7702027478024</v>
      </c>
      <c r="G642">
        <f t="shared" si="34"/>
        <v>37000</v>
      </c>
      <c r="H642">
        <f t="shared" si="35"/>
        <v>9</v>
      </c>
      <c r="I642" t="str">
        <f t="shared" si="33"/>
        <v>TENA SLIP COMFORT TALLA XL X9</v>
      </c>
    </row>
    <row r="643" spans="1:9" ht="15">
      <c r="A643" s="16" t="s">
        <v>1541</v>
      </c>
      <c r="B643" s="17">
        <v>1</v>
      </c>
      <c r="C643" s="124">
        <v>0</v>
      </c>
      <c r="D643" s="321" t="s">
        <v>638</v>
      </c>
      <c r="E643" s="73" t="s">
        <v>1542</v>
      </c>
      <c r="F643" s="20">
        <v>7703281000679</v>
      </c>
      <c r="G643">
        <f t="shared" si="34"/>
        <v>65000</v>
      </c>
      <c r="H643">
        <f t="shared" si="35"/>
        <v>1</v>
      </c>
      <c r="I643" t="str">
        <f t="shared" ref="I643:I706" si="36">TRIM(A643)</f>
        <v>PROCICAR NF *60GR</v>
      </c>
    </row>
    <row r="644" spans="1:9">
      <c r="A644" t="s">
        <v>1333</v>
      </c>
      <c r="B644" s="23">
        <v>1</v>
      </c>
      <c r="C644" s="51">
        <v>0</v>
      </c>
      <c r="D644" s="446" t="s">
        <v>366</v>
      </c>
      <c r="E644" s="39" t="s">
        <v>1334</v>
      </c>
      <c r="F644" s="42">
        <v>6921875009193</v>
      </c>
      <c r="G644">
        <f t="shared" si="34"/>
        <v>5000</v>
      </c>
      <c r="H644">
        <f t="shared" si="35"/>
        <v>1</v>
      </c>
      <c r="I644" t="str">
        <f t="shared" si="36"/>
        <v>DELTMOXI - AMOXICILINA 500MG X100 CAPS</v>
      </c>
    </row>
    <row r="645" spans="1:9">
      <c r="A645" t="s">
        <v>2637</v>
      </c>
      <c r="B645" s="23">
        <v>1</v>
      </c>
      <c r="C645" s="51">
        <v>0</v>
      </c>
      <c r="D645" s="446" t="s">
        <v>80</v>
      </c>
      <c r="E645" s="41" t="s">
        <v>2638</v>
      </c>
      <c r="F645" s="42">
        <v>7702605890200</v>
      </c>
      <c r="G645">
        <f t="shared" si="34"/>
        <v>6000</v>
      </c>
      <c r="H645">
        <f t="shared" si="35"/>
        <v>1</v>
      </c>
      <c r="I645" t="str">
        <f t="shared" si="36"/>
        <v>DIOSMECTITA 3GR GENFAR - X10 SOBRES</v>
      </c>
    </row>
    <row r="646" spans="1:9" ht="15">
      <c r="A646" s="19" t="s">
        <v>1586</v>
      </c>
      <c r="B646" s="37">
        <v>2</v>
      </c>
      <c r="C646" s="429">
        <v>0</v>
      </c>
      <c r="D646" s="376" t="s">
        <v>476</v>
      </c>
      <c r="E646" s="112" t="s">
        <v>1587</v>
      </c>
      <c r="F646" s="115">
        <v>6921875005546</v>
      </c>
      <c r="G646">
        <f t="shared" si="34"/>
        <v>2000</v>
      </c>
      <c r="H646">
        <f t="shared" si="35"/>
        <v>10</v>
      </c>
      <c r="I646" t="str">
        <f t="shared" si="36"/>
        <v>IBUPROFENO 400MG - INUPRODELTA</v>
      </c>
    </row>
    <row r="647" spans="1:9" ht="15">
      <c r="A647" s="16" t="s">
        <v>2264</v>
      </c>
      <c r="B647" s="17">
        <v>1</v>
      </c>
      <c r="C647" s="124">
        <v>0</v>
      </c>
      <c r="D647" s="321" t="s">
        <v>91</v>
      </c>
      <c r="E647" s="73" t="s">
        <v>2263</v>
      </c>
      <c r="F647" s="20">
        <v>7707177972910</v>
      </c>
      <c r="G647">
        <f t="shared" si="34"/>
        <v>16000</v>
      </c>
      <c r="H647">
        <f t="shared" si="35"/>
        <v>1</v>
      </c>
      <c r="I647" t="str">
        <f t="shared" si="36"/>
        <v>NAPROX 3%- NAPROXENO SUSPENSIÓN</v>
      </c>
    </row>
    <row r="648" spans="1:9">
      <c r="A648" s="13" t="s">
        <v>595</v>
      </c>
      <c r="B648" s="14">
        <v>6</v>
      </c>
      <c r="C648" s="105">
        <v>0</v>
      </c>
      <c r="D648" s="308" t="s">
        <v>596</v>
      </c>
      <c r="E648" s="13" t="s">
        <v>597</v>
      </c>
      <c r="F648" s="61">
        <v>8027950200245</v>
      </c>
      <c r="G648" t="e">
        <f t="shared" si="34"/>
        <v>#VALUE!</v>
      </c>
      <c r="H648">
        <f t="shared" si="35"/>
        <v>1</v>
      </c>
      <c r="I648" t="str">
        <f t="shared" si="36"/>
        <v>KENACORT-A</v>
      </c>
    </row>
    <row r="649" spans="1:9">
      <c r="A649" s="41" t="s">
        <v>690</v>
      </c>
      <c r="B649" s="23">
        <v>10</v>
      </c>
      <c r="C649" s="51">
        <v>0</v>
      </c>
      <c r="D649" s="446" t="s">
        <v>14</v>
      </c>
      <c r="E649" s="41" t="s">
        <v>692</v>
      </c>
      <c r="F649" s="273">
        <v>7707274721206</v>
      </c>
      <c r="G649">
        <f t="shared" si="34"/>
        <v>17000</v>
      </c>
      <c r="H649">
        <f t="shared" si="35"/>
        <v>1</v>
      </c>
      <c r="I649" t="str">
        <f t="shared" si="36"/>
        <v>SALBUTAMOL INHALADOR- SACRUSYT</v>
      </c>
    </row>
    <row r="650" spans="1:9">
      <c r="A650" t="s">
        <v>2639</v>
      </c>
      <c r="B650" s="23">
        <v>1</v>
      </c>
      <c r="C650" s="51">
        <v>0</v>
      </c>
      <c r="D650" s="446" t="s">
        <v>293</v>
      </c>
      <c r="E650" s="39" t="s">
        <v>2640</v>
      </c>
      <c r="F650" s="42">
        <v>7707184160232</v>
      </c>
      <c r="G650">
        <f t="shared" si="34"/>
        <v>4000</v>
      </c>
      <c r="H650">
        <f t="shared" si="35"/>
        <v>1</v>
      </c>
      <c r="I650" t="str">
        <f t="shared" si="36"/>
        <v>DIPIRONA AMP - CAJA X100 - FARMIONI</v>
      </c>
    </row>
    <row r="651" spans="1:9">
      <c r="A651" t="s">
        <v>2641</v>
      </c>
      <c r="B651" s="23">
        <v>1</v>
      </c>
      <c r="C651" s="51">
        <v>0.19</v>
      </c>
      <c r="D651" s="446" t="s">
        <v>948</v>
      </c>
      <c r="E651" s="41" t="s">
        <v>2642</v>
      </c>
      <c r="F651" s="42">
        <v>7707280393626</v>
      </c>
      <c r="G651">
        <f t="shared" si="34"/>
        <v>6500</v>
      </c>
      <c r="H651">
        <f t="shared" si="35"/>
        <v>1</v>
      </c>
      <c r="I651" t="str">
        <f t="shared" si="36"/>
        <v>NJUAGUE BUCAL ZEN DEN SIN ALCOHOL X60ML</v>
      </c>
    </row>
    <row r="652" spans="1:9" ht="15">
      <c r="A652" s="69" t="s">
        <v>2645</v>
      </c>
      <c r="B652" s="153">
        <v>12</v>
      </c>
      <c r="C652" s="105">
        <v>0.19</v>
      </c>
      <c r="D652" s="308" t="s">
        <v>156</v>
      </c>
      <c r="E652" s="13" t="s">
        <v>1826</v>
      </c>
      <c r="F652" s="61">
        <v>7707280392926</v>
      </c>
      <c r="G652">
        <f t="shared" si="34"/>
        <v>3000</v>
      </c>
      <c r="H652">
        <f t="shared" si="35"/>
        <v>10</v>
      </c>
      <c r="I652" t="str">
        <f t="shared" si="36"/>
        <v>SEDA DENTAL - BOTON ORO 20MTS ZEN DENT</v>
      </c>
    </row>
    <row r="653" spans="1:9">
      <c r="A653" t="s">
        <v>2646</v>
      </c>
      <c r="B653" s="23">
        <v>2</v>
      </c>
      <c r="C653" s="51">
        <v>0</v>
      </c>
      <c r="D653" s="446" t="s">
        <v>38</v>
      </c>
      <c r="E653" s="41" t="s">
        <v>2647</v>
      </c>
      <c r="F653" s="42">
        <v>7703712080065</v>
      </c>
      <c r="G653">
        <f t="shared" si="34"/>
        <v>9000</v>
      </c>
      <c r="H653">
        <f t="shared" si="35"/>
        <v>1</v>
      </c>
      <c r="I653" t="str">
        <f t="shared" si="36"/>
        <v>ALBENDAZOL SUSPENSIÓN - BENMACIT X10ML</v>
      </c>
    </row>
    <row r="654" spans="1:9">
      <c r="A654" s="69" t="s">
        <v>2649</v>
      </c>
      <c r="B654" s="14">
        <v>1</v>
      </c>
      <c r="C654" s="105">
        <v>0</v>
      </c>
      <c r="D654" s="308" t="s">
        <v>697</v>
      </c>
      <c r="E654" s="13" t="s">
        <v>2650</v>
      </c>
      <c r="F654" s="61">
        <v>7702057017361</v>
      </c>
      <c r="G654">
        <f t="shared" si="34"/>
        <v>2500</v>
      </c>
      <c r="H654">
        <f t="shared" si="35"/>
        <v>1</v>
      </c>
      <c r="I654" t="str">
        <f t="shared" si="36"/>
        <v>PANGETAN NF X100 TAB</v>
      </c>
    </row>
    <row r="655" spans="1:9">
      <c r="A655" s="12" t="s">
        <v>347</v>
      </c>
      <c r="B655" s="14">
        <v>1</v>
      </c>
      <c r="C655" s="105">
        <v>0</v>
      </c>
      <c r="D655" s="308" t="s">
        <v>348</v>
      </c>
      <c r="E655" s="13" t="s">
        <v>349</v>
      </c>
      <c r="F655" s="61">
        <v>650240029141</v>
      </c>
      <c r="G655">
        <f t="shared" si="34"/>
        <v>36000</v>
      </c>
      <c r="H655">
        <f t="shared" si="35"/>
        <v>1</v>
      </c>
      <c r="I655" t="str">
        <f t="shared" si="36"/>
        <v>TUKOL-D / BROMHEXINA + GUAYACOLATO</v>
      </c>
    </row>
    <row r="656" spans="1:9">
      <c r="A656" t="s">
        <v>1869</v>
      </c>
      <c r="B656" s="23">
        <v>2</v>
      </c>
      <c r="C656" s="51">
        <v>0</v>
      </c>
      <c r="D656" s="446" t="s">
        <v>676</v>
      </c>
      <c r="E656" s="41" t="s">
        <v>1870</v>
      </c>
      <c r="F656" s="42">
        <v>7707313280152</v>
      </c>
      <c r="G656">
        <f t="shared" si="34"/>
        <v>21000</v>
      </c>
      <c r="H656">
        <f t="shared" si="35"/>
        <v>1</v>
      </c>
      <c r="I656" t="str">
        <f t="shared" si="36"/>
        <v>VITADEL ADUTLO - MULTIVITAMINICO FRESA</v>
      </c>
    </row>
    <row r="657" spans="1:9">
      <c r="A657" s="65" t="s">
        <v>2651</v>
      </c>
      <c r="B657" s="102">
        <v>1</v>
      </c>
      <c r="C657" s="101">
        <v>0</v>
      </c>
      <c r="D657" s="443" t="s">
        <v>262</v>
      </c>
      <c r="E657" s="64" t="s">
        <v>2652</v>
      </c>
      <c r="F657" s="103">
        <v>7702057700119</v>
      </c>
      <c r="G657">
        <f t="shared" si="34"/>
        <v>7000</v>
      </c>
      <c r="H657">
        <f t="shared" si="35"/>
        <v>10</v>
      </c>
      <c r="I657" t="str">
        <f t="shared" si="36"/>
        <v>VITAMINA C MK- NARANJA X100</v>
      </c>
    </row>
    <row r="658" spans="1:9">
      <c r="A658" s="12" t="s">
        <v>2653</v>
      </c>
      <c r="B658" s="14">
        <v>1</v>
      </c>
      <c r="C658" s="105">
        <v>0</v>
      </c>
      <c r="D658" s="308" t="s">
        <v>227</v>
      </c>
      <c r="E658" s="12" t="s">
        <v>2654</v>
      </c>
      <c r="F658" s="61">
        <v>7703038066736</v>
      </c>
      <c r="G658">
        <f t="shared" si="34"/>
        <v>8000</v>
      </c>
      <c r="H658">
        <f t="shared" si="35"/>
        <v>10</v>
      </c>
      <c r="I658" t="str">
        <f t="shared" si="36"/>
        <v>IMIPRAMINA 25MG- LAPROFF x300</v>
      </c>
    </row>
    <row r="659" spans="1:9">
      <c r="A659" s="146" t="s">
        <v>229</v>
      </c>
      <c r="B659" s="147">
        <v>2</v>
      </c>
      <c r="C659" s="148">
        <v>0.19</v>
      </c>
      <c r="D659" s="444" t="s">
        <v>1888</v>
      </c>
      <c r="E659" s="159" t="s">
        <v>230</v>
      </c>
      <c r="F659" s="160">
        <v>7707210530909</v>
      </c>
      <c r="G659">
        <f t="shared" si="34"/>
        <v>18500</v>
      </c>
      <c r="H659">
        <f t="shared" si="35"/>
        <v>1</v>
      </c>
      <c r="I659" t="str">
        <f t="shared" si="36"/>
        <v>CALADERM CLEAR PLUS LOCIÓN</v>
      </c>
    </row>
    <row r="660" spans="1:9">
      <c r="A660" t="s">
        <v>152</v>
      </c>
      <c r="B660" s="23">
        <v>10</v>
      </c>
      <c r="C660" s="51">
        <v>0</v>
      </c>
      <c r="D660" s="446" t="s">
        <v>2655</v>
      </c>
      <c r="E660" s="39" t="s">
        <v>154</v>
      </c>
      <c r="F660" s="42">
        <v>7706569000958</v>
      </c>
      <c r="G660">
        <f t="shared" si="34"/>
        <v>7500</v>
      </c>
      <c r="H660">
        <f t="shared" si="35"/>
        <v>10</v>
      </c>
      <c r="I660" t="str">
        <f t="shared" si="36"/>
        <v>DICLOFENACO RECTARD AG</v>
      </c>
    </row>
    <row r="661" spans="1:9" ht="15">
      <c r="A661" s="130" t="s">
        <v>1034</v>
      </c>
      <c r="B661" s="132">
        <v>6</v>
      </c>
      <c r="C661" s="510">
        <v>0.19</v>
      </c>
      <c r="D661" s="492" t="s">
        <v>1035</v>
      </c>
      <c r="E661" s="214" t="s">
        <v>1036</v>
      </c>
      <c r="F661" s="478">
        <v>7707336092497</v>
      </c>
      <c r="G661">
        <f t="shared" si="34"/>
        <v>11000</v>
      </c>
      <c r="H661">
        <f t="shared" si="35"/>
        <v>1</v>
      </c>
      <c r="I661" t="str">
        <f t="shared" si="36"/>
        <v>TERMOMETRO DIGITAL ZIBOJECT</v>
      </c>
    </row>
    <row r="662" spans="1:9">
      <c r="A662" s="8" t="s">
        <v>2657</v>
      </c>
      <c r="B662" s="30">
        <v>6</v>
      </c>
      <c r="C662" s="31">
        <v>0.19</v>
      </c>
      <c r="D662" s="447" t="s">
        <v>366</v>
      </c>
      <c r="E662" s="8" t="s">
        <v>2658</v>
      </c>
      <c r="F662" s="63">
        <v>7705471500013</v>
      </c>
      <c r="G662">
        <f t="shared" si="34"/>
        <v>5000</v>
      </c>
      <c r="H662">
        <f t="shared" si="35"/>
        <v>1</v>
      </c>
      <c r="I662" t="str">
        <f t="shared" si="36"/>
        <v>PIEDRA ALUMBRE *400GR ATHOS</v>
      </c>
    </row>
    <row r="663" spans="1:9">
      <c r="A663" s="64" t="s">
        <v>2144</v>
      </c>
      <c r="B663" s="102">
        <v>1</v>
      </c>
      <c r="C663" s="101">
        <v>0</v>
      </c>
      <c r="D663" s="443" t="s">
        <v>103</v>
      </c>
      <c r="E663" s="64" t="s">
        <v>2145</v>
      </c>
      <c r="F663" s="103">
        <v>7703153039752</v>
      </c>
      <c r="G663">
        <f t="shared" si="34"/>
        <v>5000</v>
      </c>
      <c r="H663">
        <f t="shared" si="35"/>
        <v>10</v>
      </c>
      <c r="I663" t="str">
        <f t="shared" si="36"/>
        <v>AMPICILINA 500MG - COLMED</v>
      </c>
    </row>
    <row r="664" spans="1:9">
      <c r="A664" s="24" t="s">
        <v>1017</v>
      </c>
      <c r="B664" s="30">
        <v>1</v>
      </c>
      <c r="C664" s="31">
        <v>0</v>
      </c>
      <c r="D664" s="447" t="s">
        <v>1018</v>
      </c>
      <c r="E664" s="8" t="s">
        <v>75</v>
      </c>
      <c r="F664" s="63">
        <v>7707067620655</v>
      </c>
      <c r="G664">
        <f t="shared" si="34"/>
        <v>13000</v>
      </c>
      <c r="H664">
        <f t="shared" si="35"/>
        <v>10</v>
      </c>
      <c r="I664" t="str">
        <f t="shared" si="36"/>
        <v>TRIANOREXIL TABELTAS BUCLIZINA 25MG</v>
      </c>
    </row>
    <row r="665" spans="1:9">
      <c r="A665" t="s">
        <v>2659</v>
      </c>
      <c r="B665" s="23">
        <v>3</v>
      </c>
      <c r="C665" s="51">
        <v>0</v>
      </c>
      <c r="D665" s="446" t="s">
        <v>509</v>
      </c>
      <c r="E665" s="39" t="s">
        <v>228</v>
      </c>
      <c r="F665" s="42">
        <v>7702184010518</v>
      </c>
      <c r="G665">
        <f t="shared" si="34"/>
        <v>12000</v>
      </c>
      <c r="H665">
        <f t="shared" si="35"/>
        <v>10</v>
      </c>
      <c r="I665" t="str">
        <f t="shared" si="36"/>
        <v>SERTRALINA 100MG ECAR X10</v>
      </c>
    </row>
    <row r="666" spans="1:9">
      <c r="A666" s="13" t="s">
        <v>137</v>
      </c>
      <c r="B666" s="121">
        <v>2</v>
      </c>
      <c r="C666" s="270">
        <v>0</v>
      </c>
      <c r="D666" s="308" t="s">
        <v>7</v>
      </c>
      <c r="E666" s="13" t="s">
        <v>138</v>
      </c>
      <c r="F666" s="211">
        <v>7705451023198</v>
      </c>
      <c r="G666">
        <f t="shared" si="34"/>
        <v>7000</v>
      </c>
      <c r="H666">
        <f t="shared" si="35"/>
        <v>1</v>
      </c>
      <c r="I666" t="str">
        <f t="shared" si="36"/>
        <v>DIFENHIDRAMINA SUSP- LICOL</v>
      </c>
    </row>
    <row r="667" spans="1:9">
      <c r="A667" s="146" t="s">
        <v>2660</v>
      </c>
      <c r="B667" s="147">
        <v>1</v>
      </c>
      <c r="C667" s="148">
        <v>0</v>
      </c>
      <c r="D667" s="444" t="s">
        <v>293</v>
      </c>
      <c r="E667" s="159" t="s">
        <v>2661</v>
      </c>
      <c r="F667" s="160">
        <v>7702057016142</v>
      </c>
      <c r="G667">
        <f t="shared" si="34"/>
        <v>4000</v>
      </c>
      <c r="H667">
        <f t="shared" si="35"/>
        <v>1</v>
      </c>
      <c r="I667" t="str">
        <f t="shared" si="36"/>
        <v>HIDRAPLUS 75 UVA SACHET X4</v>
      </c>
    </row>
    <row r="668" spans="1:9">
      <c r="A668" s="28" t="s">
        <v>990</v>
      </c>
      <c r="B668" s="30">
        <v>1</v>
      </c>
      <c r="C668" s="31">
        <v>0</v>
      </c>
      <c r="D668" s="447" t="s">
        <v>991</v>
      </c>
      <c r="E668" s="8" t="s">
        <v>558</v>
      </c>
      <c r="F668" s="63">
        <v>7702132009731</v>
      </c>
      <c r="G668">
        <f t="shared" si="34"/>
        <v>26000</v>
      </c>
      <c r="H668">
        <f t="shared" si="35"/>
        <v>1</v>
      </c>
      <c r="I668" t="str">
        <f t="shared" si="36"/>
        <v>ADVIL CHILDREN *60ML</v>
      </c>
    </row>
    <row r="669" spans="1:9">
      <c r="A669" s="24" t="s">
        <v>2663</v>
      </c>
      <c r="B669" s="30">
        <v>1</v>
      </c>
      <c r="C669" s="31">
        <v>0</v>
      </c>
      <c r="D669" s="447" t="s">
        <v>2664</v>
      </c>
      <c r="E669" s="7" t="s">
        <v>2665</v>
      </c>
      <c r="F669" s="63">
        <v>7702057736217</v>
      </c>
      <c r="G669">
        <f t="shared" si="34"/>
        <v>102500</v>
      </c>
      <c r="H669">
        <f t="shared" si="35"/>
        <v>60</v>
      </c>
      <c r="I669" t="str">
        <f t="shared" si="36"/>
        <v>BIOCALCIUM PLUS *60 SOBRES</v>
      </c>
    </row>
    <row r="670" spans="1:9">
      <c r="A670" s="24" t="s">
        <v>2666</v>
      </c>
      <c r="B670" s="30">
        <v>1</v>
      </c>
      <c r="C670" s="31">
        <v>0</v>
      </c>
      <c r="D670" s="447" t="s">
        <v>123</v>
      </c>
      <c r="E670" s="8" t="s">
        <v>795</v>
      </c>
      <c r="F670" s="63">
        <v>7703153007225</v>
      </c>
      <c r="G670">
        <f t="shared" si="34"/>
        <v>16000</v>
      </c>
      <c r="H670">
        <f t="shared" si="35"/>
        <v>10</v>
      </c>
      <c r="I670" t="str">
        <f t="shared" si="36"/>
        <v>DIGESTA X20 / SIMETICONA 250MG CAPSULAS</v>
      </c>
    </row>
    <row r="671" spans="1:9">
      <c r="A671" s="141" t="s">
        <v>1273</v>
      </c>
      <c r="B671" s="147">
        <v>1</v>
      </c>
      <c r="C671" s="148">
        <v>0</v>
      </c>
      <c r="D671" s="444" t="s">
        <v>1274</v>
      </c>
      <c r="E671" s="159" t="s">
        <v>1275</v>
      </c>
      <c r="F671" s="160">
        <v>7702057077273</v>
      </c>
      <c r="G671">
        <f t="shared" ref="G671:G734" si="37">IFERROR(VALUE(SUBSTITUTE(LEFT(LOWER(D671),FIND("x",LOWER(D671))-1),",","")),VALUE(SUBSTITUTE(D671,",","")))</f>
        <v>72000</v>
      </c>
      <c r="H671">
        <f t="shared" ref="H671:H734" si="38">IFERROR(VALUE(MID(LOWER(D671),FIND("x",LOWER(D671))+1,20)),1)</f>
        <v>1</v>
      </c>
      <c r="I671" t="str">
        <f t="shared" si="36"/>
        <v>CORTIOFTAL GOTAS 1%- TQ / PREDNISOLONA ACETATO</v>
      </c>
    </row>
    <row r="672" spans="1:9">
      <c r="A672" s="64" t="s">
        <v>728</v>
      </c>
      <c r="B672" s="102">
        <v>1</v>
      </c>
      <c r="C672" s="101">
        <v>0</v>
      </c>
      <c r="D672" s="443" t="s">
        <v>343</v>
      </c>
      <c r="E672" s="64" t="s">
        <v>730</v>
      </c>
      <c r="F672" s="103">
        <v>7702896000562</v>
      </c>
      <c r="G672">
        <f t="shared" si="37"/>
        <v>44000</v>
      </c>
      <c r="H672">
        <f t="shared" si="38"/>
        <v>1</v>
      </c>
      <c r="I672" t="str">
        <f t="shared" si="36"/>
        <v>PREDNIOFTAL F</v>
      </c>
    </row>
    <row r="673" spans="1:9">
      <c r="A673" s="64" t="s">
        <v>1408</v>
      </c>
      <c r="B673" s="102">
        <v>1</v>
      </c>
      <c r="C673" s="101">
        <v>0</v>
      </c>
      <c r="D673" s="443" t="s">
        <v>1409</v>
      </c>
      <c r="E673" s="64" t="s">
        <v>422</v>
      </c>
      <c r="F673" s="103">
        <v>7702057070748</v>
      </c>
      <c r="G673">
        <f t="shared" si="37"/>
        <v>3500</v>
      </c>
      <c r="H673">
        <f t="shared" si="38"/>
        <v>10</v>
      </c>
      <c r="I673" t="str">
        <f t="shared" si="36"/>
        <v>ASA - ACIDO ACETILSALICILICO - MK</v>
      </c>
    </row>
    <row r="674" spans="1:9" ht="15">
      <c r="A674" s="45" t="s">
        <v>1287</v>
      </c>
      <c r="B674" s="17">
        <v>5</v>
      </c>
      <c r="C674" s="33">
        <v>0</v>
      </c>
      <c r="D674" s="477" t="s">
        <v>625</v>
      </c>
      <c r="E674" s="74" t="s">
        <v>1288</v>
      </c>
      <c r="F674" s="46">
        <v>7707816987145</v>
      </c>
      <c r="G674">
        <f t="shared" si="37"/>
        <v>25000</v>
      </c>
      <c r="H674">
        <f t="shared" si="38"/>
        <v>1</v>
      </c>
      <c r="I674" t="str">
        <f t="shared" si="36"/>
        <v>CLOROFILA - CLOROMED SUSPENSIÓN</v>
      </c>
    </row>
    <row r="675" spans="1:9">
      <c r="A675" s="24" t="s">
        <v>2668</v>
      </c>
      <c r="B675" s="30">
        <v>1</v>
      </c>
      <c r="C675" s="31">
        <v>0.19</v>
      </c>
      <c r="D675" s="447" t="s">
        <v>2669</v>
      </c>
      <c r="E675" s="8" t="s">
        <v>2670</v>
      </c>
      <c r="F675" s="63">
        <v>7702277252184</v>
      </c>
      <c r="G675">
        <f t="shared" si="37"/>
        <v>18500</v>
      </c>
      <c r="H675">
        <f t="shared" si="38"/>
        <v>1</v>
      </c>
      <c r="I675" t="str">
        <f t="shared" si="36"/>
        <v>INTIBON JABON SALVIA Y CALÉNDULA X210 GR + VINAGRE 55GR</v>
      </c>
    </row>
    <row r="676" spans="1:9">
      <c r="A676" s="71" t="s">
        <v>2237</v>
      </c>
      <c r="B676" s="14">
        <v>1</v>
      </c>
      <c r="C676" s="105">
        <v>0</v>
      </c>
      <c r="D676" s="308" t="s">
        <v>1116</v>
      </c>
      <c r="E676" s="12" t="s">
        <v>2238</v>
      </c>
      <c r="F676" s="61">
        <v>7704190272102</v>
      </c>
      <c r="G676">
        <f t="shared" si="37"/>
        <v>23000</v>
      </c>
      <c r="H676">
        <f t="shared" si="38"/>
        <v>1</v>
      </c>
      <c r="I676" t="str">
        <f t="shared" si="36"/>
        <v>PASTA LASSAR POT *100GR</v>
      </c>
    </row>
    <row r="677" spans="1:9">
      <c r="A677" s="71" t="s">
        <v>810</v>
      </c>
      <c r="B677" s="14">
        <v>1</v>
      </c>
      <c r="C677" s="105">
        <v>0</v>
      </c>
      <c r="D677" s="308" t="s">
        <v>91</v>
      </c>
      <c r="E677" s="12" t="s">
        <v>811</v>
      </c>
      <c r="F677" s="61">
        <v>7704190272119</v>
      </c>
      <c r="G677">
        <f t="shared" si="37"/>
        <v>16000</v>
      </c>
      <c r="H677">
        <f t="shared" si="38"/>
        <v>1</v>
      </c>
      <c r="I677" t="str">
        <f t="shared" si="36"/>
        <v>PASTA LASSAR POT *60GR</v>
      </c>
    </row>
    <row r="678" spans="1:9">
      <c r="A678" s="7" t="s">
        <v>19</v>
      </c>
      <c r="B678" s="25">
        <v>2</v>
      </c>
      <c r="C678" s="26">
        <v>0</v>
      </c>
      <c r="D678" s="447" t="s">
        <v>20</v>
      </c>
      <c r="E678" s="7" t="s">
        <v>21</v>
      </c>
      <c r="F678" s="129">
        <v>7703038328797</v>
      </c>
      <c r="G678">
        <f t="shared" si="37"/>
        <v>2000</v>
      </c>
      <c r="H678">
        <f t="shared" si="38"/>
        <v>2</v>
      </c>
      <c r="I678" t="str">
        <f t="shared" si="36"/>
        <v>SILDENAFILO 50MG - LAPRODFF</v>
      </c>
    </row>
    <row r="679" spans="1:9">
      <c r="A679" s="22" t="s">
        <v>2197</v>
      </c>
      <c r="B679" s="11">
        <v>1</v>
      </c>
      <c r="C679" s="194">
        <v>0</v>
      </c>
      <c r="D679" s="446" t="s">
        <v>343</v>
      </c>
      <c r="E679" s="41" t="s">
        <v>2673</v>
      </c>
      <c r="F679" s="42">
        <v>7702057061272</v>
      </c>
      <c r="G679">
        <f t="shared" si="37"/>
        <v>44000</v>
      </c>
      <c r="H679">
        <f t="shared" si="38"/>
        <v>1</v>
      </c>
      <c r="I679" t="str">
        <f t="shared" si="36"/>
        <v>OFTAMOX GOTAS</v>
      </c>
    </row>
    <row r="680" spans="1:9" ht="15">
      <c r="A680" s="45" t="s">
        <v>2674</v>
      </c>
      <c r="B680" s="36">
        <v>5</v>
      </c>
      <c r="C680" s="164">
        <v>0</v>
      </c>
      <c r="D680" s="378" t="s">
        <v>59</v>
      </c>
      <c r="E680" s="74" t="s">
        <v>2089</v>
      </c>
      <c r="F680" s="46">
        <v>7705137100151</v>
      </c>
      <c r="G680">
        <f t="shared" si="37"/>
        <v>3000</v>
      </c>
      <c r="H680">
        <f t="shared" si="38"/>
        <v>1</v>
      </c>
      <c r="I680" t="str">
        <f t="shared" si="36"/>
        <v>ALCOHOL OSA 70% - X120ML</v>
      </c>
    </row>
    <row r="681" spans="1:9">
      <c r="A681" s="28" t="s">
        <v>2675</v>
      </c>
      <c r="B681" s="30">
        <v>1</v>
      </c>
      <c r="C681" s="128">
        <v>0</v>
      </c>
      <c r="D681" s="480" t="s">
        <v>2676</v>
      </c>
      <c r="E681" s="8" t="s">
        <v>409</v>
      </c>
      <c r="F681" s="63">
        <v>7702123009535</v>
      </c>
      <c r="G681">
        <f t="shared" si="37"/>
        <v>3500</v>
      </c>
      <c r="H681">
        <f t="shared" si="38"/>
        <v>4</v>
      </c>
      <c r="I681" t="str">
        <f t="shared" si="36"/>
        <v>ASPIRINA ULTRA 500MG - X100</v>
      </c>
    </row>
    <row r="682" spans="1:9">
      <c r="A682" t="s">
        <v>226</v>
      </c>
      <c r="B682" s="23">
        <v>6</v>
      </c>
      <c r="C682" s="51">
        <v>0</v>
      </c>
      <c r="D682" s="446" t="s">
        <v>227</v>
      </c>
      <c r="E682" s="39" t="s">
        <v>228</v>
      </c>
      <c r="F682" s="42">
        <v>7703038067023</v>
      </c>
      <c r="G682">
        <f t="shared" si="37"/>
        <v>8000</v>
      </c>
      <c r="H682">
        <f t="shared" si="38"/>
        <v>10</v>
      </c>
      <c r="I682" t="str">
        <f t="shared" si="36"/>
        <v>DESLORATADINA 5MG - LAPROFF X10</v>
      </c>
    </row>
    <row r="683" spans="1:9">
      <c r="A683" s="28" t="s">
        <v>2377</v>
      </c>
      <c r="B683" s="30">
        <v>1</v>
      </c>
      <c r="C683" s="31">
        <v>0</v>
      </c>
      <c r="D683" s="447" t="s">
        <v>59</v>
      </c>
      <c r="E683" s="8" t="s">
        <v>2378</v>
      </c>
      <c r="F683" s="63">
        <v>7703546076036</v>
      </c>
      <c r="G683">
        <f t="shared" si="37"/>
        <v>3000</v>
      </c>
      <c r="H683">
        <f t="shared" si="38"/>
        <v>1</v>
      </c>
      <c r="I683" t="str">
        <f t="shared" si="36"/>
        <v>FLUMIXOL 600MG - X30 SOBRES / N-ACETILSISTEINA (X1)</v>
      </c>
    </row>
    <row r="684" spans="1:9">
      <c r="A684" t="s">
        <v>2677</v>
      </c>
      <c r="B684" s="23">
        <v>1</v>
      </c>
      <c r="C684" s="51">
        <v>0</v>
      </c>
      <c r="D684" s="446" t="s">
        <v>56</v>
      </c>
      <c r="E684" s="41" t="s">
        <v>2678</v>
      </c>
      <c r="F684" s="42">
        <v>7707355058955</v>
      </c>
      <c r="G684">
        <f t="shared" si="37"/>
        <v>28000</v>
      </c>
      <c r="H684">
        <f t="shared" si="38"/>
        <v>1</v>
      </c>
      <c r="I684" t="str">
        <f t="shared" si="36"/>
        <v>RIFAMICINA SPRAY / RIFAPEN</v>
      </c>
    </row>
    <row r="685" spans="1:9">
      <c r="A685" t="s">
        <v>2680</v>
      </c>
      <c r="B685" s="23">
        <v>3</v>
      </c>
      <c r="C685" s="51">
        <v>0</v>
      </c>
      <c r="D685" s="446" t="s">
        <v>408</v>
      </c>
      <c r="E685" s="39" t="s">
        <v>2681</v>
      </c>
      <c r="F685" s="42">
        <v>7702057075040</v>
      </c>
      <c r="G685">
        <f t="shared" si="37"/>
        <v>9000</v>
      </c>
      <c r="H685">
        <f t="shared" si="38"/>
        <v>10</v>
      </c>
      <c r="I685" t="str">
        <f t="shared" si="36"/>
        <v>PIROXICAM 20MG - CAPSULAS X10 / MK</v>
      </c>
    </row>
    <row r="686" spans="1:9">
      <c r="A686" t="s">
        <v>2682</v>
      </c>
      <c r="B686" s="23">
        <v>3</v>
      </c>
      <c r="C686" s="51">
        <v>0</v>
      </c>
      <c r="D686" s="446" t="s">
        <v>2022</v>
      </c>
      <c r="E686" s="39" t="s">
        <v>2683</v>
      </c>
      <c r="F686" s="42">
        <v>7707348530017</v>
      </c>
      <c r="G686">
        <f t="shared" si="37"/>
        <v>16000</v>
      </c>
      <c r="H686">
        <f t="shared" si="38"/>
        <v>6</v>
      </c>
      <c r="I686" t="str">
        <f t="shared" si="36"/>
        <v>NITAXOZANIDA X6 - XINPA</v>
      </c>
    </row>
    <row r="687" spans="1:9">
      <c r="A687" s="22" t="s">
        <v>1472</v>
      </c>
      <c r="B687" s="23">
        <v>4</v>
      </c>
      <c r="C687" s="51">
        <v>0</v>
      </c>
      <c r="D687" s="446" t="s">
        <v>133</v>
      </c>
      <c r="E687" s="39" t="s">
        <v>1473</v>
      </c>
      <c r="F687" s="42">
        <v>8903726237687</v>
      </c>
      <c r="G687">
        <f t="shared" si="37"/>
        <v>16000</v>
      </c>
      <c r="H687">
        <f t="shared" si="38"/>
        <v>30</v>
      </c>
      <c r="I687" t="str">
        <f t="shared" si="36"/>
        <v>IRBESARTAN 150MG - IRBIGEN X30 TABLETAS</v>
      </c>
    </row>
    <row r="688" spans="1:9">
      <c r="A688" t="s">
        <v>1173</v>
      </c>
      <c r="B688" s="23">
        <v>2</v>
      </c>
      <c r="C688" s="51">
        <v>0</v>
      </c>
      <c r="D688" s="446" t="s">
        <v>348</v>
      </c>
      <c r="E688" s="41" t="s">
        <v>1175</v>
      </c>
      <c r="F688" s="42">
        <v>7703234100968</v>
      </c>
      <c r="G688">
        <f t="shared" si="37"/>
        <v>36000</v>
      </c>
      <c r="H688">
        <f t="shared" si="38"/>
        <v>1</v>
      </c>
      <c r="I688" t="str">
        <f t="shared" si="36"/>
        <v>BIOCICAR CREMA</v>
      </c>
    </row>
    <row r="689" spans="1:9">
      <c r="A689" s="24" t="s">
        <v>2684</v>
      </c>
      <c r="B689" s="30">
        <v>2</v>
      </c>
      <c r="C689" s="31">
        <v>0.19</v>
      </c>
      <c r="D689" s="447" t="s">
        <v>747</v>
      </c>
      <c r="E689" s="7" t="s">
        <v>2685</v>
      </c>
      <c r="F689" s="63">
        <v>7702560043291</v>
      </c>
      <c r="G689">
        <f t="shared" si="37"/>
        <v>14000</v>
      </c>
      <c r="H689">
        <f t="shared" si="38"/>
        <v>1</v>
      </c>
      <c r="I689" t="str">
        <f t="shared" si="36"/>
        <v>KOLA GRANULADA- TARRITO ROJO *135GR</v>
      </c>
    </row>
    <row r="690" spans="1:9" ht="15">
      <c r="A690" s="16" t="s">
        <v>2686</v>
      </c>
      <c r="B690" s="17">
        <v>2</v>
      </c>
      <c r="C690" s="124">
        <v>0</v>
      </c>
      <c r="D690" s="321" t="s">
        <v>2687</v>
      </c>
      <c r="E690" s="73" t="s">
        <v>2140</v>
      </c>
      <c r="F690" s="20">
        <v>7707274721084</v>
      </c>
      <c r="G690">
        <f t="shared" si="37"/>
        <v>39500</v>
      </c>
      <c r="H690">
        <f t="shared" si="38"/>
        <v>1</v>
      </c>
      <c r="I690" t="str">
        <f t="shared" si="36"/>
        <v>ECLOSYNT - BECLOMETASONA BUCAL 250MC</v>
      </c>
    </row>
    <row r="691" spans="1:9">
      <c r="A691" t="s">
        <v>1843</v>
      </c>
      <c r="B691" s="23">
        <v>3</v>
      </c>
      <c r="C691" s="51">
        <v>0</v>
      </c>
      <c r="D691" s="446" t="s">
        <v>1550</v>
      </c>
      <c r="E691" s="39" t="s">
        <v>116</v>
      </c>
      <c r="F691" s="42">
        <v>8903726189955</v>
      </c>
      <c r="G691">
        <f t="shared" si="37"/>
        <v>25000</v>
      </c>
      <c r="H691">
        <f t="shared" si="38"/>
        <v>30</v>
      </c>
      <c r="I691" t="str">
        <f t="shared" si="36"/>
        <v>ESCITALOPRAM 10MG - X30 HETERO</v>
      </c>
    </row>
    <row r="692" spans="1:9">
      <c r="A692" s="13" t="s">
        <v>1677</v>
      </c>
      <c r="B692" s="14">
        <v>5</v>
      </c>
      <c r="C692" s="105">
        <v>0</v>
      </c>
      <c r="D692" s="308" t="s">
        <v>109</v>
      </c>
      <c r="E692" s="13" t="s">
        <v>1678</v>
      </c>
      <c r="F692" s="61">
        <v>7707184161420</v>
      </c>
      <c r="G692">
        <f t="shared" si="37"/>
        <v>10000</v>
      </c>
      <c r="H692">
        <f t="shared" si="38"/>
        <v>1</v>
      </c>
      <c r="I692" t="str">
        <f t="shared" si="36"/>
        <v>CLOTRIMAZOL VAGINAL FARMIONI</v>
      </c>
    </row>
    <row r="693" spans="1:9">
      <c r="A693" s="22" t="s">
        <v>2688</v>
      </c>
      <c r="B693" s="11">
        <v>12</v>
      </c>
      <c r="C693" s="194">
        <v>0</v>
      </c>
      <c r="D693" s="483" t="s">
        <v>23</v>
      </c>
      <c r="E693" s="41" t="s">
        <v>2689</v>
      </c>
      <c r="F693" s="273">
        <v>7702184030141</v>
      </c>
      <c r="G693">
        <f t="shared" si="37"/>
        <v>15000</v>
      </c>
      <c r="H693">
        <f t="shared" si="38"/>
        <v>1</v>
      </c>
      <c r="I693" t="str">
        <f t="shared" si="36"/>
        <v>TIAMINA AMP- ECAR</v>
      </c>
    </row>
    <row r="694" spans="1:9">
      <c r="A694" t="s">
        <v>2690</v>
      </c>
      <c r="B694" s="23">
        <v>2</v>
      </c>
      <c r="C694" s="51">
        <v>0.19</v>
      </c>
      <c r="D694" s="446" t="s">
        <v>10</v>
      </c>
      <c r="E694" s="41" t="s">
        <v>2691</v>
      </c>
      <c r="F694" s="42">
        <v>7707336090783</v>
      </c>
      <c r="G694">
        <f t="shared" si="37"/>
        <v>8000</v>
      </c>
      <c r="H694">
        <f t="shared" si="38"/>
        <v>1</v>
      </c>
      <c r="I694" t="str">
        <f t="shared" si="36"/>
        <v>KIT DE NEBULIZACIÓN ADULTO - ZIBOJECT</v>
      </c>
    </row>
    <row r="695" spans="1:9">
      <c r="A695" s="22" t="s">
        <v>1013</v>
      </c>
      <c r="B695" s="23">
        <v>6</v>
      </c>
      <c r="C695" s="51">
        <v>0</v>
      </c>
      <c r="D695" s="446" t="s">
        <v>23</v>
      </c>
      <c r="E695" s="39" t="s">
        <v>75</v>
      </c>
      <c r="F695" s="42">
        <v>7707357200093</v>
      </c>
      <c r="G695">
        <f t="shared" si="37"/>
        <v>15000</v>
      </c>
      <c r="H695">
        <f t="shared" si="38"/>
        <v>1</v>
      </c>
      <c r="I695" t="str">
        <f t="shared" si="36"/>
        <v>DOSFLEM ADULTOS / BROMHEXINA + GUAYACOLATO</v>
      </c>
    </row>
    <row r="696" spans="1:9">
      <c r="A696" t="s">
        <v>395</v>
      </c>
      <c r="B696" s="23">
        <v>1</v>
      </c>
      <c r="C696" s="51">
        <v>0</v>
      </c>
      <c r="D696" s="446" t="s">
        <v>2003</v>
      </c>
      <c r="E696" s="39" t="s">
        <v>396</v>
      </c>
      <c r="F696" s="42">
        <v>7707355059686</v>
      </c>
      <c r="G696">
        <f t="shared" si="37"/>
        <v>5500</v>
      </c>
      <c r="H696">
        <f t="shared" si="38"/>
        <v>10</v>
      </c>
      <c r="I696" t="str">
        <f t="shared" si="36"/>
        <v>LEVOTIROXINA 50MCG X50 - SIEGFRIED</v>
      </c>
    </row>
    <row r="697" spans="1:9">
      <c r="A697" s="28" t="s">
        <v>1230</v>
      </c>
      <c r="B697" s="30">
        <v>1</v>
      </c>
      <c r="C697" s="31">
        <v>0</v>
      </c>
      <c r="D697" s="447" t="s">
        <v>497</v>
      </c>
      <c r="E697" s="7" t="s">
        <v>1231</v>
      </c>
      <c r="F697" s="129">
        <v>7707232095608</v>
      </c>
      <c r="G697">
        <f t="shared" si="37"/>
        <v>29000</v>
      </c>
      <c r="H697">
        <f t="shared" si="38"/>
        <v>1</v>
      </c>
      <c r="I697" t="str">
        <f t="shared" si="36"/>
        <v>MIELTERTOS JARABE ADULTO</v>
      </c>
    </row>
    <row r="698" spans="1:9">
      <c r="A698" t="s">
        <v>861</v>
      </c>
      <c r="B698" s="23">
        <v>1</v>
      </c>
      <c r="C698" s="51">
        <v>0</v>
      </c>
      <c r="D698" s="446" t="s">
        <v>262</v>
      </c>
      <c r="E698" s="41" t="s">
        <v>863</v>
      </c>
      <c r="F698" s="42">
        <v>7703153035112</v>
      </c>
      <c r="G698">
        <f t="shared" si="37"/>
        <v>7000</v>
      </c>
      <c r="H698">
        <f t="shared" si="38"/>
        <v>10</v>
      </c>
      <c r="I698" t="str">
        <f t="shared" si="36"/>
        <v>VITAMINA C CAPS GEL.- PROCAPS - X60 CAPS</v>
      </c>
    </row>
    <row r="699" spans="1:9">
      <c r="A699" t="s">
        <v>2692</v>
      </c>
      <c r="B699" s="23">
        <v>1</v>
      </c>
      <c r="C699" s="51">
        <v>0</v>
      </c>
      <c r="D699" s="446" t="s">
        <v>491</v>
      </c>
      <c r="E699" s="41" t="s">
        <v>2169</v>
      </c>
      <c r="F699" s="42">
        <v>7707269910219</v>
      </c>
      <c r="G699">
        <f t="shared" si="37"/>
        <v>24000</v>
      </c>
      <c r="H699">
        <f t="shared" si="38"/>
        <v>1</v>
      </c>
      <c r="I699" t="str">
        <f t="shared" si="36"/>
        <v>BUCLIZINA JARABE - ZYNAPET</v>
      </c>
    </row>
    <row r="700" spans="1:9" ht="30">
      <c r="A700" s="278" t="s">
        <v>2295</v>
      </c>
      <c r="B700" s="132">
        <v>4</v>
      </c>
      <c r="C700" s="51">
        <v>0</v>
      </c>
      <c r="D700" s="446" t="s">
        <v>118</v>
      </c>
      <c r="E700" s="214" t="s">
        <v>110</v>
      </c>
      <c r="F700" s="478">
        <v>7709830214061</v>
      </c>
      <c r="G700">
        <f t="shared" si="37"/>
        <v>13000</v>
      </c>
      <c r="H700">
        <f t="shared" si="38"/>
        <v>1</v>
      </c>
      <c r="I700" t="str">
        <f t="shared" si="36"/>
        <v>SKINDERM CREMA X20GR / BETAMETASONA 0,04GR / NEOMICINA 0,50GR / CLOTRIMAZOL 1,00 GR</v>
      </c>
    </row>
    <row r="701" spans="1:9" ht="15">
      <c r="A701" s="16" t="s">
        <v>1988</v>
      </c>
      <c r="B701" s="17">
        <v>1</v>
      </c>
      <c r="C701" s="124">
        <v>0.19</v>
      </c>
      <c r="D701" s="321" t="s">
        <v>750</v>
      </c>
      <c r="E701" s="73" t="s">
        <v>1979</v>
      </c>
      <c r="F701" s="20">
        <v>7891010020927</v>
      </c>
      <c r="G701">
        <f t="shared" si="37"/>
        <v>34000</v>
      </c>
      <c r="H701">
        <f t="shared" si="38"/>
        <v>1</v>
      </c>
      <c r="I701" t="str">
        <f t="shared" si="36"/>
        <v>KY LUBRICANTE *50GR</v>
      </c>
    </row>
    <row r="702" spans="1:9" ht="15">
      <c r="A702" s="53" t="s">
        <v>1833</v>
      </c>
      <c r="B702" s="153">
        <v>2</v>
      </c>
      <c r="C702" s="55">
        <v>0</v>
      </c>
      <c r="D702" s="375" t="s">
        <v>1834</v>
      </c>
      <c r="E702" s="96" t="s">
        <v>1835</v>
      </c>
      <c r="F702" s="155">
        <v>6971109095010</v>
      </c>
      <c r="G702">
        <f t="shared" si="37"/>
        <v>9000</v>
      </c>
      <c r="H702">
        <f t="shared" si="38"/>
        <v>102</v>
      </c>
      <c r="I702" t="str">
        <f t="shared" si="36"/>
        <v>PAÑITOS DAMPY *102</v>
      </c>
    </row>
    <row r="703" spans="1:9" ht="15">
      <c r="A703" s="53" t="s">
        <v>1833</v>
      </c>
      <c r="B703" s="153">
        <v>4</v>
      </c>
      <c r="C703" s="55">
        <v>0</v>
      </c>
      <c r="D703" s="375" t="s">
        <v>2693</v>
      </c>
      <c r="E703" s="152" t="s">
        <v>2694</v>
      </c>
      <c r="F703" s="155">
        <v>6971109095027</v>
      </c>
      <c r="G703">
        <f t="shared" si="37"/>
        <v>5000</v>
      </c>
      <c r="H703">
        <f t="shared" si="38"/>
        <v>25</v>
      </c>
      <c r="I703" t="str">
        <f t="shared" si="36"/>
        <v>PAÑITOS DAMPY *102</v>
      </c>
    </row>
    <row r="704" spans="1:9">
      <c r="A704" s="69" t="s">
        <v>1176</v>
      </c>
      <c r="B704" s="14">
        <v>1</v>
      </c>
      <c r="C704" s="105">
        <v>0</v>
      </c>
      <c r="D704" s="308" t="s">
        <v>14</v>
      </c>
      <c r="E704" s="13" t="s">
        <v>1177</v>
      </c>
      <c r="F704" s="61">
        <v>7702184030165</v>
      </c>
      <c r="G704">
        <f t="shared" si="37"/>
        <v>17000</v>
      </c>
      <c r="H704">
        <f t="shared" si="38"/>
        <v>1</v>
      </c>
      <c r="I704" t="str">
        <f t="shared" si="36"/>
        <v>VITAMINA B12 *10ML AMPOLLA / X12 AMPOLLAS</v>
      </c>
    </row>
    <row r="705" spans="1:9">
      <c r="A705" s="141" t="s">
        <v>2697</v>
      </c>
      <c r="B705" s="147">
        <v>1</v>
      </c>
      <c r="C705" s="148">
        <v>0</v>
      </c>
      <c r="D705" s="444" t="s">
        <v>697</v>
      </c>
      <c r="E705" s="159" t="s">
        <v>1504</v>
      </c>
      <c r="F705" s="160">
        <v>7703445030047</v>
      </c>
      <c r="G705">
        <f t="shared" si="37"/>
        <v>2500</v>
      </c>
      <c r="H705">
        <f t="shared" si="38"/>
        <v>1</v>
      </c>
      <c r="I705" t="str">
        <f t="shared" si="36"/>
        <v>FLUIMUCIL 200MG / N-ACETILSISTEINA X30 SOBRES</v>
      </c>
    </row>
    <row r="706" spans="1:9">
      <c r="A706" s="39" t="s">
        <v>2698</v>
      </c>
      <c r="B706" s="23">
        <v>9</v>
      </c>
      <c r="C706" s="51">
        <v>0</v>
      </c>
      <c r="D706" s="446" t="s">
        <v>408</v>
      </c>
      <c r="E706" s="39" t="s">
        <v>182</v>
      </c>
      <c r="F706" s="42">
        <v>7702184011560</v>
      </c>
      <c r="G706">
        <f t="shared" si="37"/>
        <v>9000</v>
      </c>
      <c r="H706">
        <f t="shared" si="38"/>
        <v>10</v>
      </c>
      <c r="I706" t="str">
        <f t="shared" si="36"/>
        <v>ATORVASTATINA 40MG- ECAR X10</v>
      </c>
    </row>
    <row r="707" spans="1:9">
      <c r="A707" t="s">
        <v>2365</v>
      </c>
      <c r="B707" s="23">
        <v>1</v>
      </c>
      <c r="C707" s="51">
        <v>0</v>
      </c>
      <c r="D707" s="446" t="s">
        <v>2700</v>
      </c>
      <c r="E707" s="41" t="s">
        <v>2367</v>
      </c>
      <c r="F707" s="42">
        <v>7703763870967</v>
      </c>
      <c r="G707">
        <f t="shared" si="37"/>
        <v>65000</v>
      </c>
      <c r="H707">
        <f t="shared" si="38"/>
        <v>15</v>
      </c>
      <c r="I707" t="str">
        <f t="shared" ref="I707:I770" si="39">TRIM(A707)</f>
        <v>GLUCOSAMINA + CONDROITINA SOBRES LA SANTÉ</v>
      </c>
    </row>
    <row r="708" spans="1:9">
      <c r="A708" s="146" t="s">
        <v>2701</v>
      </c>
      <c r="B708" s="147">
        <v>2</v>
      </c>
      <c r="C708" s="234">
        <v>0.19</v>
      </c>
      <c r="D708" s="485">
        <v>13000</v>
      </c>
      <c r="E708" s="159" t="s">
        <v>2702</v>
      </c>
      <c r="F708" s="160">
        <v>7702626215235</v>
      </c>
      <c r="G708">
        <f t="shared" si="37"/>
        <v>13000</v>
      </c>
      <c r="H708">
        <f t="shared" si="38"/>
        <v>1</v>
      </c>
      <c r="I708" t="str">
        <f t="shared" si="39"/>
        <v>KY LUBRICANTE *15GR</v>
      </c>
    </row>
    <row r="709" spans="1:9">
      <c r="A709" t="s">
        <v>461</v>
      </c>
      <c r="B709" s="23">
        <v>2</v>
      </c>
      <c r="C709" s="51">
        <v>0</v>
      </c>
      <c r="D709" s="446" t="s">
        <v>26</v>
      </c>
      <c r="E709" s="41" t="s">
        <v>462</v>
      </c>
      <c r="F709" s="42">
        <v>7707305850134</v>
      </c>
      <c r="G709">
        <f t="shared" si="37"/>
        <v>30000</v>
      </c>
      <c r="H709">
        <f t="shared" si="38"/>
        <v>1</v>
      </c>
      <c r="I709" t="str">
        <f t="shared" si="39"/>
        <v>LEVOMPEROMAZINA GOTAS ACTIFARMA</v>
      </c>
    </row>
    <row r="710" spans="1:9">
      <c r="A710" s="24" t="s">
        <v>2703</v>
      </c>
      <c r="B710" s="30">
        <v>4</v>
      </c>
      <c r="C710" s="31">
        <v>0</v>
      </c>
      <c r="D710" s="447" t="s">
        <v>32</v>
      </c>
      <c r="E710" s="8" t="s">
        <v>2704</v>
      </c>
      <c r="F710" s="63">
        <v>7707308210010</v>
      </c>
      <c r="G710">
        <f t="shared" si="37"/>
        <v>12000</v>
      </c>
      <c r="H710">
        <f t="shared" si="38"/>
        <v>1</v>
      </c>
      <c r="I710" t="str">
        <f t="shared" si="39"/>
        <v>NEOTRISONA CREMA X20GR</v>
      </c>
    </row>
    <row r="711" spans="1:9">
      <c r="A711" s="141" t="s">
        <v>612</v>
      </c>
      <c r="B711" s="147">
        <v>2</v>
      </c>
      <c r="C711" s="148">
        <v>0</v>
      </c>
      <c r="D711" s="444" t="s">
        <v>14</v>
      </c>
      <c r="E711" s="159" t="s">
        <v>613</v>
      </c>
      <c r="F711" s="160">
        <v>7706309000132</v>
      </c>
      <c r="G711">
        <f t="shared" si="37"/>
        <v>17000</v>
      </c>
      <c r="H711">
        <f t="shared" si="38"/>
        <v>1</v>
      </c>
      <c r="I711" t="str">
        <f t="shared" si="39"/>
        <v>OFTALMOTRISOL GOTAS</v>
      </c>
    </row>
    <row r="712" spans="1:9">
      <c r="A712" t="s">
        <v>2707</v>
      </c>
      <c r="B712" s="23">
        <v>5</v>
      </c>
      <c r="C712" s="51">
        <v>0.19</v>
      </c>
      <c r="D712" s="446" t="s">
        <v>697</v>
      </c>
      <c r="E712" s="41" t="s">
        <v>2708</v>
      </c>
      <c r="F712" s="42">
        <v>7707271201855</v>
      </c>
      <c r="G712">
        <f t="shared" si="37"/>
        <v>2500</v>
      </c>
      <c r="H712">
        <f t="shared" si="38"/>
        <v>1</v>
      </c>
      <c r="I712" t="str">
        <f t="shared" si="39"/>
        <v>GLICERINA USP YOMA X20CC</v>
      </c>
    </row>
    <row r="713" spans="1:9" ht="15">
      <c r="A713" s="19" t="s">
        <v>1778</v>
      </c>
      <c r="B713" s="153">
        <v>1</v>
      </c>
      <c r="C713" s="55">
        <v>0</v>
      </c>
      <c r="D713" s="375" t="s">
        <v>1779</v>
      </c>
      <c r="E713" s="117" t="s">
        <v>294</v>
      </c>
      <c r="F713" s="115">
        <v>7702896001477</v>
      </c>
      <c r="G713">
        <f t="shared" si="37"/>
        <v>21000</v>
      </c>
      <c r="H713">
        <f t="shared" si="38"/>
        <v>10</v>
      </c>
      <c r="I713" t="str">
        <f t="shared" si="39"/>
        <v>RELAXKOV 4MG - TIZANIDINA 4MG X20</v>
      </c>
    </row>
    <row r="714" spans="1:9">
      <c r="A714" t="s">
        <v>2044</v>
      </c>
      <c r="B714" s="23">
        <v>1</v>
      </c>
      <c r="C714" s="51">
        <v>0</v>
      </c>
      <c r="D714" s="446" t="s">
        <v>750</v>
      </c>
      <c r="E714" s="41" t="s">
        <v>2046</v>
      </c>
      <c r="F714" s="42">
        <v>650240057441</v>
      </c>
      <c r="G714">
        <f t="shared" si="37"/>
        <v>34000</v>
      </c>
      <c r="H714">
        <f t="shared" si="38"/>
        <v>1</v>
      </c>
      <c r="I714" t="str">
        <f t="shared" si="39"/>
        <v>X RAY GEL</v>
      </c>
    </row>
    <row r="715" spans="1:9">
      <c r="A715" s="8" t="s">
        <v>2146</v>
      </c>
      <c r="B715" s="30">
        <v>3</v>
      </c>
      <c r="C715" s="31">
        <v>0.19</v>
      </c>
      <c r="D715" s="447" t="s">
        <v>80</v>
      </c>
      <c r="E715" s="8" t="s">
        <v>2147</v>
      </c>
      <c r="F715" s="63">
        <v>7702006206815</v>
      </c>
      <c r="G715">
        <f t="shared" si="37"/>
        <v>6000</v>
      </c>
      <c r="H715">
        <f t="shared" si="38"/>
        <v>1</v>
      </c>
      <c r="I715" t="str">
        <f t="shared" si="39"/>
        <v>DESODORANTE REXONA CLINICAL *30GR ROSADO CLASSIC MUJER</v>
      </c>
    </row>
    <row r="716" spans="1:9">
      <c r="A716" t="s">
        <v>2710</v>
      </c>
      <c r="B716" s="23">
        <v>1</v>
      </c>
      <c r="C716" s="51">
        <v>0</v>
      </c>
      <c r="D716" s="446" t="s">
        <v>491</v>
      </c>
      <c r="E716" s="39" t="s">
        <v>2711</v>
      </c>
      <c r="F716" s="42">
        <v>7709990439236</v>
      </c>
      <c r="G716">
        <f t="shared" si="37"/>
        <v>24000</v>
      </c>
      <c r="H716">
        <f t="shared" si="38"/>
        <v>1</v>
      </c>
      <c r="I716" t="str">
        <f t="shared" si="39"/>
        <v>VITATRIOL UNGUENTO X3,5GR</v>
      </c>
    </row>
    <row r="717" spans="1:9">
      <c r="A717" s="24" t="s">
        <v>185</v>
      </c>
      <c r="B717" s="30">
        <v>24</v>
      </c>
      <c r="C717" s="105">
        <v>0</v>
      </c>
      <c r="D717" s="308" t="s">
        <v>23</v>
      </c>
      <c r="E717" s="8" t="s">
        <v>186</v>
      </c>
      <c r="F717" s="63">
        <v>7709946708393</v>
      </c>
      <c r="G717">
        <f t="shared" si="37"/>
        <v>15000</v>
      </c>
      <c r="H717">
        <f t="shared" si="38"/>
        <v>1</v>
      </c>
      <c r="I717" t="str">
        <f t="shared" si="39"/>
        <v>DOLINSTAN JARABE *120ML - IBUPROFENO 100MG/ 5ML</v>
      </c>
    </row>
    <row r="718" spans="1:9">
      <c r="A718" t="s">
        <v>2714</v>
      </c>
      <c r="B718" s="23">
        <v>10</v>
      </c>
      <c r="C718" s="51">
        <v>0</v>
      </c>
      <c r="D718" s="446" t="s">
        <v>384</v>
      </c>
      <c r="E718" s="39" t="s">
        <v>2715</v>
      </c>
      <c r="F718" s="42">
        <v>7707271202135</v>
      </c>
      <c r="G718">
        <f t="shared" si="37"/>
        <v>1000</v>
      </c>
      <c r="H718">
        <f t="shared" si="38"/>
        <v>1</v>
      </c>
      <c r="I718" t="str">
        <f t="shared" si="39"/>
        <v>PIEDRA ALUMBRE YOMA X20GR</v>
      </c>
    </row>
    <row r="719" spans="1:9">
      <c r="A719" s="64" t="s">
        <v>2716</v>
      </c>
      <c r="B719" s="102" t="s">
        <v>2717</v>
      </c>
      <c r="C719" s="31">
        <v>0</v>
      </c>
      <c r="D719" s="447" t="s">
        <v>88</v>
      </c>
      <c r="E719" s="64" t="s">
        <v>198</v>
      </c>
      <c r="F719" s="103">
        <v>7707226436356</v>
      </c>
      <c r="G719">
        <f t="shared" si="37"/>
        <v>18000</v>
      </c>
      <c r="H719">
        <f t="shared" si="38"/>
        <v>1</v>
      </c>
      <c r="I719" t="str">
        <f t="shared" si="39"/>
        <v>PROPOTUSSIN ADULTOS</v>
      </c>
    </row>
    <row r="720" spans="1:9">
      <c r="A720" s="24" t="s">
        <v>893</v>
      </c>
      <c r="B720" s="30">
        <v>2</v>
      </c>
      <c r="C720" s="30">
        <v>0</v>
      </c>
      <c r="D720" s="447" t="s">
        <v>488</v>
      </c>
      <c r="E720" s="8" t="s">
        <v>894</v>
      </c>
      <c r="F720" s="63">
        <v>7703546703086</v>
      </c>
      <c r="G720">
        <f t="shared" si="37"/>
        <v>3000</v>
      </c>
      <c r="H720">
        <f t="shared" si="38"/>
        <v>1</v>
      </c>
      <c r="I720" t="str">
        <f t="shared" si="39"/>
        <v>SUPERFLUX FORTE SACHET X12</v>
      </c>
    </row>
    <row r="721" spans="1:9">
      <c r="A721" t="s">
        <v>2718</v>
      </c>
      <c r="B721" s="23">
        <v>4</v>
      </c>
      <c r="C721" s="107">
        <v>0</v>
      </c>
      <c r="D721" s="482" t="s">
        <v>386</v>
      </c>
      <c r="E721" s="39" t="s">
        <v>658</v>
      </c>
      <c r="F721" s="42">
        <v>7703006625323</v>
      </c>
      <c r="G721">
        <f t="shared" si="37"/>
        <v>8000</v>
      </c>
      <c r="H721">
        <f t="shared" si="38"/>
        <v>1</v>
      </c>
      <c r="I721" t="str">
        <f t="shared" si="39"/>
        <v>ACIDO RETINOICO LOCIÓN / 0,05% - LABORATORIO AMERICA</v>
      </c>
    </row>
    <row r="722" spans="1:9">
      <c r="A722" s="69" t="s">
        <v>1766</v>
      </c>
      <c r="B722" s="14">
        <v>4</v>
      </c>
      <c r="C722" s="105">
        <v>0.05</v>
      </c>
      <c r="D722" s="308" t="s">
        <v>2719</v>
      </c>
      <c r="E722" s="13" t="s">
        <v>1768</v>
      </c>
      <c r="F722" s="211">
        <v>7703006009338</v>
      </c>
      <c r="G722">
        <f t="shared" si="37"/>
        <v>10000</v>
      </c>
      <c r="H722">
        <f t="shared" si="38"/>
        <v>150</v>
      </c>
      <c r="I722" t="str">
        <f t="shared" si="39"/>
        <v>STEVIA BIOLADIET *150 TABS</v>
      </c>
    </row>
    <row r="723" spans="1:9">
      <c r="A723" s="22" t="s">
        <v>2721</v>
      </c>
      <c r="B723" s="11">
        <v>1</v>
      </c>
      <c r="C723" s="194">
        <v>0</v>
      </c>
      <c r="D723" s="483" t="s">
        <v>23</v>
      </c>
      <c r="E723" s="41" t="s">
        <v>2689</v>
      </c>
      <c r="F723" s="273">
        <v>7702184130148</v>
      </c>
      <c r="G723">
        <f t="shared" si="37"/>
        <v>15000</v>
      </c>
      <c r="H723">
        <f t="shared" si="38"/>
        <v>1</v>
      </c>
      <c r="I723" t="str">
        <f t="shared" si="39"/>
        <v>TIAMINA AMP- ECAR x10ml x1 undv</v>
      </c>
    </row>
    <row r="724" spans="1:9" ht="15">
      <c r="A724" s="117" t="s">
        <v>1974</v>
      </c>
      <c r="B724" s="37">
        <v>1</v>
      </c>
      <c r="C724" s="37">
        <v>0</v>
      </c>
      <c r="D724" s="376" t="s">
        <v>181</v>
      </c>
      <c r="E724" s="112" t="s">
        <v>1975</v>
      </c>
      <c r="F724" s="115">
        <v>8903726256619</v>
      </c>
      <c r="G724">
        <f t="shared" si="37"/>
        <v>24000</v>
      </c>
      <c r="H724">
        <f t="shared" si="38"/>
        <v>10</v>
      </c>
      <c r="I724" t="str">
        <f t="shared" si="39"/>
        <v>DULOXETINA 60MG- DUXETERO X30</v>
      </c>
    </row>
    <row r="725" spans="1:9" ht="15">
      <c r="A725" s="73" t="s">
        <v>420</v>
      </c>
      <c r="B725" s="17">
        <v>1</v>
      </c>
      <c r="C725" s="124">
        <v>0</v>
      </c>
      <c r="D725" s="321" t="s">
        <v>421</v>
      </c>
      <c r="E725" s="73" t="s">
        <v>422</v>
      </c>
      <c r="F725" s="20">
        <v>7703153040628</v>
      </c>
      <c r="G725">
        <f t="shared" si="37"/>
        <v>7500</v>
      </c>
      <c r="H725">
        <f t="shared" si="38"/>
        <v>15</v>
      </c>
      <c r="I725" t="str">
        <f t="shared" si="39"/>
        <v>LEVOTIROXINA 100MG - COLMED</v>
      </c>
    </row>
    <row r="726" spans="1:9" ht="15">
      <c r="A726" s="73" t="s">
        <v>1977</v>
      </c>
      <c r="B726" s="17">
        <v>1</v>
      </c>
      <c r="C726" s="124">
        <v>0.19</v>
      </c>
      <c r="D726" s="321" t="s">
        <v>1978</v>
      </c>
      <c r="E726" s="73" t="s">
        <v>1979</v>
      </c>
      <c r="F726" s="20">
        <v>7891010005047</v>
      </c>
      <c r="G726">
        <f t="shared" si="37"/>
        <v>58500</v>
      </c>
      <c r="H726">
        <f t="shared" si="38"/>
        <v>1</v>
      </c>
      <c r="I726" t="str">
        <f t="shared" si="39"/>
        <v>KY LUBRICANTE X100GR</v>
      </c>
    </row>
    <row r="727" spans="1:9" ht="15">
      <c r="A727" s="76" t="s">
        <v>1980</v>
      </c>
      <c r="B727" s="36">
        <v>5</v>
      </c>
      <c r="C727" s="164">
        <v>0</v>
      </c>
      <c r="D727" s="378" t="s">
        <v>684</v>
      </c>
      <c r="E727" s="74" t="s">
        <v>1981</v>
      </c>
      <c r="F727" s="46">
        <v>7702605102617</v>
      </c>
      <c r="G727">
        <f t="shared" si="37"/>
        <v>7000</v>
      </c>
      <c r="H727">
        <f t="shared" si="38"/>
        <v>4</v>
      </c>
      <c r="I727" t="str">
        <f t="shared" si="39"/>
        <v>TINIDAZOL 1GR- GENFAR *4 TABS</v>
      </c>
    </row>
    <row r="728" spans="1:9" ht="15">
      <c r="A728" s="76" t="s">
        <v>1636</v>
      </c>
      <c r="B728" s="36">
        <v>3</v>
      </c>
      <c r="C728" s="164">
        <v>0</v>
      </c>
      <c r="D728" s="378" t="s">
        <v>1637</v>
      </c>
      <c r="E728" s="76" t="s">
        <v>428</v>
      </c>
      <c r="F728" s="77">
        <v>7703712035355</v>
      </c>
      <c r="G728">
        <f t="shared" si="37"/>
        <v>2000</v>
      </c>
      <c r="H728">
        <f t="shared" si="38"/>
        <v>15</v>
      </c>
      <c r="I728" t="str">
        <f t="shared" si="39"/>
        <v>PREDNISOLONA COASPHARMA- 5MG *300TAB</v>
      </c>
    </row>
    <row r="729" spans="1:9" ht="15">
      <c r="A729" s="112" t="s">
        <v>1528</v>
      </c>
      <c r="B729" s="162">
        <v>2</v>
      </c>
      <c r="C729" s="324">
        <v>0</v>
      </c>
      <c r="D729" s="406" t="s">
        <v>1985</v>
      </c>
      <c r="E729" s="112" t="s">
        <v>228</v>
      </c>
      <c r="F729" s="472">
        <v>8903726232798</v>
      </c>
      <c r="G729">
        <f t="shared" si="37"/>
        <v>33000</v>
      </c>
      <c r="H729">
        <f t="shared" si="38"/>
        <v>10</v>
      </c>
      <c r="I729" t="str">
        <f t="shared" si="39"/>
        <v>ETORICOXIB 90MG - TORROX 90MG</v>
      </c>
    </row>
    <row r="730" spans="1:9" ht="15">
      <c r="A730" s="74" t="s">
        <v>1986</v>
      </c>
      <c r="B730" s="36">
        <v>2</v>
      </c>
      <c r="C730" s="164">
        <v>0</v>
      </c>
      <c r="D730" s="378" t="s">
        <v>14</v>
      </c>
      <c r="E730" s="74" t="s">
        <v>1987</v>
      </c>
      <c r="F730" s="46">
        <v>7709990383669</v>
      </c>
      <c r="G730">
        <f t="shared" si="37"/>
        <v>17000</v>
      </c>
      <c r="H730">
        <f t="shared" si="38"/>
        <v>1</v>
      </c>
      <c r="I730" t="str">
        <f t="shared" si="39"/>
        <v>TRIMICORT CREMA - CLOBETASOL CREMA</v>
      </c>
    </row>
    <row r="731" spans="1:9" ht="15">
      <c r="A731" s="96" t="s">
        <v>1990</v>
      </c>
      <c r="B731" s="153">
        <v>5</v>
      </c>
      <c r="C731" s="55">
        <v>0</v>
      </c>
      <c r="D731" s="375" t="s">
        <v>118</v>
      </c>
      <c r="E731" s="152" t="s">
        <v>184</v>
      </c>
      <c r="F731" s="155">
        <v>7707357200024</v>
      </c>
      <c r="G731">
        <f t="shared" si="37"/>
        <v>13000</v>
      </c>
      <c r="H731">
        <f t="shared" si="38"/>
        <v>1</v>
      </c>
      <c r="I731" t="str">
        <f t="shared" si="39"/>
        <v>LIMPIADERM CREMA X20GR</v>
      </c>
    </row>
    <row r="732" spans="1:9" ht="15">
      <c r="A732" s="73" t="s">
        <v>55</v>
      </c>
      <c r="B732" s="17">
        <v>1</v>
      </c>
      <c r="C732" s="124">
        <v>0</v>
      </c>
      <c r="D732" s="321" t="s">
        <v>56</v>
      </c>
      <c r="E732" s="32" t="s">
        <v>57</v>
      </c>
      <c r="F732" s="20">
        <v>7709990697889</v>
      </c>
      <c r="G732">
        <f t="shared" si="37"/>
        <v>28000</v>
      </c>
      <c r="H732">
        <f t="shared" si="38"/>
        <v>1</v>
      </c>
      <c r="I732" t="str">
        <f t="shared" si="39"/>
        <v>TERRAVITAL UNGUENTO - OXITETRACICLINA + POLIMIXINA</v>
      </c>
    </row>
    <row r="733" spans="1:9" ht="15">
      <c r="A733" s="195" t="s">
        <v>1993</v>
      </c>
      <c r="B733" s="197">
        <v>1</v>
      </c>
      <c r="C733" s="514">
        <v>0</v>
      </c>
      <c r="D733" s="382" t="s">
        <v>585</v>
      </c>
      <c r="E733" s="195" t="s">
        <v>422</v>
      </c>
      <c r="F733" s="420">
        <v>7702184011225</v>
      </c>
      <c r="G733">
        <f t="shared" si="37"/>
        <v>6000</v>
      </c>
      <c r="H733">
        <f t="shared" si="38"/>
        <v>10</v>
      </c>
      <c r="I733" t="str">
        <f t="shared" si="39"/>
        <v>PIRIDOXINA 50MG- ECAR</v>
      </c>
    </row>
    <row r="734" spans="1:9" ht="15">
      <c r="A734" s="76" t="s">
        <v>1386</v>
      </c>
      <c r="B734" s="36">
        <v>1</v>
      </c>
      <c r="C734" s="164">
        <v>0</v>
      </c>
      <c r="D734" s="378" t="s">
        <v>214</v>
      </c>
      <c r="E734" s="76" t="s">
        <v>1387</v>
      </c>
      <c r="F734" s="46">
        <v>650240053160</v>
      </c>
      <c r="G734">
        <f t="shared" si="37"/>
        <v>2000</v>
      </c>
      <c r="H734">
        <f t="shared" si="38"/>
        <v>1</v>
      </c>
      <c r="I734" t="str">
        <f t="shared" si="39"/>
        <v>NEXT GL X48 - IBUPROFENO + FENILEFRINA + CETIRIZINA</v>
      </c>
    </row>
    <row r="735" spans="1:9" ht="15">
      <c r="A735" s="74" t="s">
        <v>1995</v>
      </c>
      <c r="B735" s="36">
        <v>1</v>
      </c>
      <c r="C735" s="164">
        <v>0</v>
      </c>
      <c r="D735" s="378" t="s">
        <v>808</v>
      </c>
      <c r="E735" s="76" t="s">
        <v>1996</v>
      </c>
      <c r="F735" s="46">
        <v>8436024611502</v>
      </c>
      <c r="G735">
        <f t="shared" ref="G735:G798" si="40">IFERROR(VALUE(SUBSTITUTE(LEFT(LOWER(D735),FIND("x",LOWER(D735))-1),",","")),VALUE(SUBSTITUTE(D735,",","")))</f>
        <v>13000</v>
      </c>
      <c r="H735">
        <f t="shared" ref="H735:H798" si="41">IFERROR(VALUE(MID(LOWER(D735),FIND("x",LOWER(D735))+1,20)),1)</f>
        <v>10</v>
      </c>
      <c r="I735" t="str">
        <f t="shared" si="39"/>
        <v>BILAXTEN 20MG *30 TAB</v>
      </c>
    </row>
    <row r="736" spans="1:9" ht="15">
      <c r="A736" s="74" t="s">
        <v>217</v>
      </c>
      <c r="B736" s="36">
        <v>8</v>
      </c>
      <c r="C736" s="164">
        <v>0</v>
      </c>
      <c r="D736" s="378" t="s">
        <v>386</v>
      </c>
      <c r="E736" s="74" t="s">
        <v>218</v>
      </c>
      <c r="F736" s="46">
        <v>7707019379464</v>
      </c>
      <c r="G736">
        <f t="shared" si="40"/>
        <v>8000</v>
      </c>
      <c r="H736">
        <f t="shared" si="41"/>
        <v>1</v>
      </c>
      <c r="I736" t="str">
        <f t="shared" si="39"/>
        <v>ACTIVIRAL UNGUENTO</v>
      </c>
    </row>
    <row r="737" spans="1:9" ht="15">
      <c r="A737" s="73" t="s">
        <v>1412</v>
      </c>
      <c r="B737" s="17">
        <v>2</v>
      </c>
      <c r="C737" s="124">
        <v>0.19</v>
      </c>
      <c r="D737" s="321" t="s">
        <v>318</v>
      </c>
      <c r="E737" s="73" t="s">
        <v>1609</v>
      </c>
      <c r="F737" s="110">
        <v>7709880588440</v>
      </c>
      <c r="G737">
        <f t="shared" si="40"/>
        <v>8500</v>
      </c>
      <c r="H737">
        <f t="shared" si="41"/>
        <v>1</v>
      </c>
      <c r="I737" t="str">
        <f t="shared" si="39"/>
        <v>ALMIPRO BARRA - SYNDET ALOE VERA Y AVENA</v>
      </c>
    </row>
    <row r="738" spans="1:9" ht="15">
      <c r="A738" s="117" t="s">
        <v>1090</v>
      </c>
      <c r="B738" s="37">
        <v>5</v>
      </c>
      <c r="C738" s="429">
        <v>0</v>
      </c>
      <c r="D738" s="376" t="s">
        <v>118</v>
      </c>
      <c r="E738" s="112" t="s">
        <v>24</v>
      </c>
      <c r="F738" s="115">
        <v>7707035540596</v>
      </c>
      <c r="G738">
        <f t="shared" si="40"/>
        <v>13000</v>
      </c>
      <c r="H738">
        <f t="shared" si="41"/>
        <v>1</v>
      </c>
      <c r="I738" t="str">
        <f t="shared" si="39"/>
        <v>HIDROXICINA JARABE ANGLOFARMA</v>
      </c>
    </row>
    <row r="739" spans="1:9" ht="15">
      <c r="A739" s="380" t="s">
        <v>2002</v>
      </c>
      <c r="B739" s="409">
        <v>2</v>
      </c>
      <c r="C739" s="515">
        <v>0</v>
      </c>
      <c r="D739" s="486" t="s">
        <v>331</v>
      </c>
      <c r="E739" s="92" t="s">
        <v>1853</v>
      </c>
      <c r="F739" s="490">
        <v>7707141349281</v>
      </c>
      <c r="G739">
        <f t="shared" si="40"/>
        <v>4000</v>
      </c>
      <c r="H739">
        <f t="shared" si="41"/>
        <v>1</v>
      </c>
      <c r="I739" t="str">
        <f t="shared" si="39"/>
        <v>BAXTER 0,9% / SOLUCION SALINA - CLORURO DE SODIO X100ML AL 0,9%</v>
      </c>
    </row>
    <row r="740" spans="1:9" ht="15">
      <c r="A740" s="380" t="s">
        <v>1852</v>
      </c>
      <c r="B740" s="409">
        <v>4</v>
      </c>
      <c r="C740" s="515">
        <v>0</v>
      </c>
      <c r="D740" s="486" t="s">
        <v>331</v>
      </c>
      <c r="E740" s="92" t="s">
        <v>1853</v>
      </c>
      <c r="F740" s="490">
        <v>7707141349298</v>
      </c>
      <c r="G740">
        <f t="shared" si="40"/>
        <v>4000</v>
      </c>
      <c r="H740">
        <f t="shared" si="41"/>
        <v>1</v>
      </c>
      <c r="I740" t="str">
        <f t="shared" si="39"/>
        <v>BAXTER 0,9% / SOLUCION SALINA - CLORURO DE SODIO X250ML AL 0,9%</v>
      </c>
    </row>
    <row r="741" spans="1:9" ht="15">
      <c r="A741" s="152" t="s">
        <v>1439</v>
      </c>
      <c r="B741" s="153">
        <v>6</v>
      </c>
      <c r="C741" s="124">
        <v>0</v>
      </c>
      <c r="D741" s="321" t="s">
        <v>10</v>
      </c>
      <c r="E741" s="152" t="s">
        <v>670</v>
      </c>
      <c r="F741" s="155">
        <v>7703546034029</v>
      </c>
      <c r="G741">
        <f t="shared" si="40"/>
        <v>8000</v>
      </c>
      <c r="H741">
        <f t="shared" si="41"/>
        <v>1</v>
      </c>
      <c r="I741" t="str">
        <f t="shared" si="39"/>
        <v>LIBELLE</v>
      </c>
    </row>
    <row r="742" spans="1:9" ht="15">
      <c r="A742" s="117" t="s">
        <v>1202</v>
      </c>
      <c r="B742" s="37">
        <v>3</v>
      </c>
      <c r="C742" s="429">
        <v>0</v>
      </c>
      <c r="D742" s="376" t="s">
        <v>91</v>
      </c>
      <c r="E742" s="112" t="s">
        <v>1203</v>
      </c>
      <c r="F742" s="115">
        <v>7709587585025</v>
      </c>
      <c r="G742">
        <f t="shared" si="40"/>
        <v>16000</v>
      </c>
      <c r="H742">
        <f t="shared" si="41"/>
        <v>1</v>
      </c>
      <c r="I742" t="str">
        <f t="shared" si="39"/>
        <v>AZITROMICINA SUSP / BAKZIA</v>
      </c>
    </row>
    <row r="743" spans="1:9" ht="15">
      <c r="A743" s="195" t="s">
        <v>2004</v>
      </c>
      <c r="B743" s="197">
        <v>2</v>
      </c>
      <c r="C743" s="514">
        <v>0</v>
      </c>
      <c r="D743" s="382" t="s">
        <v>509</v>
      </c>
      <c r="E743" s="195" t="s">
        <v>2005</v>
      </c>
      <c r="F743" s="420">
        <v>7702605101948</v>
      </c>
      <c r="G743">
        <f t="shared" si="40"/>
        <v>12000</v>
      </c>
      <c r="H743">
        <f t="shared" si="41"/>
        <v>10</v>
      </c>
      <c r="I743" t="str">
        <f t="shared" si="39"/>
        <v>NAPROXENO 500MG - GENFAR</v>
      </c>
    </row>
    <row r="744" spans="1:9" ht="15">
      <c r="A744" s="76" t="s">
        <v>2009</v>
      </c>
      <c r="B744" s="36">
        <v>1</v>
      </c>
      <c r="C744" s="164">
        <v>0.19</v>
      </c>
      <c r="D744" s="378" t="s">
        <v>808</v>
      </c>
      <c r="E744" s="74" t="s">
        <v>1283</v>
      </c>
      <c r="F744" s="46">
        <v>7702277937494</v>
      </c>
      <c r="G744">
        <f t="shared" si="40"/>
        <v>13000</v>
      </c>
      <c r="H744">
        <f t="shared" si="41"/>
        <v>10</v>
      </c>
      <c r="I744" t="str">
        <f t="shared" si="39"/>
        <v>INTIBON JABON HIPOALERGENICO X120 GR 0%</v>
      </c>
    </row>
    <row r="745" spans="1:9" ht="15">
      <c r="A745" s="76" t="s">
        <v>2010</v>
      </c>
      <c r="B745" s="36">
        <v>1</v>
      </c>
      <c r="C745" s="164">
        <v>0.19</v>
      </c>
      <c r="D745" s="378" t="s">
        <v>676</v>
      </c>
      <c r="E745" s="74" t="s">
        <v>1280</v>
      </c>
      <c r="F745" s="46">
        <v>7702277628200</v>
      </c>
      <c r="G745">
        <f t="shared" si="40"/>
        <v>21000</v>
      </c>
      <c r="H745">
        <f t="shared" si="41"/>
        <v>1</v>
      </c>
      <c r="I745" t="str">
        <f t="shared" si="39"/>
        <v>INTIBON JABON SALVIA Y CALÉNDULA X210 GR</v>
      </c>
    </row>
    <row r="746" spans="1:9" ht="15">
      <c r="A746" s="117" t="s">
        <v>624</v>
      </c>
      <c r="B746" s="37">
        <v>1</v>
      </c>
      <c r="C746" s="429">
        <v>0.19</v>
      </c>
      <c r="D746" s="376" t="s">
        <v>625</v>
      </c>
      <c r="E746" s="112" t="s">
        <v>626</v>
      </c>
      <c r="F746" s="115">
        <v>8411135009639</v>
      </c>
      <c r="G746">
        <f t="shared" si="40"/>
        <v>25000</v>
      </c>
      <c r="H746">
        <f t="shared" si="41"/>
        <v>1</v>
      </c>
      <c r="I746" t="str">
        <f t="shared" si="39"/>
        <v>LACTOVIT LECHE CORPORAL X250ML</v>
      </c>
    </row>
    <row r="747" spans="1:9" ht="15">
      <c r="A747" s="117" t="s">
        <v>627</v>
      </c>
      <c r="B747" s="37">
        <v>1</v>
      </c>
      <c r="C747" s="429">
        <v>0.19</v>
      </c>
      <c r="D747" s="376" t="s">
        <v>26</v>
      </c>
      <c r="E747" s="112" t="s">
        <v>628</v>
      </c>
      <c r="F747" s="115">
        <v>8411135009677</v>
      </c>
      <c r="G747">
        <f t="shared" si="40"/>
        <v>30000</v>
      </c>
      <c r="H747">
        <f t="shared" si="41"/>
        <v>1</v>
      </c>
      <c r="I747" t="str">
        <f t="shared" si="39"/>
        <v>LACTOVIT LECHE CORPORAL X400ML</v>
      </c>
    </row>
    <row r="748" spans="1:9" ht="15">
      <c r="A748" s="117" t="s">
        <v>1505</v>
      </c>
      <c r="B748" s="37">
        <v>5</v>
      </c>
      <c r="C748" s="423">
        <v>0</v>
      </c>
      <c r="D748" s="376" t="s">
        <v>118</v>
      </c>
      <c r="E748" s="117" t="s">
        <v>1506</v>
      </c>
      <c r="F748" s="115">
        <v>5997001368466</v>
      </c>
      <c r="G748">
        <f t="shared" si="40"/>
        <v>13000</v>
      </c>
      <c r="H748">
        <f t="shared" si="41"/>
        <v>1</v>
      </c>
      <c r="I748" t="str">
        <f t="shared" si="39"/>
        <v>POSTINOR 1 TABLETA</v>
      </c>
    </row>
    <row r="749" spans="1:9" ht="15">
      <c r="A749" s="117" t="s">
        <v>2011</v>
      </c>
      <c r="B749" s="37">
        <v>4</v>
      </c>
      <c r="C749" s="429">
        <v>0</v>
      </c>
      <c r="D749" s="376" t="s">
        <v>71</v>
      </c>
      <c r="E749" s="117" t="s">
        <v>2012</v>
      </c>
      <c r="F749" s="115">
        <v>7702027444685</v>
      </c>
      <c r="G749">
        <f t="shared" si="40"/>
        <v>3000</v>
      </c>
      <c r="H749">
        <f t="shared" si="41"/>
        <v>15</v>
      </c>
      <c r="I749" t="str">
        <f t="shared" si="39"/>
        <v>PROTECTORES X15 PROTECTORES MULTIESTILO</v>
      </c>
    </row>
    <row r="750" spans="1:9" ht="15">
      <c r="A750" s="73" t="s">
        <v>70</v>
      </c>
      <c r="B750" s="17">
        <v>4</v>
      </c>
      <c r="C750" s="17">
        <v>0</v>
      </c>
      <c r="D750" s="321" t="s">
        <v>71</v>
      </c>
      <c r="E750" s="73" t="s">
        <v>72</v>
      </c>
      <c r="F750" s="20">
        <v>7702027434020</v>
      </c>
      <c r="G750">
        <f t="shared" si="40"/>
        <v>3000</v>
      </c>
      <c r="H750">
        <f t="shared" si="41"/>
        <v>15</v>
      </c>
      <c r="I750" t="str">
        <f t="shared" si="39"/>
        <v>PROTECTORES NOSOTRAS DIARIOS *15 UNIDADES</v>
      </c>
    </row>
    <row r="751" spans="1:9" ht="15">
      <c r="A751" s="112" t="s">
        <v>2013</v>
      </c>
      <c r="B751" s="37">
        <v>4</v>
      </c>
      <c r="C751" s="429">
        <v>0</v>
      </c>
      <c r="D751" s="376" t="s">
        <v>2014</v>
      </c>
      <c r="E751" s="117" t="s">
        <v>2015</v>
      </c>
      <c r="F751" s="115">
        <v>7702027440922</v>
      </c>
      <c r="G751">
        <f t="shared" si="40"/>
        <v>4500</v>
      </c>
      <c r="H751">
        <f t="shared" si="41"/>
        <v>15</v>
      </c>
      <c r="I751" t="str">
        <f t="shared" si="39"/>
        <v>PROTECTORES DAIRIOS LARGOS MAYOR PROTECCIÓN NOSOTRAS X15 UNIDADES</v>
      </c>
    </row>
    <row r="752" spans="1:9" ht="15">
      <c r="A752" s="73" t="s">
        <v>2016</v>
      </c>
      <c r="B752" s="17">
        <v>2</v>
      </c>
      <c r="C752" s="17">
        <v>0</v>
      </c>
      <c r="D752" s="321" t="s">
        <v>2017</v>
      </c>
      <c r="E752" s="73" t="s">
        <v>72</v>
      </c>
      <c r="F752" s="20">
        <v>7702027044502</v>
      </c>
      <c r="G752">
        <f t="shared" si="40"/>
        <v>8500</v>
      </c>
      <c r="H752">
        <f t="shared" si="41"/>
        <v>60</v>
      </c>
      <c r="I752" t="str">
        <f t="shared" si="39"/>
        <v>PROTECTORES NOSOTRAS DIARIOS X60 UNIDADES</v>
      </c>
    </row>
    <row r="753" spans="1:9" ht="15">
      <c r="A753" s="117" t="s">
        <v>2018</v>
      </c>
      <c r="B753" s="37">
        <v>3</v>
      </c>
      <c r="C753" s="164">
        <v>0.19</v>
      </c>
      <c r="D753" s="378" t="s">
        <v>2019</v>
      </c>
      <c r="E753" s="117" t="s">
        <v>2020</v>
      </c>
      <c r="F753" s="115">
        <v>7702026313814</v>
      </c>
      <c r="G753">
        <f t="shared" si="40"/>
        <v>15000</v>
      </c>
      <c r="H753">
        <f t="shared" si="41"/>
        <v>100</v>
      </c>
      <c r="I753" t="str">
        <f t="shared" si="39"/>
        <v>PAÑITOS HUMEDOS PEQUEÑIN CON ALOE VERA X100</v>
      </c>
    </row>
    <row r="754" spans="1:9" ht="15">
      <c r="A754" s="73" t="s">
        <v>973</v>
      </c>
      <c r="B754" s="17">
        <v>6</v>
      </c>
      <c r="C754" s="124">
        <v>0</v>
      </c>
      <c r="D754" s="321" t="s">
        <v>80</v>
      </c>
      <c r="E754" s="73" t="s">
        <v>975</v>
      </c>
      <c r="F754" s="20">
        <v>7501125132070</v>
      </c>
      <c r="G754">
        <f t="shared" si="40"/>
        <v>6000</v>
      </c>
      <c r="H754">
        <f t="shared" si="41"/>
        <v>1</v>
      </c>
      <c r="I754" t="str">
        <f t="shared" si="39"/>
        <v>LACTATO RINGER HARTAM - PiSA</v>
      </c>
    </row>
    <row r="755" spans="1:9" ht="15">
      <c r="A755" s="383" t="s">
        <v>125</v>
      </c>
      <c r="B755" s="505">
        <v>6</v>
      </c>
      <c r="C755" s="516">
        <v>0</v>
      </c>
      <c r="D755" s="475" t="s">
        <v>126</v>
      </c>
      <c r="E755" s="383" t="s">
        <v>127</v>
      </c>
      <c r="F755" s="501">
        <v>7702870071526</v>
      </c>
      <c r="G755">
        <f t="shared" si="40"/>
        <v>13000</v>
      </c>
      <c r="H755">
        <f t="shared" si="41"/>
        <v>28</v>
      </c>
      <c r="I755" t="str">
        <f t="shared" si="39"/>
        <v>FACETIX SUAVE</v>
      </c>
    </row>
    <row r="756" spans="1:9" ht="15">
      <c r="A756" s="384" t="s">
        <v>529</v>
      </c>
      <c r="B756" s="505">
        <v>8</v>
      </c>
      <c r="C756" s="505">
        <v>0</v>
      </c>
      <c r="D756" s="475" t="s">
        <v>530</v>
      </c>
      <c r="E756" s="383" t="s">
        <v>513</v>
      </c>
      <c r="F756" s="501">
        <v>7703040000000</v>
      </c>
      <c r="G756">
        <f t="shared" si="40"/>
        <v>6000</v>
      </c>
      <c r="H756">
        <f t="shared" si="41"/>
        <v>1</v>
      </c>
      <c r="I756" t="str">
        <f t="shared" si="39"/>
        <v>CLOTRIMAZOL 1% - TÓPICA X40GR</v>
      </c>
    </row>
    <row r="757" spans="1:9" ht="15">
      <c r="A757" s="384" t="s">
        <v>2021</v>
      </c>
      <c r="B757" s="505">
        <v>3</v>
      </c>
      <c r="C757" s="505">
        <v>0</v>
      </c>
      <c r="D757" s="475" t="s">
        <v>2022</v>
      </c>
      <c r="E757" s="384" t="s">
        <v>2023</v>
      </c>
      <c r="F757" s="501">
        <v>7709800000000</v>
      </c>
      <c r="G757">
        <f t="shared" si="40"/>
        <v>16000</v>
      </c>
      <c r="H757">
        <f t="shared" si="41"/>
        <v>6</v>
      </c>
      <c r="I757" t="str">
        <f t="shared" si="39"/>
        <v>NITAXOZANIDA TABS X6 / QUIRUPOS S.A.S</v>
      </c>
    </row>
    <row r="758" spans="1:9" ht="15">
      <c r="A758" s="384" t="s">
        <v>2024</v>
      </c>
      <c r="B758" s="506">
        <v>1</v>
      </c>
      <c r="C758" s="517">
        <v>0</v>
      </c>
      <c r="D758" s="475" t="s">
        <v>2025</v>
      </c>
      <c r="E758" s="383" t="s">
        <v>2026</v>
      </c>
      <c r="F758" s="502">
        <v>7705960000000</v>
      </c>
      <c r="G758">
        <f t="shared" si="40"/>
        <v>76000</v>
      </c>
      <c r="H758">
        <f t="shared" si="41"/>
        <v>30</v>
      </c>
      <c r="I758" t="str">
        <f t="shared" si="39"/>
        <v>LEVETIRACETAM 1000MG -GENFAR X30</v>
      </c>
    </row>
    <row r="759" spans="1:9" ht="15">
      <c r="A759" s="383" t="s">
        <v>846</v>
      </c>
      <c r="B759" s="505">
        <v>1</v>
      </c>
      <c r="C759" s="516">
        <v>0</v>
      </c>
      <c r="D759" s="475" t="s">
        <v>847</v>
      </c>
      <c r="E759" s="384" t="s">
        <v>848</v>
      </c>
      <c r="F759" s="501">
        <v>7702870000000</v>
      </c>
      <c r="G759">
        <f t="shared" si="40"/>
        <v>16000</v>
      </c>
      <c r="H759">
        <f t="shared" si="41"/>
        <v>2</v>
      </c>
      <c r="I759" t="str">
        <f t="shared" si="39"/>
        <v>POST DAY *8 TAB</v>
      </c>
    </row>
    <row r="760" spans="1:9" ht="15">
      <c r="A760" s="384" t="s">
        <v>1701</v>
      </c>
      <c r="B760" s="505">
        <v>1</v>
      </c>
      <c r="C760" s="516">
        <v>0</v>
      </c>
      <c r="D760" s="475" t="s">
        <v>427</v>
      </c>
      <c r="E760" s="383" t="s">
        <v>1702</v>
      </c>
      <c r="F760" s="501">
        <v>7707040000000</v>
      </c>
      <c r="G760">
        <f t="shared" si="40"/>
        <v>2500</v>
      </c>
      <c r="H760">
        <f t="shared" si="41"/>
        <v>10</v>
      </c>
      <c r="I760" t="str">
        <f t="shared" si="39"/>
        <v>ENALAPRIL 20MG - X250 TABS - ANGLOPHARMA</v>
      </c>
    </row>
    <row r="761" spans="1:9" ht="15">
      <c r="A761" s="383" t="s">
        <v>669</v>
      </c>
      <c r="B761" s="506">
        <v>5</v>
      </c>
      <c r="C761" s="518">
        <v>0</v>
      </c>
      <c r="D761" s="487" t="s">
        <v>232</v>
      </c>
      <c r="E761" s="383" t="s">
        <v>670</v>
      </c>
      <c r="F761" s="502">
        <v>7703153022402</v>
      </c>
      <c r="G761">
        <f t="shared" si="40"/>
        <v>10000</v>
      </c>
      <c r="H761">
        <f t="shared" si="41"/>
        <v>2</v>
      </c>
      <c r="I761" t="str">
        <f t="shared" si="39"/>
        <v>EVINET X2</v>
      </c>
    </row>
    <row r="762" spans="1:9" ht="15">
      <c r="A762" s="384" t="s">
        <v>763</v>
      </c>
      <c r="B762" s="505">
        <v>4</v>
      </c>
      <c r="C762" s="516">
        <v>0</v>
      </c>
      <c r="D762" s="475" t="s">
        <v>38</v>
      </c>
      <c r="E762" s="383" t="s">
        <v>121</v>
      </c>
      <c r="F762" s="501">
        <v>7501125176494</v>
      </c>
      <c r="G762">
        <f t="shared" si="40"/>
        <v>9000</v>
      </c>
      <c r="H762">
        <f t="shared" si="41"/>
        <v>1</v>
      </c>
      <c r="I762" t="str">
        <f t="shared" si="39"/>
        <v>ELECTROLIT MANZANA</v>
      </c>
    </row>
    <row r="763" spans="1:9" ht="15">
      <c r="A763" s="384" t="s">
        <v>254</v>
      </c>
      <c r="B763" s="505">
        <v>2</v>
      </c>
      <c r="C763" s="516">
        <v>0</v>
      </c>
      <c r="D763" s="475" t="s">
        <v>38</v>
      </c>
      <c r="E763" s="383" t="s">
        <v>255</v>
      </c>
      <c r="F763" s="501">
        <v>7501125176531</v>
      </c>
      <c r="G763">
        <f t="shared" si="40"/>
        <v>9000</v>
      </c>
      <c r="H763">
        <f t="shared" si="41"/>
        <v>1</v>
      </c>
      <c r="I763" t="str">
        <f t="shared" si="39"/>
        <v>ELECTROLIT FRESA- KIWI</v>
      </c>
    </row>
    <row r="764" spans="1:9" ht="15">
      <c r="A764" s="384" t="s">
        <v>765</v>
      </c>
      <c r="B764" s="505">
        <v>4</v>
      </c>
      <c r="C764" s="505">
        <v>0</v>
      </c>
      <c r="D764" s="475" t="s">
        <v>38</v>
      </c>
      <c r="E764" s="383" t="s">
        <v>255</v>
      </c>
      <c r="F764" s="501">
        <v>7501130000000</v>
      </c>
      <c r="G764">
        <f t="shared" si="40"/>
        <v>9000</v>
      </c>
      <c r="H764">
        <f t="shared" si="41"/>
        <v>1</v>
      </c>
      <c r="I764" t="str">
        <f t="shared" si="39"/>
        <v>ELECTROLIT NARANJA- MANDARINA</v>
      </c>
    </row>
    <row r="765" spans="1:9" ht="15">
      <c r="A765" s="112" t="s">
        <v>731</v>
      </c>
      <c r="B765" s="37">
        <v>1</v>
      </c>
      <c r="C765" s="429">
        <v>0</v>
      </c>
      <c r="D765" s="376" t="s">
        <v>59</v>
      </c>
      <c r="E765" s="112" t="s">
        <v>60</v>
      </c>
      <c r="F765" s="115">
        <v>7706127006361</v>
      </c>
      <c r="G765">
        <f t="shared" si="40"/>
        <v>3000</v>
      </c>
      <c r="H765">
        <f t="shared" si="41"/>
        <v>1</v>
      </c>
      <c r="I765" t="str">
        <f t="shared" si="39"/>
        <v>PAX NOCHE X24 - PANELA LIMON</v>
      </c>
    </row>
    <row r="766" spans="1:9" ht="15">
      <c r="A766" s="117" t="s">
        <v>2034</v>
      </c>
      <c r="B766" s="37">
        <v>2</v>
      </c>
      <c r="C766" s="429">
        <v>0</v>
      </c>
      <c r="D766" s="376" t="s">
        <v>100</v>
      </c>
      <c r="E766" s="112" t="s">
        <v>2035</v>
      </c>
      <c r="F766" s="115">
        <v>7706569021762</v>
      </c>
      <c r="G766">
        <f t="shared" si="40"/>
        <v>18000</v>
      </c>
      <c r="H766">
        <f t="shared" si="41"/>
        <v>14</v>
      </c>
      <c r="I766" t="str">
        <f t="shared" si="39"/>
        <v>ESOMEPRAZOL 40MG - AG X14</v>
      </c>
    </row>
    <row r="767" spans="1:9" ht="15">
      <c r="A767" s="117" t="s">
        <v>45</v>
      </c>
      <c r="B767" s="37">
        <v>2</v>
      </c>
      <c r="C767" s="429">
        <v>0</v>
      </c>
      <c r="D767" s="376" t="s">
        <v>1708</v>
      </c>
      <c r="E767" s="112" t="s">
        <v>48</v>
      </c>
      <c r="F767" s="115">
        <v>7704412080607</v>
      </c>
      <c r="G767">
        <f t="shared" si="40"/>
        <v>17000</v>
      </c>
      <c r="H767">
        <f t="shared" si="41"/>
        <v>30</v>
      </c>
      <c r="I767" t="str">
        <f t="shared" si="39"/>
        <v>ALOPURINOL 100MG- TAB MEMPHIS</v>
      </c>
    </row>
    <row r="768" spans="1:9" ht="15">
      <c r="A768" s="32" t="s">
        <v>1252</v>
      </c>
      <c r="B768" s="17">
        <v>3</v>
      </c>
      <c r="C768" s="124">
        <v>0</v>
      </c>
      <c r="D768" s="321" t="s">
        <v>88</v>
      </c>
      <c r="E768" s="73" t="s">
        <v>1253</v>
      </c>
      <c r="F768" s="20">
        <v>7441026003348</v>
      </c>
      <c r="G768">
        <f t="shared" si="40"/>
        <v>18000</v>
      </c>
      <c r="H768">
        <f t="shared" si="41"/>
        <v>1</v>
      </c>
      <c r="I768" t="str">
        <f t="shared" si="39"/>
        <v>DOLEX BEBES</v>
      </c>
    </row>
    <row r="769" spans="1:9" ht="15">
      <c r="A769" s="112" t="s">
        <v>1095</v>
      </c>
      <c r="B769" s="37">
        <v>1</v>
      </c>
      <c r="C769" s="37">
        <v>0</v>
      </c>
      <c r="D769" s="376" t="s">
        <v>625</v>
      </c>
      <c r="E769" s="112" t="s">
        <v>1096</v>
      </c>
      <c r="F769" s="115">
        <v>7707204490097</v>
      </c>
      <c r="G769">
        <f t="shared" si="40"/>
        <v>25000</v>
      </c>
      <c r="H769">
        <f t="shared" si="41"/>
        <v>1</v>
      </c>
      <c r="I769" t="str">
        <f t="shared" si="39"/>
        <v>NULYTELY X4 SOBRES</v>
      </c>
    </row>
    <row r="770" spans="1:9" ht="15">
      <c r="A770" s="76" t="s">
        <v>2036</v>
      </c>
      <c r="B770" s="36">
        <v>2</v>
      </c>
      <c r="C770" s="164">
        <v>0.19</v>
      </c>
      <c r="D770" s="378" t="s">
        <v>310</v>
      </c>
      <c r="E770" s="76" t="s">
        <v>2037</v>
      </c>
      <c r="F770" s="77">
        <v>7707688777462</v>
      </c>
      <c r="G770">
        <f t="shared" si="40"/>
        <v>27000</v>
      </c>
      <c r="H770">
        <f t="shared" si="41"/>
        <v>1</v>
      </c>
      <c r="I770" t="str">
        <f t="shared" si="39"/>
        <v>MINOXIDIL KARICIA SHAMPOO MEN - X400ML</v>
      </c>
    </row>
    <row r="771" spans="1:9" ht="15">
      <c r="A771" s="73" t="s">
        <v>2041</v>
      </c>
      <c r="B771" s="17">
        <v>3</v>
      </c>
      <c r="C771" s="33">
        <v>0.19</v>
      </c>
      <c r="D771" s="477" t="s">
        <v>2042</v>
      </c>
      <c r="E771" s="32" t="s">
        <v>2043</v>
      </c>
      <c r="F771" s="20">
        <v>7707353307284</v>
      </c>
      <c r="G771">
        <f t="shared" si="40"/>
        <v>5500</v>
      </c>
      <c r="H771">
        <f t="shared" si="41"/>
        <v>1</v>
      </c>
      <c r="I771" t="str">
        <f t="shared" ref="I771:I834" si="42">TRIM(A771)</f>
        <v>VASELINA *500GR PROMARQUIN</v>
      </c>
    </row>
    <row r="772" spans="1:9" ht="15">
      <c r="A772" s="76" t="s">
        <v>1757</v>
      </c>
      <c r="B772" s="36">
        <v>1</v>
      </c>
      <c r="C772" s="164">
        <v>0.19</v>
      </c>
      <c r="D772" s="378" t="s">
        <v>118</v>
      </c>
      <c r="E772" s="74" t="s">
        <v>1758</v>
      </c>
      <c r="F772" s="46">
        <v>7705471100046</v>
      </c>
      <c r="G772">
        <f t="shared" si="40"/>
        <v>13000</v>
      </c>
      <c r="H772">
        <f t="shared" si="41"/>
        <v>1</v>
      </c>
      <c r="I772" t="str">
        <f t="shared" si="42"/>
        <v>ACEITE ALMENDRAS ATHOS *250ML</v>
      </c>
    </row>
    <row r="773" spans="1:9" ht="15">
      <c r="A773" s="73" t="s">
        <v>2047</v>
      </c>
      <c r="B773" s="17">
        <v>1</v>
      </c>
      <c r="C773" s="17">
        <v>0</v>
      </c>
      <c r="D773" s="321" t="s">
        <v>2048</v>
      </c>
      <c r="E773" s="73" t="s">
        <v>63</v>
      </c>
      <c r="F773" s="20">
        <v>7703763997664</v>
      </c>
      <c r="G773">
        <f t="shared" si="40"/>
        <v>77000</v>
      </c>
      <c r="H773">
        <f t="shared" si="41"/>
        <v>10</v>
      </c>
      <c r="I773" t="str">
        <f t="shared" si="42"/>
        <v>FLAVOXATO CLORHIDRATO 200MG *10TAB-LA SANTÉ</v>
      </c>
    </row>
    <row r="774" spans="1:9" ht="15">
      <c r="A774" s="112" t="s">
        <v>2049</v>
      </c>
      <c r="B774" s="37">
        <v>8</v>
      </c>
      <c r="C774" s="429">
        <v>0</v>
      </c>
      <c r="D774" s="376" t="s">
        <v>23</v>
      </c>
      <c r="E774" s="117" t="s">
        <v>2050</v>
      </c>
      <c r="F774" s="115">
        <v>7709990374902</v>
      </c>
      <c r="G774">
        <f t="shared" si="40"/>
        <v>15000</v>
      </c>
      <c r="H774">
        <f t="shared" si="41"/>
        <v>1</v>
      </c>
      <c r="I774" t="str">
        <f t="shared" si="42"/>
        <v>TERBIFEET 1% GEL / TERBINAFINA</v>
      </c>
    </row>
    <row r="775" spans="1:9" ht="15">
      <c r="A775" s="117" t="s">
        <v>2051</v>
      </c>
      <c r="B775" s="37">
        <v>1</v>
      </c>
      <c r="C775" s="429">
        <v>0</v>
      </c>
      <c r="D775" s="376" t="s">
        <v>26</v>
      </c>
      <c r="E775" s="112" t="s">
        <v>194</v>
      </c>
      <c r="F775" s="115">
        <v>7707355052656</v>
      </c>
      <c r="G775">
        <f t="shared" si="40"/>
        <v>30000</v>
      </c>
      <c r="H775">
        <f t="shared" si="41"/>
        <v>1</v>
      </c>
      <c r="I775" t="str">
        <f t="shared" si="42"/>
        <v>TREX CREMA *15GR / BIFONAZOL + GENTAMICINA + BUDESONIDA</v>
      </c>
    </row>
    <row r="776" spans="1:9" ht="15">
      <c r="A776" s="117" t="s">
        <v>2052</v>
      </c>
      <c r="B776" s="37">
        <v>4</v>
      </c>
      <c r="C776" s="37">
        <v>0</v>
      </c>
      <c r="D776" s="376" t="s">
        <v>7</v>
      </c>
      <c r="E776" s="112" t="s">
        <v>1069</v>
      </c>
      <c r="F776" s="115">
        <v>7704412260504</v>
      </c>
      <c r="G776">
        <f t="shared" si="40"/>
        <v>7000</v>
      </c>
      <c r="H776">
        <f t="shared" si="41"/>
        <v>1</v>
      </c>
      <c r="I776" t="str">
        <f t="shared" si="42"/>
        <v>LORATADINA SUSP - MEMPHIS</v>
      </c>
    </row>
    <row r="777" spans="1:9" ht="15">
      <c r="A777" s="117" t="s">
        <v>16</v>
      </c>
      <c r="B777" s="37">
        <v>8</v>
      </c>
      <c r="C777" s="37">
        <v>0</v>
      </c>
      <c r="D777" s="376" t="s">
        <v>74</v>
      </c>
      <c r="E777" s="112" t="s">
        <v>18</v>
      </c>
      <c r="F777" s="115">
        <v>7707355058313</v>
      </c>
      <c r="G777">
        <f t="shared" si="40"/>
        <v>20000</v>
      </c>
      <c r="H777">
        <f t="shared" si="41"/>
        <v>1</v>
      </c>
      <c r="I777" t="str">
        <f t="shared" si="42"/>
        <v>DEXTROMETORFANO 0,3% - NOTUSIN ADULTO SUSP</v>
      </c>
    </row>
    <row r="778" spans="1:9" ht="15">
      <c r="A778" s="117" t="s">
        <v>1056</v>
      </c>
      <c r="B778" s="37">
        <v>6</v>
      </c>
      <c r="C778" s="37">
        <v>0</v>
      </c>
      <c r="D778" s="376" t="s">
        <v>527</v>
      </c>
      <c r="E778" s="112" t="s">
        <v>1057</v>
      </c>
      <c r="F778" s="115">
        <v>8903726354094</v>
      </c>
      <c r="G778">
        <f t="shared" si="40"/>
        <v>11000</v>
      </c>
      <c r="H778">
        <f t="shared" si="41"/>
        <v>10</v>
      </c>
      <c r="I778" t="str">
        <f t="shared" si="42"/>
        <v>CELECOXIB 200MG - CELICOB X30</v>
      </c>
    </row>
    <row r="779" spans="1:9" ht="15">
      <c r="A779" s="117" t="s">
        <v>1643</v>
      </c>
      <c r="B779" s="37">
        <v>24</v>
      </c>
      <c r="C779" s="37">
        <v>0</v>
      </c>
      <c r="D779" s="376" t="s">
        <v>293</v>
      </c>
      <c r="E779" s="112" t="s">
        <v>1644</v>
      </c>
      <c r="F779" s="115">
        <v>7702098031340</v>
      </c>
      <c r="G779">
        <f t="shared" si="40"/>
        <v>4000</v>
      </c>
      <c r="H779">
        <f t="shared" si="41"/>
        <v>1</v>
      </c>
      <c r="I779" t="str">
        <f t="shared" si="42"/>
        <v>MICROPORE ROSA 1/2" X10YD 3M</v>
      </c>
    </row>
    <row r="780" spans="1:9" ht="15">
      <c r="A780" s="117" t="s">
        <v>2055</v>
      </c>
      <c r="B780" s="37">
        <v>2</v>
      </c>
      <c r="C780" s="429">
        <v>0.19</v>
      </c>
      <c r="D780" s="376" t="s">
        <v>118</v>
      </c>
      <c r="E780" s="112" t="s">
        <v>2056</v>
      </c>
      <c r="F780" s="115">
        <v>7707244410420</v>
      </c>
      <c r="G780">
        <f t="shared" si="40"/>
        <v>13000</v>
      </c>
      <c r="H780">
        <f t="shared" si="41"/>
        <v>1</v>
      </c>
      <c r="I780" t="str">
        <f t="shared" si="42"/>
        <v>CANULA NASAL ADULTO - OXIGENO 7MTS / BIOLIFE</v>
      </c>
    </row>
    <row r="781" spans="1:9" ht="15">
      <c r="A781" s="117" t="s">
        <v>1650</v>
      </c>
      <c r="B781" s="37">
        <v>12</v>
      </c>
      <c r="C781" s="37">
        <v>0</v>
      </c>
      <c r="D781" s="376" t="s">
        <v>7</v>
      </c>
      <c r="E781" s="112" t="s">
        <v>1651</v>
      </c>
      <c r="F781" s="115">
        <v>7702098031296</v>
      </c>
      <c r="G781">
        <f t="shared" si="40"/>
        <v>7000</v>
      </c>
      <c r="H781">
        <f t="shared" si="41"/>
        <v>1</v>
      </c>
      <c r="I781" t="str">
        <f t="shared" si="42"/>
        <v>MICROPORE BLANCO 1" X10YD 3M</v>
      </c>
    </row>
    <row r="782" spans="1:9" ht="15">
      <c r="A782" s="117" t="s">
        <v>1649</v>
      </c>
      <c r="B782" s="37">
        <v>6</v>
      </c>
      <c r="C782" s="37">
        <v>0</v>
      </c>
      <c r="D782" s="376" t="s">
        <v>85</v>
      </c>
      <c r="E782" s="112" t="s">
        <v>1646</v>
      </c>
      <c r="F782" s="115">
        <v>2000104014826</v>
      </c>
      <c r="G782">
        <f t="shared" si="40"/>
        <v>11000</v>
      </c>
      <c r="H782">
        <f t="shared" si="41"/>
        <v>1</v>
      </c>
      <c r="I782" t="str">
        <f t="shared" si="42"/>
        <v>MICROPORE BLANCO 2" X10YD 3M</v>
      </c>
    </row>
    <row r="783" spans="1:9" ht="15">
      <c r="A783" s="117" t="s">
        <v>1645</v>
      </c>
      <c r="B783" s="37">
        <v>6</v>
      </c>
      <c r="C783" s="37">
        <v>0</v>
      </c>
      <c r="D783" s="376" t="s">
        <v>85</v>
      </c>
      <c r="E783" s="112" t="s">
        <v>1646</v>
      </c>
      <c r="F783" s="115">
        <v>70200534744</v>
      </c>
      <c r="G783">
        <f t="shared" si="40"/>
        <v>11000</v>
      </c>
      <c r="H783">
        <f t="shared" si="41"/>
        <v>1</v>
      </c>
      <c r="I783" t="str">
        <f t="shared" si="42"/>
        <v>MICROPORE ROSA 2" X10YD 3M</v>
      </c>
    </row>
    <row r="784" spans="1:9" ht="15">
      <c r="A784" s="117" t="s">
        <v>2057</v>
      </c>
      <c r="B784" s="37">
        <v>6</v>
      </c>
      <c r="C784" s="37">
        <v>0</v>
      </c>
      <c r="D784" s="376" t="s">
        <v>109</v>
      </c>
      <c r="E784" s="112" t="s">
        <v>513</v>
      </c>
      <c r="F784" s="115">
        <v>7703038808770</v>
      </c>
      <c r="G784">
        <f t="shared" si="40"/>
        <v>10000</v>
      </c>
      <c r="H784">
        <f t="shared" si="41"/>
        <v>1</v>
      </c>
      <c r="I784" t="str">
        <f t="shared" si="42"/>
        <v>BETAMETASONA 0,05% X40GR - LAPROFF</v>
      </c>
    </row>
    <row r="785" spans="1:9" ht="15">
      <c r="A785" s="74" t="s">
        <v>162</v>
      </c>
      <c r="B785" s="36">
        <v>10</v>
      </c>
      <c r="C785" s="164">
        <v>0</v>
      </c>
      <c r="D785" s="378" t="s">
        <v>109</v>
      </c>
      <c r="E785" s="74" t="s">
        <v>163</v>
      </c>
      <c r="F785" s="46">
        <v>7706569001184</v>
      </c>
      <c r="G785">
        <f t="shared" si="40"/>
        <v>10000</v>
      </c>
      <c r="H785">
        <f t="shared" si="41"/>
        <v>1</v>
      </c>
      <c r="I785" t="str">
        <f t="shared" si="42"/>
        <v>AMOXICILINA SUSP AG</v>
      </c>
    </row>
    <row r="786" spans="1:9" ht="15">
      <c r="A786" s="76" t="s">
        <v>1580</v>
      </c>
      <c r="B786" s="36">
        <v>10</v>
      </c>
      <c r="C786" s="164">
        <v>0</v>
      </c>
      <c r="D786" s="378" t="s">
        <v>262</v>
      </c>
      <c r="E786" s="74" t="s">
        <v>1519</v>
      </c>
      <c r="F786" s="46">
        <v>7709997612786</v>
      </c>
      <c r="G786">
        <f t="shared" si="40"/>
        <v>7000</v>
      </c>
      <c r="H786">
        <f t="shared" si="41"/>
        <v>10</v>
      </c>
      <c r="I786" t="str">
        <f t="shared" si="42"/>
        <v>NOVOXICAM - MELOXICAM 15MG</v>
      </c>
    </row>
    <row r="787" spans="1:9" ht="15">
      <c r="A787" s="96" t="s">
        <v>2059</v>
      </c>
      <c r="B787" s="153">
        <v>2</v>
      </c>
      <c r="C787" s="55">
        <v>0</v>
      </c>
      <c r="D787" s="375" t="s">
        <v>91</v>
      </c>
      <c r="E787" s="152" t="s">
        <v>2060</v>
      </c>
      <c r="F787" s="155">
        <v>7707277580442</v>
      </c>
      <c r="G787">
        <f t="shared" si="40"/>
        <v>16000</v>
      </c>
      <c r="H787">
        <f t="shared" si="41"/>
        <v>1</v>
      </c>
      <c r="I787" t="str">
        <f t="shared" si="42"/>
        <v>OSMOTEARS OPHARM</v>
      </c>
    </row>
    <row r="788" spans="1:9" ht="15">
      <c r="A788" s="76" t="s">
        <v>2061</v>
      </c>
      <c r="B788" s="36">
        <v>2</v>
      </c>
      <c r="C788" s="165">
        <v>0</v>
      </c>
      <c r="D788" s="488" t="s">
        <v>80</v>
      </c>
      <c r="E788" s="76" t="s">
        <v>2062</v>
      </c>
      <c r="F788" s="46">
        <v>7705366100038</v>
      </c>
      <c r="G788">
        <f t="shared" si="40"/>
        <v>6000</v>
      </c>
      <c r="H788">
        <f t="shared" si="41"/>
        <v>1</v>
      </c>
      <c r="I788" t="str">
        <f t="shared" si="42"/>
        <v>DEXTROSA AL 5% *500ML</v>
      </c>
    </row>
    <row r="789" spans="1:9" ht="15">
      <c r="A789" s="117" t="s">
        <v>782</v>
      </c>
      <c r="B789" s="37">
        <v>6</v>
      </c>
      <c r="C789" s="37">
        <v>0</v>
      </c>
      <c r="D789" s="376" t="s">
        <v>697</v>
      </c>
      <c r="E789" s="117" t="s">
        <v>783</v>
      </c>
      <c r="F789" s="115">
        <v>7707282990052</v>
      </c>
      <c r="G789">
        <f t="shared" si="40"/>
        <v>2500</v>
      </c>
      <c r="H789">
        <f t="shared" si="41"/>
        <v>1</v>
      </c>
      <c r="I789" t="str">
        <f t="shared" si="42"/>
        <v>CATETER 18G - BEGUT VERDE</v>
      </c>
    </row>
    <row r="790" spans="1:9" ht="15">
      <c r="A790" s="112" t="s">
        <v>2063</v>
      </c>
      <c r="B790" s="37">
        <v>1</v>
      </c>
      <c r="C790" s="429">
        <v>0.19</v>
      </c>
      <c r="D790" s="376" t="s">
        <v>2064</v>
      </c>
      <c r="E790" s="112" t="s">
        <v>2065</v>
      </c>
      <c r="F790" s="115">
        <v>7709299382035</v>
      </c>
      <c r="G790">
        <f t="shared" si="40"/>
        <v>13000</v>
      </c>
      <c r="H790">
        <f t="shared" si="41"/>
        <v>1</v>
      </c>
      <c r="I790" t="str">
        <f t="shared" si="42"/>
        <v>POPI ELIMINADOR DE OLORE EUCALIPTO X15ML</v>
      </c>
    </row>
    <row r="791" spans="1:9" ht="15">
      <c r="A791" s="112" t="s">
        <v>2066</v>
      </c>
      <c r="B791" s="37">
        <v>1</v>
      </c>
      <c r="C791" s="429">
        <v>0.19</v>
      </c>
      <c r="D791" s="376" t="s">
        <v>118</v>
      </c>
      <c r="E791" s="112" t="s">
        <v>2065</v>
      </c>
      <c r="F791" s="115">
        <v>7709299382073</v>
      </c>
      <c r="G791">
        <f t="shared" si="40"/>
        <v>13000</v>
      </c>
      <c r="H791">
        <f t="shared" si="41"/>
        <v>1</v>
      </c>
      <c r="I791" t="str">
        <f t="shared" si="42"/>
        <v>POPI ELIMINADOR DE OLORE LAVANDA X15ML</v>
      </c>
    </row>
    <row r="792" spans="1:9" ht="15">
      <c r="A792" s="112" t="s">
        <v>2067</v>
      </c>
      <c r="B792" s="37">
        <v>1</v>
      </c>
      <c r="C792" s="429">
        <v>0.19</v>
      </c>
      <c r="D792" s="376" t="s">
        <v>2064</v>
      </c>
      <c r="E792" s="112" t="s">
        <v>2065</v>
      </c>
      <c r="F792" s="115">
        <v>7709299382011</v>
      </c>
      <c r="G792">
        <f t="shared" si="40"/>
        <v>13000</v>
      </c>
      <c r="H792">
        <f t="shared" si="41"/>
        <v>1</v>
      </c>
      <c r="I792" t="str">
        <f t="shared" si="42"/>
        <v>POPI ELIMINADOR DE OLORE FRUTOS ROJOS X15ML</v>
      </c>
    </row>
    <row r="793" spans="1:9" ht="15">
      <c r="A793" s="112" t="s">
        <v>2068</v>
      </c>
      <c r="B793" s="37">
        <v>1</v>
      </c>
      <c r="C793" s="429">
        <v>0.19</v>
      </c>
      <c r="D793" s="376" t="s">
        <v>2064</v>
      </c>
      <c r="E793" s="112" t="s">
        <v>2065</v>
      </c>
      <c r="F793" s="115">
        <v>7709299382066</v>
      </c>
      <c r="G793">
        <f t="shared" si="40"/>
        <v>13000</v>
      </c>
      <c r="H793">
        <f t="shared" si="41"/>
        <v>1</v>
      </c>
      <c r="I793" t="str">
        <f t="shared" si="42"/>
        <v>POPI ELIMINADOR DE OLORE CÍTRICO X15ML</v>
      </c>
    </row>
    <row r="794" spans="1:9" ht="15">
      <c r="A794" s="32" t="s">
        <v>659</v>
      </c>
      <c r="B794" s="17">
        <v>5</v>
      </c>
      <c r="C794" s="124">
        <v>0</v>
      </c>
      <c r="D794" s="321" t="s">
        <v>32</v>
      </c>
      <c r="E794" s="73" t="s">
        <v>660</v>
      </c>
      <c r="F794" s="20">
        <v>7704412186057</v>
      </c>
      <c r="G794">
        <f t="shared" si="40"/>
        <v>12000</v>
      </c>
      <c r="H794">
        <f t="shared" si="41"/>
        <v>1</v>
      </c>
      <c r="I794" t="str">
        <f t="shared" si="42"/>
        <v>SULFADIAZINA DE PLATA POTE *30GR</v>
      </c>
    </row>
    <row r="795" spans="1:9" ht="15">
      <c r="A795" s="73" t="s">
        <v>1147</v>
      </c>
      <c r="B795" s="17">
        <v>6</v>
      </c>
      <c r="C795" s="124">
        <v>0</v>
      </c>
      <c r="D795" s="321" t="s">
        <v>1148</v>
      </c>
      <c r="E795" s="32" t="s">
        <v>1149</v>
      </c>
      <c r="F795" s="20">
        <v>7707019413908</v>
      </c>
      <c r="G795">
        <f t="shared" si="40"/>
        <v>13000</v>
      </c>
      <c r="H795">
        <f t="shared" si="41"/>
        <v>1</v>
      </c>
      <c r="I795" t="str">
        <f t="shared" si="42"/>
        <v>TRICLIMBAC GOTAS OTICAS / LIDOCAINA + CIPROFLOXACINO + BETAMETASONA</v>
      </c>
    </row>
    <row r="796" spans="1:9" ht="15">
      <c r="A796" s="117" t="s">
        <v>2071</v>
      </c>
      <c r="B796" s="37">
        <v>2</v>
      </c>
      <c r="C796" s="37">
        <v>0</v>
      </c>
      <c r="D796" s="376" t="s">
        <v>1779</v>
      </c>
      <c r="E796" s="112" t="s">
        <v>83</v>
      </c>
      <c r="F796" s="115">
        <v>7702057711542</v>
      </c>
      <c r="G796">
        <f t="shared" si="40"/>
        <v>21000</v>
      </c>
      <c r="H796">
        <f t="shared" si="41"/>
        <v>10</v>
      </c>
      <c r="I796" t="str">
        <f t="shared" si="42"/>
        <v>OLANZAPINA 5MG X30 - MK</v>
      </c>
    </row>
    <row r="797" spans="1:9" ht="15">
      <c r="A797" s="117" t="s">
        <v>2074</v>
      </c>
      <c r="B797" s="37">
        <v>1</v>
      </c>
      <c r="C797" s="37">
        <v>0</v>
      </c>
      <c r="D797" s="376" t="s">
        <v>2075</v>
      </c>
      <c r="E797" s="112" t="s">
        <v>83</v>
      </c>
      <c r="F797" s="115">
        <v>7703153027513</v>
      </c>
      <c r="G797">
        <f t="shared" si="40"/>
        <v>20500</v>
      </c>
      <c r="H797">
        <f t="shared" si="41"/>
        <v>10</v>
      </c>
      <c r="I797" t="str">
        <f t="shared" si="42"/>
        <v>PANTOPRAZOL 20MG- X30 COLMED</v>
      </c>
    </row>
    <row r="798" spans="1:9" ht="15">
      <c r="A798" s="112" t="s">
        <v>1755</v>
      </c>
      <c r="B798" s="37">
        <v>1</v>
      </c>
      <c r="C798" s="429">
        <v>0.19</v>
      </c>
      <c r="D798" s="376" t="s">
        <v>241</v>
      </c>
      <c r="E798" s="112" t="s">
        <v>1756</v>
      </c>
      <c r="F798" s="115">
        <v>7709990613162</v>
      </c>
      <c r="G798">
        <f t="shared" si="40"/>
        <v>38000</v>
      </c>
      <c r="H798">
        <f t="shared" si="41"/>
        <v>1</v>
      </c>
      <c r="I798" t="str">
        <f t="shared" si="42"/>
        <v>PF CARE / ACIDO HIALURONICO GEL</v>
      </c>
    </row>
    <row r="799" spans="1:9" ht="15">
      <c r="A799" s="112" t="s">
        <v>1470</v>
      </c>
      <c r="B799" s="37">
        <v>1</v>
      </c>
      <c r="C799" s="429">
        <v>0</v>
      </c>
      <c r="D799" s="376" t="s">
        <v>450</v>
      </c>
      <c r="E799" s="117" t="s">
        <v>1471</v>
      </c>
      <c r="F799" s="115">
        <v>7501043130769</v>
      </c>
      <c r="G799">
        <f t="shared" ref="G799:G862" si="43">IFERROR(VALUE(SUBSTITUTE(LEFT(LOWER(D799),FIND("x",LOWER(D799))-1),",","")),VALUE(SUBSTITUTE(D799,",","")))</f>
        <v>28500</v>
      </c>
      <c r="H799">
        <f t="shared" ref="H799:H862" si="44">IFERROR(VALUE(MID(LOWER(D799),FIND("x",LOWER(D799))+1,20)),1)</f>
        <v>1</v>
      </c>
      <c r="I799" t="str">
        <f t="shared" si="42"/>
        <v>DOLEX 7+ - JARABE</v>
      </c>
    </row>
    <row r="800" spans="1:9" ht="15">
      <c r="A800" s="32" t="s">
        <v>764</v>
      </c>
      <c r="B800" s="17">
        <v>4</v>
      </c>
      <c r="C800" s="124">
        <v>0</v>
      </c>
      <c r="D800" s="321" t="s">
        <v>38</v>
      </c>
      <c r="E800" s="76" t="s">
        <v>121</v>
      </c>
      <c r="F800" s="20">
        <v>7501125184277</v>
      </c>
      <c r="G800">
        <f t="shared" si="43"/>
        <v>9000</v>
      </c>
      <c r="H800">
        <f t="shared" si="44"/>
        <v>1</v>
      </c>
      <c r="I800" t="str">
        <f t="shared" si="42"/>
        <v>ELECTROLIT MORA AZUL</v>
      </c>
    </row>
    <row r="801" spans="1:9" ht="15">
      <c r="A801" s="112" t="s">
        <v>2079</v>
      </c>
      <c r="B801" s="37">
        <v>1</v>
      </c>
      <c r="C801" s="429">
        <v>0</v>
      </c>
      <c r="D801" s="376" t="s">
        <v>1309</v>
      </c>
      <c r="E801" s="112" t="s">
        <v>2080</v>
      </c>
      <c r="F801" s="115">
        <v>7703038066729</v>
      </c>
      <c r="G801">
        <f t="shared" si="43"/>
        <v>4000</v>
      </c>
      <c r="H801">
        <f t="shared" si="44"/>
        <v>10</v>
      </c>
      <c r="I801" t="str">
        <f t="shared" si="42"/>
        <v>NITROFURANTOINA 100MG</v>
      </c>
    </row>
    <row r="802" spans="1:9" ht="15">
      <c r="A802" s="74" t="s">
        <v>2081</v>
      </c>
      <c r="B802" s="36">
        <v>1</v>
      </c>
      <c r="C802" s="164">
        <v>0</v>
      </c>
      <c r="D802" s="378" t="s">
        <v>191</v>
      </c>
      <c r="E802" s="76" t="s">
        <v>1263</v>
      </c>
      <c r="F802" s="46">
        <v>7702057184315</v>
      </c>
      <c r="G802">
        <f t="shared" si="43"/>
        <v>4000</v>
      </c>
      <c r="H802">
        <f t="shared" si="44"/>
        <v>2</v>
      </c>
      <c r="I802" t="str">
        <f t="shared" si="42"/>
        <v>NORAVER NARANJA MIEL *96 TAB</v>
      </c>
    </row>
    <row r="803" spans="1:9" ht="15">
      <c r="A803" s="74" t="s">
        <v>2082</v>
      </c>
      <c r="B803" s="36">
        <v>1</v>
      </c>
      <c r="C803" s="284">
        <v>0</v>
      </c>
      <c r="D803" s="378" t="s">
        <v>214</v>
      </c>
      <c r="E803" s="76" t="s">
        <v>2083</v>
      </c>
      <c r="F803" s="46">
        <v>7703763996926</v>
      </c>
      <c r="G803">
        <f t="shared" si="43"/>
        <v>2000</v>
      </c>
      <c r="H803">
        <f t="shared" si="44"/>
        <v>1</v>
      </c>
      <c r="I803" t="str">
        <f t="shared" si="42"/>
        <v>BUCOXOL TRIPLE ACCION COOL MINT X10</v>
      </c>
    </row>
    <row r="804" spans="1:9" ht="15">
      <c r="A804" s="76" t="s">
        <v>2084</v>
      </c>
      <c r="B804" s="36">
        <v>3</v>
      </c>
      <c r="C804" s="284">
        <v>0</v>
      </c>
      <c r="D804" s="378" t="s">
        <v>88</v>
      </c>
      <c r="E804" s="74" t="s">
        <v>2085</v>
      </c>
      <c r="F804" s="46">
        <v>7709100506933</v>
      </c>
      <c r="G804">
        <f t="shared" si="43"/>
        <v>18000</v>
      </c>
      <c r="H804">
        <f t="shared" si="44"/>
        <v>1</v>
      </c>
      <c r="I804" t="str">
        <f t="shared" si="42"/>
        <v>FIRE LIPS NF - ACIDO SALICILICO, EXTRACTO DE CALENDULA, EXTRACTO DE RUIBARBO</v>
      </c>
    </row>
    <row r="805" spans="1:9" ht="15">
      <c r="A805" s="96" t="s">
        <v>550</v>
      </c>
      <c r="B805" s="153">
        <v>3</v>
      </c>
      <c r="C805" s="55">
        <v>0.19</v>
      </c>
      <c r="D805" s="375" t="s">
        <v>7</v>
      </c>
      <c r="E805" s="152" t="s">
        <v>551</v>
      </c>
      <c r="F805" s="155">
        <v>7701684000043</v>
      </c>
      <c r="G805">
        <f t="shared" si="43"/>
        <v>7000</v>
      </c>
      <c r="H805">
        <f t="shared" si="44"/>
        <v>1</v>
      </c>
      <c r="I805" t="str">
        <f t="shared" si="42"/>
        <v>JABON DE AZUFRE PILI</v>
      </c>
    </row>
    <row r="806" spans="1:9" ht="15">
      <c r="A806" s="117" t="s">
        <v>819</v>
      </c>
      <c r="B806" s="37">
        <v>6</v>
      </c>
      <c r="C806" s="37">
        <v>0</v>
      </c>
      <c r="D806" s="376" t="s">
        <v>697</v>
      </c>
      <c r="E806" s="112" t="s">
        <v>820</v>
      </c>
      <c r="F806" s="115">
        <v>7707336092169</v>
      </c>
      <c r="G806">
        <f t="shared" si="43"/>
        <v>2500</v>
      </c>
      <c r="H806">
        <f t="shared" si="44"/>
        <v>1</v>
      </c>
      <c r="I806" t="str">
        <f t="shared" si="42"/>
        <v>CATETER INTRAVENOSO 16G - ZIBOJECT</v>
      </c>
    </row>
    <row r="807" spans="1:9" ht="15">
      <c r="A807" s="117" t="s">
        <v>983</v>
      </c>
      <c r="B807" s="37">
        <v>2</v>
      </c>
      <c r="C807" s="37">
        <v>0</v>
      </c>
      <c r="D807" s="376" t="s">
        <v>181</v>
      </c>
      <c r="E807" s="117" t="s">
        <v>985</v>
      </c>
      <c r="F807" s="115">
        <v>7702184012130</v>
      </c>
      <c r="G807">
        <f t="shared" si="43"/>
        <v>24000</v>
      </c>
      <c r="H807">
        <f t="shared" si="44"/>
        <v>10</v>
      </c>
      <c r="I807" t="str">
        <f t="shared" si="42"/>
        <v>FEXOFENADINA 120MG X10 TABLETAS</v>
      </c>
    </row>
    <row r="808" spans="1:9" ht="15">
      <c r="A808" s="76" t="s">
        <v>2087</v>
      </c>
      <c r="B808" s="36">
        <v>4</v>
      </c>
      <c r="C808" s="164">
        <v>0</v>
      </c>
      <c r="D808" s="378" t="s">
        <v>2088</v>
      </c>
      <c r="E808" s="74" t="s">
        <v>2089</v>
      </c>
      <c r="F808" s="46">
        <v>7702184020616</v>
      </c>
      <c r="G808">
        <f t="shared" si="43"/>
        <v>10000</v>
      </c>
      <c r="H808">
        <f t="shared" si="44"/>
        <v>1</v>
      </c>
      <c r="I808" t="str">
        <f t="shared" si="42"/>
        <v>METRONIDAZOL SUSP - ECAR</v>
      </c>
    </row>
    <row r="809" spans="1:9" ht="15">
      <c r="A809" s="112" t="s">
        <v>2094</v>
      </c>
      <c r="B809" s="37">
        <v>1</v>
      </c>
      <c r="C809" s="429">
        <v>0.19</v>
      </c>
      <c r="D809" s="376" t="s">
        <v>109</v>
      </c>
      <c r="E809" s="117" t="s">
        <v>1760</v>
      </c>
      <c r="F809" s="115">
        <v>7705471205987</v>
      </c>
      <c r="G809">
        <f t="shared" si="43"/>
        <v>10000</v>
      </c>
      <c r="H809">
        <f t="shared" si="44"/>
        <v>1</v>
      </c>
      <c r="I809" t="str">
        <f t="shared" si="42"/>
        <v>ACEITE COCO ATHOS *120ML</v>
      </c>
    </row>
    <row r="810" spans="1:9" ht="15">
      <c r="A810" s="74" t="s">
        <v>1476</v>
      </c>
      <c r="B810" s="36">
        <v>2</v>
      </c>
      <c r="C810" s="165">
        <v>0</v>
      </c>
      <c r="D810" s="488" t="s">
        <v>1477</v>
      </c>
      <c r="E810" s="74" t="s">
        <v>1478</v>
      </c>
      <c r="F810" s="46">
        <v>7702057709037</v>
      </c>
      <c r="G810">
        <f t="shared" si="43"/>
        <v>12000</v>
      </c>
      <c r="H810">
        <f t="shared" si="44"/>
        <v>30</v>
      </c>
      <c r="I810" t="str">
        <f t="shared" si="42"/>
        <v>BISOPROLOL 2.5MG MK - X30</v>
      </c>
    </row>
    <row r="811" spans="1:9" ht="15">
      <c r="A811" s="73" t="s">
        <v>1615</v>
      </c>
      <c r="B811" s="17">
        <v>1</v>
      </c>
      <c r="C811" s="124">
        <v>0.19</v>
      </c>
      <c r="D811" s="321" t="s">
        <v>1616</v>
      </c>
      <c r="E811" s="73" t="s">
        <v>2096</v>
      </c>
      <c r="F811" s="20">
        <v>7703286118508</v>
      </c>
      <c r="G811">
        <f t="shared" si="43"/>
        <v>39000</v>
      </c>
      <c r="H811">
        <f t="shared" si="44"/>
        <v>60</v>
      </c>
      <c r="I811" t="str">
        <f t="shared" si="42"/>
        <v>COLAGENO+ BIOTINA *60 - MEDICK</v>
      </c>
    </row>
    <row r="812" spans="1:9" ht="15">
      <c r="A812" s="152" t="s">
        <v>1602</v>
      </c>
      <c r="B812" s="153">
        <v>1</v>
      </c>
      <c r="C812" s="55">
        <v>0</v>
      </c>
      <c r="D812" s="375" t="s">
        <v>1366</v>
      </c>
      <c r="E812" s="152" t="s">
        <v>1603</v>
      </c>
      <c r="F812" s="155">
        <v>7707271451410</v>
      </c>
      <c r="G812">
        <f t="shared" si="43"/>
        <v>19000</v>
      </c>
      <c r="H812">
        <f t="shared" si="44"/>
        <v>1</v>
      </c>
      <c r="I812" t="str">
        <f t="shared" si="42"/>
        <v>CYCLOFEMINA</v>
      </c>
    </row>
    <row r="813" spans="1:9" ht="15">
      <c r="A813" s="76" t="s">
        <v>2097</v>
      </c>
      <c r="B813" s="36">
        <v>1</v>
      </c>
      <c r="C813" s="164">
        <v>0</v>
      </c>
      <c r="D813" s="378" t="s">
        <v>1366</v>
      </c>
      <c r="E813" s="74" t="s">
        <v>1071</v>
      </c>
      <c r="F813" s="46">
        <v>7702057124021</v>
      </c>
      <c r="G813">
        <f t="shared" si="43"/>
        <v>19000</v>
      </c>
      <c r="H813">
        <f t="shared" si="44"/>
        <v>1</v>
      </c>
      <c r="I813" t="str">
        <f t="shared" si="42"/>
        <v>MERTHIOLATE INCOLORO - TIOMERSAL 1:1000</v>
      </c>
    </row>
    <row r="814" spans="1:9" ht="15">
      <c r="A814" s="76" t="s">
        <v>1070</v>
      </c>
      <c r="B814" s="36">
        <v>1</v>
      </c>
      <c r="C814" s="164">
        <v>0</v>
      </c>
      <c r="D814" s="378" t="s">
        <v>88</v>
      </c>
      <c r="E814" s="74" t="s">
        <v>1071</v>
      </c>
      <c r="F814" s="46">
        <v>7702057124014</v>
      </c>
      <c r="G814">
        <f t="shared" si="43"/>
        <v>18000</v>
      </c>
      <c r="H814">
        <f t="shared" si="44"/>
        <v>1</v>
      </c>
      <c r="I814" t="str">
        <f t="shared" si="42"/>
        <v>MERTHIOLATE ROJO - TIOMERSAL 1:1000</v>
      </c>
    </row>
    <row r="815" spans="1:9" ht="15">
      <c r="A815" s="117" t="s">
        <v>2098</v>
      </c>
      <c r="B815" s="37">
        <v>1</v>
      </c>
      <c r="C815" s="37">
        <v>0</v>
      </c>
      <c r="D815" s="376" t="s">
        <v>56</v>
      </c>
      <c r="E815" s="112" t="s">
        <v>2099</v>
      </c>
      <c r="F815" s="115">
        <v>7501001168797</v>
      </c>
      <c r="G815">
        <f t="shared" si="43"/>
        <v>28000</v>
      </c>
      <c r="H815">
        <f t="shared" si="44"/>
        <v>1</v>
      </c>
      <c r="I815" t="str">
        <f t="shared" si="42"/>
        <v>BABY BALM - VICK BEBÉ</v>
      </c>
    </row>
    <row r="816" spans="1:9" ht="15">
      <c r="A816" s="112" t="s">
        <v>517</v>
      </c>
      <c r="B816" s="37">
        <v>5</v>
      </c>
      <c r="C816" s="429">
        <v>0</v>
      </c>
      <c r="D816" s="376" t="s">
        <v>103</v>
      </c>
      <c r="E816" s="112" t="s">
        <v>477</v>
      </c>
      <c r="F816" s="115">
        <v>7703712032705</v>
      </c>
      <c r="G816">
        <f t="shared" si="43"/>
        <v>5000</v>
      </c>
      <c r="H816">
        <f t="shared" si="44"/>
        <v>10</v>
      </c>
      <c r="I816" t="str">
        <f t="shared" si="42"/>
        <v>FLUNARIZINA 10MG- COASPHARMA X20</v>
      </c>
    </row>
    <row r="817" spans="1:9" ht="15">
      <c r="A817" s="117" t="s">
        <v>2102</v>
      </c>
      <c r="B817" s="37">
        <v>6</v>
      </c>
      <c r="C817" s="429">
        <v>0</v>
      </c>
      <c r="D817" s="376" t="s">
        <v>366</v>
      </c>
      <c r="E817" s="117" t="s">
        <v>2103</v>
      </c>
      <c r="F817" s="115">
        <v>7703712033412</v>
      </c>
      <c r="G817">
        <f t="shared" si="43"/>
        <v>5000</v>
      </c>
      <c r="H817">
        <f t="shared" si="44"/>
        <v>1</v>
      </c>
      <c r="I817" t="str">
        <f t="shared" si="42"/>
        <v>ALBENDAZOL SUSPENSIÓN 4% - COASPHARMA</v>
      </c>
    </row>
    <row r="818" spans="1:9" ht="15">
      <c r="A818" s="76" t="s">
        <v>1341</v>
      </c>
      <c r="B818" s="36">
        <v>2</v>
      </c>
      <c r="C818" s="284">
        <v>0</v>
      </c>
      <c r="D818" s="378" t="s">
        <v>715</v>
      </c>
      <c r="E818" s="74" t="s">
        <v>1342</v>
      </c>
      <c r="F818" s="46">
        <v>650240000010</v>
      </c>
      <c r="G818">
        <f t="shared" si="43"/>
        <v>1700</v>
      </c>
      <c r="H818">
        <f t="shared" si="44"/>
        <v>1</v>
      </c>
      <c r="I818" t="str">
        <f t="shared" si="42"/>
        <v>X RAY DOL *48 TAB</v>
      </c>
    </row>
    <row r="819" spans="1:9" ht="15">
      <c r="A819" s="117" t="s">
        <v>2106</v>
      </c>
      <c r="B819" s="37">
        <v>2</v>
      </c>
      <c r="C819" s="180">
        <v>0.19</v>
      </c>
      <c r="D819" s="376" t="s">
        <v>808</v>
      </c>
      <c r="E819" s="112" t="s">
        <v>107</v>
      </c>
      <c r="F819" s="115">
        <v>7707186900898</v>
      </c>
      <c r="G819">
        <f t="shared" si="43"/>
        <v>13000</v>
      </c>
      <c r="H819">
        <f t="shared" si="44"/>
        <v>10</v>
      </c>
      <c r="I819" t="str">
        <f t="shared" si="42"/>
        <v>COLAGENO 200MG + BIOTINA 900MCG</v>
      </c>
    </row>
    <row r="820" spans="1:9" ht="15">
      <c r="A820" s="117" t="s">
        <v>2107</v>
      </c>
      <c r="B820" s="37">
        <v>1</v>
      </c>
      <c r="C820" s="37">
        <v>0</v>
      </c>
      <c r="D820" s="376" t="s">
        <v>808</v>
      </c>
      <c r="E820" s="112" t="s">
        <v>107</v>
      </c>
      <c r="F820" s="115">
        <v>8903726237526</v>
      </c>
      <c r="G820">
        <f t="shared" si="43"/>
        <v>13000</v>
      </c>
      <c r="H820">
        <f t="shared" si="44"/>
        <v>10</v>
      </c>
      <c r="I820" t="str">
        <f t="shared" si="42"/>
        <v>NEUBALIN 150MG X30 / PREGABALINA</v>
      </c>
    </row>
    <row r="821" spans="1:9" ht="15">
      <c r="A821" s="117" t="s">
        <v>2108</v>
      </c>
      <c r="B821" s="37">
        <v>10</v>
      </c>
      <c r="C821" s="37">
        <v>0</v>
      </c>
      <c r="D821" s="376" t="s">
        <v>898</v>
      </c>
      <c r="E821" s="117" t="s">
        <v>2109</v>
      </c>
      <c r="F821" s="115">
        <v>7709946708331</v>
      </c>
      <c r="G821">
        <f t="shared" si="43"/>
        <v>10000</v>
      </c>
      <c r="H821">
        <f t="shared" si="44"/>
        <v>4</v>
      </c>
      <c r="I821" t="str">
        <f t="shared" si="42"/>
        <v>SECNIDAZOL 500MG - LIBERLIM X4</v>
      </c>
    </row>
    <row r="822" spans="1:9" ht="15">
      <c r="A822" s="117" t="s">
        <v>2110</v>
      </c>
      <c r="B822" s="37">
        <v>1</v>
      </c>
      <c r="C822" s="114">
        <v>0</v>
      </c>
      <c r="D822" s="489" t="s">
        <v>2111</v>
      </c>
      <c r="E822" s="112" t="s">
        <v>2035</v>
      </c>
      <c r="F822" s="115">
        <v>7703763479023</v>
      </c>
      <c r="G822">
        <f t="shared" si="43"/>
        <v>36000</v>
      </c>
      <c r="H822">
        <f t="shared" si="44"/>
        <v>7</v>
      </c>
      <c r="I822" t="str">
        <f t="shared" si="42"/>
        <v>OLANZAPINA 10MG - LA SANTÉ X14 TABS</v>
      </c>
    </row>
    <row r="823" spans="1:9" ht="15">
      <c r="A823" s="152" t="s">
        <v>2112</v>
      </c>
      <c r="B823" s="153">
        <v>1</v>
      </c>
      <c r="C823" s="55">
        <v>0</v>
      </c>
      <c r="D823" s="375" t="s">
        <v>222</v>
      </c>
      <c r="E823" s="96" t="s">
        <v>2113</v>
      </c>
      <c r="F823" s="155">
        <v>7702123014010</v>
      </c>
      <c r="G823">
        <f t="shared" si="43"/>
        <v>1500</v>
      </c>
      <c r="H823">
        <f t="shared" si="44"/>
        <v>1</v>
      </c>
      <c r="I823" t="str">
        <f t="shared" si="42"/>
        <v>CAFIASPIRINA X12</v>
      </c>
    </row>
    <row r="824" spans="1:9" ht="15">
      <c r="A824" s="117" t="s">
        <v>372</v>
      </c>
      <c r="B824" s="37">
        <v>4</v>
      </c>
      <c r="C824" s="114">
        <v>0</v>
      </c>
      <c r="D824" s="489" t="s">
        <v>10</v>
      </c>
      <c r="E824" s="117" t="s">
        <v>373</v>
      </c>
      <c r="F824" s="115">
        <v>7704412000162</v>
      </c>
      <c r="G824">
        <f t="shared" si="43"/>
        <v>8000</v>
      </c>
      <c r="H824">
        <f t="shared" si="44"/>
        <v>1</v>
      </c>
      <c r="I824" t="str">
        <f t="shared" si="42"/>
        <v>CLOTRIMAZOL GOTAS 1% - MEMPHIS X30ML</v>
      </c>
    </row>
    <row r="825" spans="1:9" ht="15">
      <c r="A825" s="117" t="s">
        <v>2114</v>
      </c>
      <c r="B825" s="37">
        <v>1</v>
      </c>
      <c r="C825" s="429">
        <v>0</v>
      </c>
      <c r="D825" s="376" t="s">
        <v>241</v>
      </c>
      <c r="E825" s="112" t="s">
        <v>2115</v>
      </c>
      <c r="F825" s="115">
        <v>7708636936634</v>
      </c>
      <c r="G825">
        <f t="shared" si="43"/>
        <v>38000</v>
      </c>
      <c r="H825">
        <f t="shared" si="44"/>
        <v>1</v>
      </c>
      <c r="I825" t="str">
        <f t="shared" si="42"/>
        <v>DOLPACK KIDS - ACIDO HIALURONICO GEL</v>
      </c>
    </row>
    <row r="826" spans="1:9" ht="15">
      <c r="A826" s="112" t="s">
        <v>28</v>
      </c>
      <c r="B826" s="37">
        <v>2</v>
      </c>
      <c r="C826" s="429">
        <v>0</v>
      </c>
      <c r="D826" s="376" t="s">
        <v>29</v>
      </c>
      <c r="E826" s="117" t="s">
        <v>30</v>
      </c>
      <c r="F826" s="115">
        <v>7703546153508</v>
      </c>
      <c r="G826">
        <f t="shared" si="43"/>
        <v>15000</v>
      </c>
      <c r="H826">
        <f t="shared" si="44"/>
        <v>10</v>
      </c>
      <c r="I826" t="str">
        <f t="shared" si="42"/>
        <v>FERBIN - ACIDO VALPROICO CAPSULAS 250MG X50 CAPS</v>
      </c>
    </row>
    <row r="827" spans="1:9" ht="15">
      <c r="A827" s="112" t="s">
        <v>2116</v>
      </c>
      <c r="B827" s="37">
        <v>4</v>
      </c>
      <c r="C827" s="429">
        <v>0</v>
      </c>
      <c r="D827" s="376" t="s">
        <v>625</v>
      </c>
      <c r="E827" s="112" t="s">
        <v>2117</v>
      </c>
      <c r="F827" s="115">
        <v>7709990733730</v>
      </c>
      <c r="G827">
        <f t="shared" si="43"/>
        <v>25000</v>
      </c>
      <c r="H827">
        <f t="shared" si="44"/>
        <v>1</v>
      </c>
      <c r="I827" t="str">
        <f t="shared" si="42"/>
        <v>FLUIMED / N-ACETILCISTEINA + GUAYACOLATO DE GLICERILO</v>
      </c>
    </row>
    <row r="828" spans="1:9" ht="15">
      <c r="A828" s="117" t="s">
        <v>1424</v>
      </c>
      <c r="B828" s="37">
        <v>2</v>
      </c>
      <c r="C828" s="429">
        <v>0</v>
      </c>
      <c r="D828" s="376" t="s">
        <v>519</v>
      </c>
      <c r="E828" s="112" t="s">
        <v>1425</v>
      </c>
      <c r="F828" s="115">
        <v>7702057715885</v>
      </c>
      <c r="G828">
        <f t="shared" si="43"/>
        <v>4500</v>
      </c>
      <c r="H828">
        <f t="shared" si="44"/>
        <v>1</v>
      </c>
      <c r="I828" t="str">
        <f t="shared" si="42"/>
        <v>METRONIDAZOL + NISTATINA OVULOS X10 MK</v>
      </c>
    </row>
    <row r="829" spans="1:9" ht="15">
      <c r="A829" s="117" t="s">
        <v>1741</v>
      </c>
      <c r="B829" s="37">
        <v>1</v>
      </c>
      <c r="C829" s="37">
        <v>0</v>
      </c>
      <c r="D829" s="376" t="s">
        <v>491</v>
      </c>
      <c r="E829" s="112" t="s">
        <v>1742</v>
      </c>
      <c r="F829" s="115">
        <v>7707232095615</v>
      </c>
      <c r="G829">
        <f t="shared" si="43"/>
        <v>24000</v>
      </c>
      <c r="H829">
        <f t="shared" si="44"/>
        <v>1</v>
      </c>
      <c r="I829" t="str">
        <f t="shared" si="42"/>
        <v>MIELTERTOS PROPOLEO JALEA</v>
      </c>
    </row>
    <row r="830" spans="1:9" ht="15">
      <c r="A830" s="117" t="s">
        <v>2120</v>
      </c>
      <c r="B830" s="37">
        <v>2</v>
      </c>
      <c r="C830" s="429">
        <v>0</v>
      </c>
      <c r="D830" s="376" t="s">
        <v>1240</v>
      </c>
      <c r="E830" s="112" t="s">
        <v>2121</v>
      </c>
      <c r="F830" s="115">
        <v>7708636936498</v>
      </c>
      <c r="G830">
        <f t="shared" si="43"/>
        <v>33000</v>
      </c>
      <c r="H830">
        <f t="shared" si="44"/>
        <v>1</v>
      </c>
      <c r="I830" t="str">
        <f t="shared" si="42"/>
        <v>LIDOCAINA INYECTABLE X20ML / 2%</v>
      </c>
    </row>
    <row r="831" spans="1:9" ht="15">
      <c r="A831" s="112" t="s">
        <v>2123</v>
      </c>
      <c r="B831" s="37">
        <v>3</v>
      </c>
      <c r="C831" s="429">
        <v>0</v>
      </c>
      <c r="D831" s="376" t="s">
        <v>85</v>
      </c>
      <c r="E831" s="112" t="s">
        <v>594</v>
      </c>
      <c r="F831" s="115">
        <v>7709930569450</v>
      </c>
      <c r="G831">
        <f t="shared" si="43"/>
        <v>11000</v>
      </c>
      <c r="H831">
        <f t="shared" si="44"/>
        <v>1</v>
      </c>
      <c r="I831" t="str">
        <f t="shared" si="42"/>
        <v>OXIMETAZOLINA 0,025% PEDIATRICAS - BUSINESS S.A.S</v>
      </c>
    </row>
    <row r="832" spans="1:9" ht="15">
      <c r="A832" s="76" t="s">
        <v>144</v>
      </c>
      <c r="B832" s="36">
        <v>5</v>
      </c>
      <c r="C832" s="164">
        <v>0</v>
      </c>
      <c r="D832" s="378" t="s">
        <v>145</v>
      </c>
      <c r="E832" s="76" t="s">
        <v>146</v>
      </c>
      <c r="F832" s="46">
        <v>7702605103294</v>
      </c>
      <c r="G832">
        <f t="shared" si="43"/>
        <v>23000</v>
      </c>
      <c r="H832">
        <f t="shared" si="44"/>
        <v>10</v>
      </c>
      <c r="I832" t="str">
        <f t="shared" si="42"/>
        <v>PENTOXIFILINA</v>
      </c>
    </row>
    <row r="833" spans="1:9" ht="15">
      <c r="A833" s="380" t="s">
        <v>2127</v>
      </c>
      <c r="B833" s="409">
        <v>31</v>
      </c>
      <c r="C833" s="515">
        <v>0</v>
      </c>
      <c r="D833" s="486" t="s">
        <v>366</v>
      </c>
      <c r="E833" s="92" t="s">
        <v>1853</v>
      </c>
      <c r="F833" s="490">
        <v>7707141349304</v>
      </c>
      <c r="G833">
        <f t="shared" si="43"/>
        <v>5000</v>
      </c>
      <c r="H833">
        <f t="shared" si="44"/>
        <v>1</v>
      </c>
      <c r="I833" t="str">
        <f t="shared" si="42"/>
        <v>BAXTER 0,9% / SOLUCION SALINA - CLORURO DE SODIO X500ML AL 0,9%</v>
      </c>
    </row>
    <row r="834" spans="1:9" ht="15">
      <c r="A834" s="76" t="s">
        <v>2128</v>
      </c>
      <c r="B834" s="36">
        <v>3</v>
      </c>
      <c r="C834" s="164">
        <v>0</v>
      </c>
      <c r="D834" s="378" t="s">
        <v>118</v>
      </c>
      <c r="E834" s="74" t="s">
        <v>75</v>
      </c>
      <c r="F834" s="46">
        <v>7707019345995</v>
      </c>
      <c r="G834">
        <f t="shared" si="43"/>
        <v>13000</v>
      </c>
      <c r="H834">
        <f t="shared" si="44"/>
        <v>1</v>
      </c>
      <c r="I834" t="str">
        <f t="shared" si="42"/>
        <v>AVALPRIC - ACIDO VALPROICO SUSP</v>
      </c>
    </row>
    <row r="835" spans="1:9" ht="15">
      <c r="A835" s="117" t="s">
        <v>752</v>
      </c>
      <c r="B835" s="37">
        <v>3</v>
      </c>
      <c r="C835" s="37">
        <v>0</v>
      </c>
      <c r="D835" s="376" t="s">
        <v>427</v>
      </c>
      <c r="E835" s="112" t="s">
        <v>653</v>
      </c>
      <c r="F835" s="115">
        <v>7707019385175</v>
      </c>
      <c r="G835">
        <f t="shared" si="43"/>
        <v>2500</v>
      </c>
      <c r="H835">
        <f t="shared" si="44"/>
        <v>10</v>
      </c>
      <c r="I835" t="str">
        <f t="shared" ref="I835:I898" si="45">TRIM(A835)</f>
        <v>ACIDO ACETILSALISCILICO 100MG / VIOL-DOL</v>
      </c>
    </row>
    <row r="836" spans="1:9" ht="15">
      <c r="A836" s="73" t="s">
        <v>2132</v>
      </c>
      <c r="B836" s="17">
        <v>1</v>
      </c>
      <c r="C836" s="124">
        <v>0.19</v>
      </c>
      <c r="D836" s="321" t="s">
        <v>2133</v>
      </c>
      <c r="E836" s="73" t="s">
        <v>2134</v>
      </c>
      <c r="F836" s="20">
        <v>7702132001001</v>
      </c>
      <c r="G836">
        <f t="shared" si="43"/>
        <v>59500</v>
      </c>
      <c r="H836">
        <f t="shared" si="44"/>
        <v>30</v>
      </c>
      <c r="I836" t="str">
        <f t="shared" si="45"/>
        <v>CENTRUM SILVER WOMEN +50 X30</v>
      </c>
    </row>
    <row r="837" spans="1:9" ht="15">
      <c r="A837" s="112" t="s">
        <v>67</v>
      </c>
      <c r="B837" s="162">
        <v>1</v>
      </c>
      <c r="C837" s="324">
        <v>0</v>
      </c>
      <c r="D837" s="376" t="s">
        <v>458</v>
      </c>
      <c r="E837" s="112" t="s">
        <v>69</v>
      </c>
      <c r="F837" s="472">
        <v>7803510773319</v>
      </c>
      <c r="G837">
        <f t="shared" si="43"/>
        <v>35000</v>
      </c>
      <c r="H837">
        <f t="shared" si="44"/>
        <v>1</v>
      </c>
      <c r="I837" t="str">
        <f t="shared" si="45"/>
        <v>CIRUELAX JALEA *150GR</v>
      </c>
    </row>
    <row r="838" spans="1:9" ht="15">
      <c r="A838" s="76" t="s">
        <v>2135</v>
      </c>
      <c r="B838" s="36">
        <v>5</v>
      </c>
      <c r="C838" s="164">
        <v>0</v>
      </c>
      <c r="D838" s="378" t="s">
        <v>32</v>
      </c>
      <c r="E838" s="74" t="s">
        <v>75</v>
      </c>
      <c r="F838" s="46">
        <v>7707035511077</v>
      </c>
      <c r="G838">
        <f t="shared" si="43"/>
        <v>12000</v>
      </c>
      <c r="H838">
        <f t="shared" si="44"/>
        <v>1</v>
      </c>
      <c r="I838" t="str">
        <f t="shared" si="45"/>
        <v>MUCOTROP NIÑOS / BROMHEXINA CLORHIDRATO</v>
      </c>
    </row>
    <row r="839" spans="1:9" ht="15">
      <c r="A839" s="74" t="s">
        <v>350</v>
      </c>
      <c r="B839" s="36">
        <v>2</v>
      </c>
      <c r="C839" s="164">
        <v>0</v>
      </c>
      <c r="D839" s="378" t="s">
        <v>318</v>
      </c>
      <c r="E839" s="74" t="s">
        <v>351</v>
      </c>
      <c r="F839" s="46">
        <v>7707035560037</v>
      </c>
      <c r="G839">
        <f t="shared" si="43"/>
        <v>8500</v>
      </c>
      <c r="H839">
        <f t="shared" si="44"/>
        <v>1</v>
      </c>
      <c r="I839" t="str">
        <f t="shared" si="45"/>
        <v>VENCEDOR - MATA CALLOS</v>
      </c>
    </row>
    <row r="840" spans="1:9" ht="15">
      <c r="A840" s="117" t="s">
        <v>1127</v>
      </c>
      <c r="B840" s="37">
        <v>3</v>
      </c>
      <c r="C840" s="37">
        <v>0</v>
      </c>
      <c r="D840" s="376" t="s">
        <v>527</v>
      </c>
      <c r="E840" s="117" t="s">
        <v>228</v>
      </c>
      <c r="F840" s="115">
        <v>8903726322109</v>
      </c>
      <c r="G840">
        <f t="shared" si="43"/>
        <v>11000</v>
      </c>
      <c r="H840">
        <f t="shared" si="44"/>
        <v>10</v>
      </c>
      <c r="I840" t="str">
        <f t="shared" si="45"/>
        <v>ACICLOVIR 800MG TABLETAS - ALVIRET 800MG</v>
      </c>
    </row>
    <row r="841" spans="1:9" ht="15">
      <c r="A841" s="73" t="s">
        <v>2138</v>
      </c>
      <c r="B841" s="17">
        <v>3</v>
      </c>
      <c r="C841" s="124">
        <v>0</v>
      </c>
      <c r="D841" s="321" t="s">
        <v>2139</v>
      </c>
      <c r="E841" s="73" t="s">
        <v>2140</v>
      </c>
      <c r="F841" s="20">
        <v>7707274721183</v>
      </c>
      <c r="G841">
        <f t="shared" si="43"/>
        <v>38000</v>
      </c>
      <c r="H841">
        <f t="shared" si="44"/>
        <v>1</v>
      </c>
      <c r="I841" t="str">
        <f t="shared" si="45"/>
        <v>BECLOMETASONA BUCAL 50MCG- ECLOSYNT</v>
      </c>
    </row>
    <row r="842" spans="1:9" ht="15">
      <c r="A842" s="74" t="s">
        <v>2141</v>
      </c>
      <c r="B842" s="36">
        <v>2</v>
      </c>
      <c r="C842" s="164">
        <v>0.19</v>
      </c>
      <c r="D842" s="378" t="s">
        <v>2142</v>
      </c>
      <c r="E842" s="76" t="s">
        <v>2143</v>
      </c>
      <c r="F842" s="46">
        <v>7702027440243</v>
      </c>
      <c r="G842">
        <f t="shared" si="43"/>
        <v>32000</v>
      </c>
      <c r="H842">
        <f t="shared" si="44"/>
        <v>80</v>
      </c>
      <c r="I842" t="str">
        <f t="shared" si="45"/>
        <v>PROTECTORES DE LACTANCIA NOSOTRAS 40+40</v>
      </c>
    </row>
    <row r="843" spans="1:9" ht="15">
      <c r="A843" s="73" t="s">
        <v>449</v>
      </c>
      <c r="B843" s="17">
        <v>3</v>
      </c>
      <c r="C843" s="509">
        <v>0</v>
      </c>
      <c r="D843" s="321" t="s">
        <v>676</v>
      </c>
      <c r="E843" s="73" t="s">
        <v>451</v>
      </c>
      <c r="F843" s="20">
        <v>7702814107564</v>
      </c>
      <c r="G843">
        <f t="shared" si="43"/>
        <v>21000</v>
      </c>
      <c r="H843">
        <f t="shared" si="44"/>
        <v>1</v>
      </c>
      <c r="I843" t="str">
        <f t="shared" si="45"/>
        <v>PYRALVEX/ EXTRACTO RUIBARBO + ACIDO SALICILICO</v>
      </c>
    </row>
    <row r="844" spans="1:9" ht="15">
      <c r="A844" s="74" t="s">
        <v>2148</v>
      </c>
      <c r="B844" s="36">
        <v>3</v>
      </c>
      <c r="C844" s="164">
        <v>0.19</v>
      </c>
      <c r="D844" s="378" t="s">
        <v>80</v>
      </c>
      <c r="E844" s="74" t="s">
        <v>2147</v>
      </c>
      <c r="F844" s="46">
        <v>7702006206808</v>
      </c>
      <c r="G844">
        <f t="shared" si="43"/>
        <v>6000</v>
      </c>
      <c r="H844">
        <f t="shared" si="44"/>
        <v>1</v>
      </c>
      <c r="I844" t="str">
        <f t="shared" si="45"/>
        <v>DESOSODRANTE REXONA CLINICAL *30GR HOMBRE AZUL CLEAN</v>
      </c>
    </row>
    <row r="845" spans="1:9" ht="15">
      <c r="A845" s="73" t="s">
        <v>514</v>
      </c>
      <c r="B845" s="17">
        <v>1</v>
      </c>
      <c r="C845" s="124">
        <v>0</v>
      </c>
      <c r="D845" s="321" t="s">
        <v>2149</v>
      </c>
      <c r="E845" s="73" t="s">
        <v>516</v>
      </c>
      <c r="F845" s="20">
        <v>7703202221282</v>
      </c>
      <c r="G845">
        <f t="shared" si="43"/>
        <v>3200</v>
      </c>
      <c r="H845">
        <f t="shared" si="44"/>
        <v>1</v>
      </c>
      <c r="I845" t="str">
        <f t="shared" si="45"/>
        <v>BUSCAPINA FEM *90</v>
      </c>
    </row>
    <row r="846" spans="1:9" ht="15">
      <c r="A846" s="112" t="s">
        <v>2150</v>
      </c>
      <c r="B846" s="37">
        <v>2</v>
      </c>
      <c r="C846" s="429">
        <v>0</v>
      </c>
      <c r="D846" s="376" t="s">
        <v>2151</v>
      </c>
      <c r="E846" s="112" t="s">
        <v>2152</v>
      </c>
      <c r="F846" s="115">
        <v>7704412100527</v>
      </c>
      <c r="G846">
        <f t="shared" si="43"/>
        <v>16000</v>
      </c>
      <c r="H846">
        <f t="shared" si="44"/>
        <v>4</v>
      </c>
      <c r="I846" t="str">
        <f t="shared" si="45"/>
        <v>ALENDRONATO 70MG - MEMPHIS</v>
      </c>
    </row>
    <row r="847" spans="1:9" ht="15">
      <c r="A847" s="117" t="s">
        <v>2153</v>
      </c>
      <c r="B847" s="37">
        <v>3</v>
      </c>
      <c r="C847" s="429">
        <v>0.19</v>
      </c>
      <c r="D847" s="376" t="s">
        <v>2154</v>
      </c>
      <c r="E847" s="117" t="s">
        <v>2155</v>
      </c>
      <c r="F847" s="115">
        <v>7702026147624</v>
      </c>
      <c r="G847">
        <f t="shared" si="43"/>
        <v>10000</v>
      </c>
      <c r="H847">
        <f t="shared" si="44"/>
        <v>70</v>
      </c>
      <c r="I847" t="str">
        <f t="shared" si="45"/>
        <v>PEQUEÑIN PAÑITOS HUMEDOS X70 - ALMENDRAS</v>
      </c>
    </row>
    <row r="848" spans="1:9" ht="15">
      <c r="A848" s="76" t="s">
        <v>905</v>
      </c>
      <c r="B848" s="36">
        <v>2</v>
      </c>
      <c r="C848" s="164">
        <v>0</v>
      </c>
      <c r="D848" s="378" t="s">
        <v>85</v>
      </c>
      <c r="E848" s="76" t="s">
        <v>906</v>
      </c>
      <c r="F848" s="46">
        <v>7706569021014</v>
      </c>
      <c r="G848">
        <f t="shared" si="43"/>
        <v>11000</v>
      </c>
      <c r="H848">
        <f t="shared" si="44"/>
        <v>1</v>
      </c>
      <c r="I848" t="str">
        <f t="shared" si="45"/>
        <v>CLOBETASOL PROPIONATO - AG X40GR</v>
      </c>
    </row>
    <row r="849" spans="1:9" ht="15">
      <c r="A849" s="74" t="s">
        <v>2157</v>
      </c>
      <c r="B849" s="36">
        <v>8</v>
      </c>
      <c r="C849" s="164">
        <v>0</v>
      </c>
      <c r="D849" s="378" t="s">
        <v>491</v>
      </c>
      <c r="E849" s="76" t="s">
        <v>75</v>
      </c>
      <c r="F849" s="46">
        <v>7707019350227</v>
      </c>
      <c r="G849">
        <f t="shared" si="43"/>
        <v>24000</v>
      </c>
      <c r="H849">
        <f t="shared" si="44"/>
        <v>1</v>
      </c>
      <c r="I849" t="str">
        <f t="shared" si="45"/>
        <v>BRONSINEX / AMBROXOL + CLENBUTEROL</v>
      </c>
    </row>
    <row r="850" spans="1:9" ht="15">
      <c r="A850" s="195" t="s">
        <v>2158</v>
      </c>
      <c r="B850" s="197">
        <v>2</v>
      </c>
      <c r="C850" s="198">
        <v>0</v>
      </c>
      <c r="D850" s="382" t="s">
        <v>1366</v>
      </c>
      <c r="E850" s="195" t="s">
        <v>174</v>
      </c>
      <c r="F850" s="420">
        <v>7709990383638</v>
      </c>
      <c r="G850">
        <f t="shared" si="43"/>
        <v>19000</v>
      </c>
      <c r="H850">
        <f t="shared" si="44"/>
        <v>1</v>
      </c>
      <c r="I850" t="str">
        <f t="shared" si="45"/>
        <v>NECLOBET *40GR</v>
      </c>
    </row>
    <row r="851" spans="1:9" ht="15">
      <c r="A851" s="112" t="s">
        <v>2159</v>
      </c>
      <c r="B851" s="37">
        <v>2</v>
      </c>
      <c r="C851" s="423">
        <v>0</v>
      </c>
      <c r="D851" s="376" t="s">
        <v>85</v>
      </c>
      <c r="E851" s="112" t="s">
        <v>2160</v>
      </c>
      <c r="F851" s="115">
        <v>7704412118966</v>
      </c>
      <c r="G851">
        <f t="shared" si="43"/>
        <v>11000</v>
      </c>
      <c r="H851">
        <f t="shared" si="44"/>
        <v>1</v>
      </c>
      <c r="I851" t="str">
        <f t="shared" si="45"/>
        <v>CIPROFLOXACINO GOTAS MEMPHIS</v>
      </c>
    </row>
    <row r="852" spans="1:9" ht="15">
      <c r="A852" s="96" t="s">
        <v>777</v>
      </c>
      <c r="B852" s="153">
        <v>1</v>
      </c>
      <c r="C852" s="55">
        <v>0.19</v>
      </c>
      <c r="D852" s="375" t="s">
        <v>702</v>
      </c>
      <c r="E852" s="152" t="s">
        <v>583</v>
      </c>
      <c r="F852" s="155">
        <v>650240036965</v>
      </c>
      <c r="G852">
        <f t="shared" si="43"/>
        <v>15000</v>
      </c>
      <c r="H852">
        <f t="shared" si="44"/>
        <v>1</v>
      </c>
      <c r="I852" t="str">
        <f t="shared" si="45"/>
        <v>ASEPXIA BICARBONATO</v>
      </c>
    </row>
    <row r="853" spans="1:9" ht="15">
      <c r="A853" s="117" t="s">
        <v>2162</v>
      </c>
      <c r="B853" s="37">
        <v>1</v>
      </c>
      <c r="C853" s="429">
        <v>0.19</v>
      </c>
      <c r="D853" s="376" t="s">
        <v>2163</v>
      </c>
      <c r="E853" s="112" t="s">
        <v>1083</v>
      </c>
      <c r="F853" s="115">
        <v>7702277960881</v>
      </c>
      <c r="G853">
        <f t="shared" si="43"/>
        <v>19000</v>
      </c>
      <c r="H853">
        <f t="shared" si="44"/>
        <v>1</v>
      </c>
      <c r="I853" t="str">
        <f t="shared" si="45"/>
        <v>MENTICOL FRESH AZUL X250ML</v>
      </c>
    </row>
    <row r="854" spans="1:9" ht="15">
      <c r="A854" s="117" t="s">
        <v>2164</v>
      </c>
      <c r="B854" s="37">
        <v>2</v>
      </c>
      <c r="C854" s="429">
        <v>0</v>
      </c>
      <c r="D854" s="376" t="s">
        <v>23</v>
      </c>
      <c r="E854" s="112" t="s">
        <v>2160</v>
      </c>
      <c r="F854" s="115">
        <v>7707236127657</v>
      </c>
      <c r="G854">
        <f t="shared" si="43"/>
        <v>15000</v>
      </c>
      <c r="H854">
        <f t="shared" si="44"/>
        <v>1</v>
      </c>
      <c r="I854" t="str">
        <f t="shared" si="45"/>
        <v>TOBRAVISION- TOBRAMICIINA- VITALIS</v>
      </c>
    </row>
    <row r="855" spans="1:9" ht="15">
      <c r="A855" s="73" t="s">
        <v>2166</v>
      </c>
      <c r="B855" s="17">
        <v>1</v>
      </c>
      <c r="C855" s="124">
        <v>0</v>
      </c>
      <c r="D855" s="321" t="s">
        <v>603</v>
      </c>
      <c r="E855" s="73" t="s">
        <v>2167</v>
      </c>
      <c r="F855" s="20">
        <v>7703153020330</v>
      </c>
      <c r="G855">
        <f t="shared" si="43"/>
        <v>17000</v>
      </c>
      <c r="H855">
        <f t="shared" si="44"/>
        <v>10</v>
      </c>
      <c r="I855" t="str">
        <f t="shared" si="45"/>
        <v>ORLISTAT *30 CAPS- COLMED</v>
      </c>
    </row>
    <row r="856" spans="1:9" ht="15">
      <c r="A856" s="117" t="s">
        <v>2168</v>
      </c>
      <c r="B856" s="37">
        <v>8</v>
      </c>
      <c r="C856" s="37">
        <v>0</v>
      </c>
      <c r="D856" s="376" t="s">
        <v>74</v>
      </c>
      <c r="E856" s="112" t="s">
        <v>2169</v>
      </c>
      <c r="F856" s="115">
        <v>7709870535164</v>
      </c>
      <c r="G856">
        <f t="shared" si="43"/>
        <v>20000</v>
      </c>
      <c r="H856">
        <f t="shared" si="44"/>
        <v>1</v>
      </c>
      <c r="I856" t="str">
        <f t="shared" si="45"/>
        <v>BRONCOMIEL / HEDERA HELIX + PORPOLEO SUSP</v>
      </c>
    </row>
    <row r="857" spans="1:9" ht="15">
      <c r="A857" s="73" t="s">
        <v>2170</v>
      </c>
      <c r="B857" s="17">
        <v>3</v>
      </c>
      <c r="C857" s="124">
        <v>0</v>
      </c>
      <c r="D857" s="321" t="s">
        <v>59</v>
      </c>
      <c r="E857" s="32" t="s">
        <v>2171</v>
      </c>
      <c r="F857" s="20">
        <v>7707232095769</v>
      </c>
      <c r="G857">
        <f t="shared" si="43"/>
        <v>3000</v>
      </c>
      <c r="H857">
        <f t="shared" si="44"/>
        <v>1</v>
      </c>
      <c r="I857" t="str">
        <f t="shared" si="45"/>
        <v>MIELTERTOS LYPTUS *12 SOBRES</v>
      </c>
    </row>
    <row r="858" spans="1:9" ht="15">
      <c r="A858" s="73" t="s">
        <v>2172</v>
      </c>
      <c r="B858" s="17">
        <v>2</v>
      </c>
      <c r="C858" s="124">
        <v>0</v>
      </c>
      <c r="D858" s="321" t="s">
        <v>56</v>
      </c>
      <c r="E858" s="32" t="s">
        <v>2173</v>
      </c>
      <c r="F858" s="20">
        <v>7709402351125</v>
      </c>
      <c r="G858">
        <f t="shared" si="43"/>
        <v>28000</v>
      </c>
      <c r="H858">
        <f t="shared" si="44"/>
        <v>1</v>
      </c>
      <c r="I858" t="str">
        <f t="shared" si="45"/>
        <v>LYPTUS SPRAY 120ML / TOMILLO+HEDERA HELIX+JENGIBRE+PROPOLEO</v>
      </c>
    </row>
    <row r="859" spans="1:9" ht="15">
      <c r="A859" s="73" t="s">
        <v>2176</v>
      </c>
      <c r="B859" s="17">
        <v>1</v>
      </c>
      <c r="C859" s="509">
        <v>0</v>
      </c>
      <c r="D859" s="321" t="s">
        <v>759</v>
      </c>
      <c r="E859" s="73" t="s">
        <v>2177</v>
      </c>
      <c r="F859" s="20">
        <v>7861073971580</v>
      </c>
      <c r="G859">
        <f t="shared" si="43"/>
        <v>43000</v>
      </c>
      <c r="H859">
        <f t="shared" si="44"/>
        <v>1</v>
      </c>
      <c r="I859" t="str">
        <f t="shared" si="45"/>
        <v>COLLOPLUS</v>
      </c>
    </row>
    <row r="860" spans="1:9" ht="15">
      <c r="A860" s="117" t="s">
        <v>629</v>
      </c>
      <c r="B860" s="37">
        <v>6</v>
      </c>
      <c r="C860" s="37">
        <v>0</v>
      </c>
      <c r="D860" s="376" t="s">
        <v>38</v>
      </c>
      <c r="E860" s="112" t="s">
        <v>630</v>
      </c>
      <c r="F860" s="115">
        <v>7702057075101</v>
      </c>
      <c r="G860">
        <f t="shared" si="43"/>
        <v>9000</v>
      </c>
      <c r="H860">
        <f t="shared" si="44"/>
        <v>1</v>
      </c>
      <c r="I860" t="str">
        <f t="shared" si="45"/>
        <v>ALCOHOL 70% MK X700ML</v>
      </c>
    </row>
    <row r="861" spans="1:9" ht="15">
      <c r="A861" s="117" t="s">
        <v>939</v>
      </c>
      <c r="B861" s="37">
        <v>1</v>
      </c>
      <c r="C861" s="429">
        <v>0</v>
      </c>
      <c r="D861" s="376" t="s">
        <v>940</v>
      </c>
      <c r="E861" s="117" t="s">
        <v>182</v>
      </c>
      <c r="F861" s="115">
        <v>7707367050985</v>
      </c>
      <c r="G861">
        <f t="shared" si="43"/>
        <v>40000</v>
      </c>
      <c r="H861">
        <f t="shared" si="44"/>
        <v>10</v>
      </c>
      <c r="I861" t="str">
        <f t="shared" si="45"/>
        <v>NODOL PLUS X10 / ACETAMINOFEN 325MG- + HIDROCODONA 5MG</v>
      </c>
    </row>
    <row r="862" spans="1:9" ht="15">
      <c r="A862" s="32" t="s">
        <v>2181</v>
      </c>
      <c r="B862" s="17">
        <v>7</v>
      </c>
      <c r="C862" s="124">
        <v>0</v>
      </c>
      <c r="D862" s="321" t="s">
        <v>23</v>
      </c>
      <c r="E862" s="73" t="s">
        <v>2182</v>
      </c>
      <c r="F862" s="115">
        <v>7702896001170</v>
      </c>
      <c r="G862">
        <f t="shared" si="43"/>
        <v>15000</v>
      </c>
      <c r="H862">
        <f t="shared" si="44"/>
        <v>1</v>
      </c>
      <c r="I862" t="str">
        <f t="shared" si="45"/>
        <v>POLIOFTAL GOTAS / POLIMIXINA DEXAMETASONA NEOMICINA</v>
      </c>
    </row>
    <row r="863" spans="1:9" ht="15">
      <c r="A863" s="117" t="s">
        <v>657</v>
      </c>
      <c r="B863" s="37">
        <v>3</v>
      </c>
      <c r="C863" s="37">
        <v>0</v>
      </c>
      <c r="D863" s="376" t="s">
        <v>85</v>
      </c>
      <c r="E863" s="117" t="s">
        <v>658</v>
      </c>
      <c r="F863" s="115">
        <v>7707188720036</v>
      </c>
      <c r="G863">
        <f t="shared" ref="G863:G926" si="46">IFERROR(VALUE(SUBSTITUTE(LEFT(LOWER(D863),FIND("x",LOWER(D863))-1),",","")),VALUE(SUBSTITUTE(D863,",","")))</f>
        <v>11000</v>
      </c>
      <c r="H863">
        <f t="shared" ref="H863:H926" si="47">IFERROR(VALUE(MID(LOWER(D863),FIND("x",LOWER(D863))+1,20)),1)</f>
        <v>1</v>
      </c>
      <c r="I863" t="str">
        <f t="shared" si="45"/>
        <v>VALERIANA GOTAS X60ML - KEMI</v>
      </c>
    </row>
    <row r="864" spans="1:9" ht="15">
      <c r="A864" s="74" t="s">
        <v>436</v>
      </c>
      <c r="B864" s="36">
        <v>1</v>
      </c>
      <c r="C864" s="164">
        <v>0</v>
      </c>
      <c r="D864" s="378" t="s">
        <v>437</v>
      </c>
      <c r="E864" s="76" t="s">
        <v>438</v>
      </c>
      <c r="F864" s="77">
        <v>4104480705151</v>
      </c>
      <c r="G864">
        <f t="shared" si="46"/>
        <v>46000</v>
      </c>
      <c r="H864">
        <f t="shared" si="47"/>
        <v>1</v>
      </c>
      <c r="I864" t="str">
        <f t="shared" si="45"/>
        <v>ABRILAR JARABE EA 575 x100ml</v>
      </c>
    </row>
    <row r="865" spans="1:9" ht="15">
      <c r="A865" s="117" t="s">
        <v>2183</v>
      </c>
      <c r="B865" s="37">
        <v>1</v>
      </c>
      <c r="C865" s="429">
        <v>0.19</v>
      </c>
      <c r="D865" s="376" t="s">
        <v>384</v>
      </c>
      <c r="E865" s="112" t="s">
        <v>2184</v>
      </c>
      <c r="F865" s="115">
        <v>7707330053128</v>
      </c>
      <c r="G865">
        <f t="shared" si="46"/>
        <v>1000</v>
      </c>
      <c r="H865">
        <f t="shared" si="47"/>
        <v>1</v>
      </c>
      <c r="I865" t="str">
        <f t="shared" si="45"/>
        <v>ALCANFOR POTE X60 UNDS - REFINADO</v>
      </c>
    </row>
    <row r="866" spans="1:9" ht="15">
      <c r="A866" s="112" t="s">
        <v>2185</v>
      </c>
      <c r="B866" s="37">
        <v>1</v>
      </c>
      <c r="C866" s="429">
        <v>0</v>
      </c>
      <c r="D866" s="376" t="s">
        <v>250</v>
      </c>
      <c r="E866" s="112" t="s">
        <v>2186</v>
      </c>
      <c r="F866" s="115">
        <v>7702605111688</v>
      </c>
      <c r="G866">
        <f t="shared" si="46"/>
        <v>3500</v>
      </c>
      <c r="H866">
        <f t="shared" si="47"/>
        <v>1</v>
      </c>
      <c r="I866" t="str">
        <f t="shared" si="45"/>
        <v>CICLOBENZAPRINA CLORHIDRATO 10MG - GENFAR X15</v>
      </c>
    </row>
    <row r="867" spans="1:9" ht="30">
      <c r="A867" s="117" t="s">
        <v>1474</v>
      </c>
      <c r="B867" s="37">
        <v>1</v>
      </c>
      <c r="C867" s="37">
        <v>0</v>
      </c>
      <c r="D867" s="376" t="s">
        <v>7</v>
      </c>
      <c r="E867" s="112" t="s">
        <v>1475</v>
      </c>
      <c r="F867" s="115">
        <v>7707229979799</v>
      </c>
      <c r="G867">
        <f t="shared" si="46"/>
        <v>7000</v>
      </c>
      <c r="H867">
        <f t="shared" si="47"/>
        <v>1</v>
      </c>
      <c r="I867" t="str">
        <f t="shared" si="45"/>
        <v>DIOSMETITA 3GR - BIOFLUIDOS X10</v>
      </c>
    </row>
    <row r="868" spans="1:9" ht="15">
      <c r="A868" s="117" t="s">
        <v>2187</v>
      </c>
      <c r="B868" s="37">
        <v>2</v>
      </c>
      <c r="C868" s="429">
        <v>0.19</v>
      </c>
      <c r="D868" s="376" t="s">
        <v>2188</v>
      </c>
      <c r="E868" s="117" t="s">
        <v>2189</v>
      </c>
      <c r="F868" s="115">
        <v>8411135009622</v>
      </c>
      <c r="G868">
        <f t="shared" si="46"/>
        <v>27000</v>
      </c>
      <c r="H868">
        <f t="shared" si="47"/>
        <v>1</v>
      </c>
      <c r="I868" t="str">
        <f t="shared" si="45"/>
        <v>LACTOVIT / LACTOUREA JABÓN - GEL DE BAÑO X600ML</v>
      </c>
    </row>
    <row r="869" spans="1:9" ht="15">
      <c r="A869" s="32" t="s">
        <v>1140</v>
      </c>
      <c r="B869" s="17">
        <v>1</v>
      </c>
      <c r="C869" s="124">
        <v>0</v>
      </c>
      <c r="D869" s="321" t="s">
        <v>427</v>
      </c>
      <c r="E869" s="73" t="s">
        <v>104</v>
      </c>
      <c r="F869" s="20">
        <v>7703038050445</v>
      </c>
      <c r="G869">
        <f t="shared" si="46"/>
        <v>2500</v>
      </c>
      <c r="H869">
        <f t="shared" si="47"/>
        <v>10</v>
      </c>
      <c r="I869" t="str">
        <f t="shared" si="45"/>
        <v>NAPROXENO 250MG- LAPROFF</v>
      </c>
    </row>
    <row r="870" spans="1:9" ht="15">
      <c r="A870" s="200" t="s">
        <v>607</v>
      </c>
      <c r="B870" s="197">
        <v>1</v>
      </c>
      <c r="C870" s="198">
        <v>0</v>
      </c>
      <c r="D870" s="382" t="s">
        <v>608</v>
      </c>
      <c r="E870" s="195" t="s">
        <v>609</v>
      </c>
      <c r="F870" s="420">
        <v>7702123001423</v>
      </c>
      <c r="G870">
        <f t="shared" si="46"/>
        <v>1500</v>
      </c>
      <c r="H870">
        <f t="shared" si="47"/>
        <v>1</v>
      </c>
      <c r="I870" t="str">
        <f t="shared" si="45"/>
        <v>DOMEBORO X25</v>
      </c>
    </row>
    <row r="871" spans="1:9" ht="15">
      <c r="A871" s="195" t="s">
        <v>1004</v>
      </c>
      <c r="B871" s="197">
        <v>1</v>
      </c>
      <c r="C871" s="124">
        <v>0</v>
      </c>
      <c r="D871" s="321" t="s">
        <v>227</v>
      </c>
      <c r="E871" s="195" t="s">
        <v>1005</v>
      </c>
      <c r="F871" s="420">
        <v>7703153004361</v>
      </c>
      <c r="G871">
        <f t="shared" si="46"/>
        <v>8000</v>
      </c>
      <c r="H871">
        <f t="shared" si="47"/>
        <v>10</v>
      </c>
      <c r="I871" t="str">
        <f t="shared" si="45"/>
        <v>METRONIDAZOL OVULOS CAJA X200- COLMED (X10)</v>
      </c>
    </row>
    <row r="872" spans="1:9" ht="15">
      <c r="A872" s="117" t="s">
        <v>2191</v>
      </c>
      <c r="B872" s="37">
        <v>1</v>
      </c>
      <c r="C872" s="429">
        <v>0.19</v>
      </c>
      <c r="D872" s="376" t="s">
        <v>276</v>
      </c>
      <c r="E872" s="112" t="s">
        <v>2192</v>
      </c>
      <c r="F872" s="115">
        <v>8411135009615</v>
      </c>
      <c r="G872">
        <f t="shared" si="46"/>
        <v>22000</v>
      </c>
      <c r="H872">
        <f t="shared" si="47"/>
        <v>1</v>
      </c>
      <c r="I872" t="str">
        <f t="shared" si="45"/>
        <v>LACTOVIT / LACTOUREA JABÓN - GEL DE BAÑO X300ML</v>
      </c>
    </row>
    <row r="873" spans="1:9" ht="15">
      <c r="A873" s="117" t="s">
        <v>1088</v>
      </c>
      <c r="B873" s="37">
        <v>3</v>
      </c>
      <c r="C873" s="429">
        <v>0.19</v>
      </c>
      <c r="D873" s="376" t="s">
        <v>80</v>
      </c>
      <c r="E873" s="117" t="s">
        <v>1089</v>
      </c>
      <c r="F873" s="115">
        <v>7707271201107</v>
      </c>
      <c r="G873">
        <f t="shared" si="46"/>
        <v>6000</v>
      </c>
      <c r="H873">
        <f t="shared" si="47"/>
        <v>1</v>
      </c>
      <c r="I873" t="str">
        <f t="shared" si="45"/>
        <v>ACEITE RICINO X60 CC- YOMA</v>
      </c>
    </row>
    <row r="874" spans="1:9" ht="15">
      <c r="A874" s="112" t="s">
        <v>2193</v>
      </c>
      <c r="B874" s="37">
        <v>6</v>
      </c>
      <c r="C874" s="423">
        <v>0.19</v>
      </c>
      <c r="D874" s="376" t="s">
        <v>697</v>
      </c>
      <c r="E874" s="112" t="s">
        <v>2194</v>
      </c>
      <c r="F874" s="115">
        <v>7707271201114</v>
      </c>
      <c r="G874">
        <f t="shared" si="46"/>
        <v>2500</v>
      </c>
      <c r="H874">
        <f t="shared" si="47"/>
        <v>1</v>
      </c>
      <c r="I874" t="str">
        <f t="shared" si="45"/>
        <v>ACEITE DE RICINO 25CC</v>
      </c>
    </row>
    <row r="875" spans="1:9" ht="15">
      <c r="A875" s="117" t="s">
        <v>2195</v>
      </c>
      <c r="B875" s="37">
        <v>30</v>
      </c>
      <c r="C875" s="37">
        <v>0</v>
      </c>
      <c r="D875" s="376" t="s">
        <v>298</v>
      </c>
      <c r="E875" s="112" t="s">
        <v>2196</v>
      </c>
      <c r="F875" s="115">
        <v>7707233050804</v>
      </c>
      <c r="G875">
        <f t="shared" si="46"/>
        <v>800</v>
      </c>
      <c r="H875">
        <f t="shared" si="47"/>
        <v>1</v>
      </c>
      <c r="I875" t="str">
        <f t="shared" si="45"/>
        <v>CROPOLÓGICO PAQUETE</v>
      </c>
    </row>
    <row r="876" spans="1:9" ht="15">
      <c r="A876" s="117" t="s">
        <v>2199</v>
      </c>
      <c r="B876" s="37">
        <v>1</v>
      </c>
      <c r="C876" s="37">
        <v>0</v>
      </c>
      <c r="D876" s="376" t="s">
        <v>2200</v>
      </c>
      <c r="E876" s="112" t="s">
        <v>2201</v>
      </c>
      <c r="F876" s="115">
        <v>7707355058290</v>
      </c>
      <c r="G876">
        <f t="shared" si="46"/>
        <v>38000</v>
      </c>
      <c r="H876">
        <f t="shared" si="47"/>
        <v>1</v>
      </c>
      <c r="I876" t="str">
        <f t="shared" si="45"/>
        <v>NOXPIRIN GARGANTA X120ML SPRAY</v>
      </c>
    </row>
    <row r="877" spans="1:9" ht="15">
      <c r="A877" s="76" t="s">
        <v>1953</v>
      </c>
      <c r="B877" s="36">
        <v>8</v>
      </c>
      <c r="C877" s="36">
        <v>0</v>
      </c>
      <c r="D877" s="378" t="s">
        <v>91</v>
      </c>
      <c r="E877" s="76" t="s">
        <v>936</v>
      </c>
      <c r="F877" s="46">
        <v>7707236128517</v>
      </c>
      <c r="G877">
        <f t="shared" si="46"/>
        <v>16000</v>
      </c>
      <c r="H877">
        <f t="shared" si="47"/>
        <v>1</v>
      </c>
      <c r="I877" t="str">
        <f t="shared" si="45"/>
        <v>VITATRIOL *5ML</v>
      </c>
    </row>
    <row r="878" spans="1:9" ht="15">
      <c r="A878" s="76" t="s">
        <v>858</v>
      </c>
      <c r="B878" s="36">
        <v>1</v>
      </c>
      <c r="C878" s="164">
        <v>0</v>
      </c>
      <c r="D878" s="378" t="s">
        <v>859</v>
      </c>
      <c r="E878" s="74" t="s">
        <v>860</v>
      </c>
      <c r="F878" s="46">
        <v>7702026181956</v>
      </c>
      <c r="G878">
        <f t="shared" si="46"/>
        <v>64500</v>
      </c>
      <c r="H878">
        <f t="shared" si="47"/>
        <v>16</v>
      </c>
      <c r="I878" t="str">
        <f t="shared" si="45"/>
        <v>TENA PANTS CLASICO L X16</v>
      </c>
    </row>
    <row r="879" spans="1:9" ht="15">
      <c r="A879" s="117" t="s">
        <v>2204</v>
      </c>
      <c r="B879" s="37">
        <v>1</v>
      </c>
      <c r="C879" s="37">
        <v>0</v>
      </c>
      <c r="D879" s="376" t="s">
        <v>293</v>
      </c>
      <c r="E879" s="112" t="s">
        <v>2205</v>
      </c>
      <c r="F879" s="20" t="s">
        <v>12</v>
      </c>
      <c r="G879">
        <f t="shared" si="46"/>
        <v>4000</v>
      </c>
      <c r="H879">
        <f t="shared" si="47"/>
        <v>1</v>
      </c>
      <c r="I879" t="str">
        <f t="shared" si="45"/>
        <v>ALBENDAZOL SUSPENSIÓN SOBRE - LAPROFF X12</v>
      </c>
    </row>
    <row r="880" spans="1:9" ht="15">
      <c r="A880" s="112" t="s">
        <v>463</v>
      </c>
      <c r="B880" s="162">
        <v>1</v>
      </c>
      <c r="C880" s="324">
        <v>0</v>
      </c>
      <c r="D880" s="406" t="s">
        <v>464</v>
      </c>
      <c r="E880" s="112" t="s">
        <v>465</v>
      </c>
      <c r="F880" s="472">
        <v>7703153025120</v>
      </c>
      <c r="G880">
        <f t="shared" si="46"/>
        <v>45000</v>
      </c>
      <c r="H880">
        <f t="shared" si="47"/>
        <v>1</v>
      </c>
      <c r="I880" t="str">
        <f t="shared" si="45"/>
        <v>BETADUO 2ML- AMP X1</v>
      </c>
    </row>
    <row r="881" spans="1:9" ht="15">
      <c r="A881" s="117" t="s">
        <v>2206</v>
      </c>
      <c r="B881" s="37">
        <v>4</v>
      </c>
      <c r="C881" s="37">
        <v>0</v>
      </c>
      <c r="D881" s="376" t="s">
        <v>85</v>
      </c>
      <c r="E881" s="112" t="s">
        <v>2207</v>
      </c>
      <c r="F881" s="115">
        <v>7702896002122</v>
      </c>
      <c r="G881">
        <f t="shared" si="46"/>
        <v>11000</v>
      </c>
      <c r="H881">
        <f t="shared" si="47"/>
        <v>1</v>
      </c>
      <c r="I881" t="str">
        <f t="shared" si="45"/>
        <v>CETIRIZINA GOTAS / RINCETIR 10MG</v>
      </c>
    </row>
    <row r="882" spans="1:9" ht="15">
      <c r="A882" s="76" t="s">
        <v>2208</v>
      </c>
      <c r="B882" s="36">
        <v>1</v>
      </c>
      <c r="C882" s="164">
        <v>0</v>
      </c>
      <c r="D882" s="378" t="s">
        <v>2209</v>
      </c>
      <c r="E882" s="76" t="s">
        <v>2210</v>
      </c>
      <c r="F882" s="46">
        <v>7702626211794</v>
      </c>
      <c r="G882">
        <f t="shared" si="46"/>
        <v>61000</v>
      </c>
      <c r="H882">
        <f t="shared" si="47"/>
        <v>1</v>
      </c>
      <c r="I882" t="str">
        <f t="shared" si="45"/>
        <v>GAVISCON DOBLE ACCION FRASCO X300ML</v>
      </c>
    </row>
    <row r="883" spans="1:9" ht="15">
      <c r="A883" s="112" t="s">
        <v>746</v>
      </c>
      <c r="B883" s="409">
        <v>3</v>
      </c>
      <c r="C883" s="410">
        <v>0</v>
      </c>
      <c r="D883" s="474" t="s">
        <v>118</v>
      </c>
      <c r="E883" s="92" t="s">
        <v>748</v>
      </c>
      <c r="F883" s="490">
        <v>7702896002313</v>
      </c>
      <c r="G883">
        <f t="shared" si="46"/>
        <v>13000</v>
      </c>
      <c r="H883">
        <f t="shared" si="47"/>
        <v>1</v>
      </c>
      <c r="I883" t="str">
        <f t="shared" si="45"/>
        <v>IVERBLAS - IVERMECTINA GOTAS</v>
      </c>
    </row>
    <row r="884" spans="1:9" ht="15">
      <c r="A884" s="117" t="s">
        <v>2213</v>
      </c>
      <c r="B884" s="37">
        <v>3</v>
      </c>
      <c r="C884" s="37">
        <v>0</v>
      </c>
      <c r="D884" s="376" t="s">
        <v>1390</v>
      </c>
      <c r="E884" s="112" t="s">
        <v>1391</v>
      </c>
      <c r="F884" s="115">
        <v>7703153021672</v>
      </c>
      <c r="G884">
        <f t="shared" si="46"/>
        <v>8500</v>
      </c>
      <c r="H884">
        <f t="shared" si="47"/>
        <v>15</v>
      </c>
      <c r="I884" t="str">
        <f t="shared" si="45"/>
        <v>LEVOTIROXINA 50MCG X30 - COLMED</v>
      </c>
    </row>
    <row r="885" spans="1:9" ht="15">
      <c r="A885" s="117" t="s">
        <v>443</v>
      </c>
      <c r="B885" s="37">
        <v>1</v>
      </c>
      <c r="C885" s="37">
        <v>0</v>
      </c>
      <c r="D885" s="376" t="s">
        <v>355</v>
      </c>
      <c r="E885" s="112" t="s">
        <v>444</v>
      </c>
      <c r="F885" s="115">
        <v>7702184014431</v>
      </c>
      <c r="G885">
        <f t="shared" si="46"/>
        <v>10000</v>
      </c>
      <c r="H885">
        <f t="shared" si="47"/>
        <v>10</v>
      </c>
      <c r="I885" t="str">
        <f t="shared" si="45"/>
        <v>TRAMADOL 50MG X100 CAPS - ECAR</v>
      </c>
    </row>
    <row r="886" spans="1:9" ht="15">
      <c r="A886" s="74" t="s">
        <v>2214</v>
      </c>
      <c r="B886" s="36">
        <v>1</v>
      </c>
      <c r="C886" s="284">
        <v>0</v>
      </c>
      <c r="D886" s="378" t="s">
        <v>697</v>
      </c>
      <c r="E886" s="76" t="s">
        <v>2215</v>
      </c>
      <c r="F886" s="46">
        <v>7702123006947</v>
      </c>
      <c r="G886">
        <f t="shared" si="46"/>
        <v>2500</v>
      </c>
      <c r="H886">
        <f t="shared" si="47"/>
        <v>1</v>
      </c>
      <c r="I886" t="str">
        <f t="shared" si="45"/>
        <v>APRONAX 275MG X50 + 8CÁPSULAS</v>
      </c>
    </row>
    <row r="887" spans="1:9" ht="15">
      <c r="A887" s="195" t="s">
        <v>950</v>
      </c>
      <c r="B887" s="197">
        <v>1</v>
      </c>
      <c r="C887" s="198">
        <v>0</v>
      </c>
      <c r="D887" s="382" t="s">
        <v>2216</v>
      </c>
      <c r="E887" s="195" t="s">
        <v>951</v>
      </c>
      <c r="F887" s="420">
        <v>7702057731892</v>
      </c>
      <c r="G887">
        <f t="shared" si="46"/>
        <v>65000</v>
      </c>
      <c r="H887">
        <f t="shared" si="47"/>
        <v>30</v>
      </c>
      <c r="I887" t="str">
        <f t="shared" si="45"/>
        <v>BIOCALCIUM D *30 SOBRES</v>
      </c>
    </row>
    <row r="888" spans="1:9" ht="15">
      <c r="A888" s="117" t="s">
        <v>2218</v>
      </c>
      <c r="B888" s="37">
        <v>4</v>
      </c>
      <c r="C888" s="37">
        <v>0</v>
      </c>
      <c r="D888" s="376" t="s">
        <v>1180</v>
      </c>
      <c r="E888" s="112" t="s">
        <v>2219</v>
      </c>
      <c r="F888" s="115">
        <v>7707019337105</v>
      </c>
      <c r="G888">
        <f t="shared" si="46"/>
        <v>6500</v>
      </c>
      <c r="H888">
        <f t="shared" si="47"/>
        <v>10</v>
      </c>
      <c r="I888" t="str">
        <f t="shared" si="45"/>
        <v>MELOXICAM 7.5MG / MEXICAM X30 TABS</v>
      </c>
    </row>
    <row r="889" spans="1:9" ht="15">
      <c r="A889" s="117" t="s">
        <v>1780</v>
      </c>
      <c r="B889" s="37">
        <v>2</v>
      </c>
      <c r="C889" s="37">
        <v>0</v>
      </c>
      <c r="D889" s="376" t="s">
        <v>808</v>
      </c>
      <c r="E889" s="112" t="s">
        <v>1038</v>
      </c>
      <c r="F889" s="115">
        <v>7707067620877</v>
      </c>
      <c r="G889">
        <f t="shared" si="46"/>
        <v>13000</v>
      </c>
      <c r="H889">
        <f t="shared" si="47"/>
        <v>10</v>
      </c>
      <c r="I889" t="str">
        <f t="shared" si="45"/>
        <v>TIZANIDINA 2MG / ALERTADINA X20TABS</v>
      </c>
    </row>
    <row r="890" spans="1:9">
      <c r="A890" s="24" t="s">
        <v>2220</v>
      </c>
      <c r="B890" s="30">
        <v>2</v>
      </c>
      <c r="C890" s="31">
        <v>0</v>
      </c>
      <c r="D890" s="447" t="s">
        <v>1605</v>
      </c>
      <c r="E890" s="7" t="s">
        <v>2221</v>
      </c>
      <c r="F890" s="63">
        <v>7702057803292</v>
      </c>
      <c r="G890">
        <f t="shared" si="46"/>
        <v>3500</v>
      </c>
      <c r="H890">
        <f t="shared" si="47"/>
        <v>1</v>
      </c>
      <c r="I890" t="str">
        <f t="shared" si="45"/>
        <v>GASTROFAST ADVANCE *24 SACHET</v>
      </c>
    </row>
    <row r="891" spans="1:9" ht="15">
      <c r="A891" s="117" t="s">
        <v>2226</v>
      </c>
      <c r="B891" s="37">
        <v>1</v>
      </c>
      <c r="C891" s="37">
        <v>19</v>
      </c>
      <c r="D891" s="376" t="s">
        <v>2227</v>
      </c>
      <c r="E891" s="112" t="s">
        <v>2228</v>
      </c>
      <c r="F891" s="115">
        <v>7705471800823</v>
      </c>
      <c r="G891">
        <f t="shared" si="46"/>
        <v>19000</v>
      </c>
      <c r="H891">
        <f t="shared" si="47"/>
        <v>1</v>
      </c>
      <c r="I891" t="str">
        <f t="shared" si="45"/>
        <v>VASELINA X500GR ATHOS</v>
      </c>
    </row>
    <row r="892" spans="1:9" ht="15">
      <c r="A892" s="117" t="s">
        <v>2231</v>
      </c>
      <c r="B892" s="37">
        <v>2</v>
      </c>
      <c r="C892" s="37">
        <v>0</v>
      </c>
      <c r="D892" s="376" t="s">
        <v>527</v>
      </c>
      <c r="E892" s="112" t="s">
        <v>1038</v>
      </c>
      <c r="F892" s="115">
        <v>7703712036116</v>
      </c>
      <c r="G892">
        <f t="shared" si="46"/>
        <v>11000</v>
      </c>
      <c r="H892">
        <f t="shared" si="47"/>
        <v>10</v>
      </c>
      <c r="I892" t="str">
        <f t="shared" si="45"/>
        <v>ACETAMINOFEN + HIOSCINA X20 TABS COASPHARMA</v>
      </c>
    </row>
    <row r="893" spans="1:9" ht="15">
      <c r="A893" s="117" t="s">
        <v>2232</v>
      </c>
      <c r="B893" s="37">
        <v>1</v>
      </c>
      <c r="C893" s="37">
        <v>0</v>
      </c>
      <c r="D893" s="376" t="s">
        <v>509</v>
      </c>
      <c r="E893" s="112" t="s">
        <v>107</v>
      </c>
      <c r="F893" s="115">
        <v>7702605111367</v>
      </c>
      <c r="G893">
        <f t="shared" si="46"/>
        <v>12000</v>
      </c>
      <c r="H893">
        <f t="shared" si="47"/>
        <v>10</v>
      </c>
      <c r="I893" t="str">
        <f t="shared" si="45"/>
        <v>SERTRALINA 50MG TABS GENFAR X30</v>
      </c>
    </row>
    <row r="894" spans="1:9">
      <c r="A894" s="146" t="s">
        <v>2233</v>
      </c>
      <c r="B894" s="147">
        <v>2</v>
      </c>
      <c r="C894" s="148">
        <v>0</v>
      </c>
      <c r="D894" s="444" t="s">
        <v>74</v>
      </c>
      <c r="E894" s="159" t="s">
        <v>2234</v>
      </c>
      <c r="F894" s="160">
        <v>7703109205026</v>
      </c>
      <c r="G894">
        <f t="shared" si="46"/>
        <v>20000</v>
      </c>
      <c r="H894">
        <f t="shared" si="47"/>
        <v>1</v>
      </c>
      <c r="I894" t="str">
        <f t="shared" si="45"/>
        <v>DUCHA INTIMAZUL VINAGRE</v>
      </c>
    </row>
    <row r="895" spans="1:9">
      <c r="A895" s="22" t="s">
        <v>995</v>
      </c>
      <c r="B895" s="11">
        <v>5</v>
      </c>
      <c r="C895" s="194">
        <v>0</v>
      </c>
      <c r="D895" s="483" t="s">
        <v>996</v>
      </c>
      <c r="E895" s="41" t="s">
        <v>997</v>
      </c>
      <c r="F895" s="273">
        <v>7702207084557</v>
      </c>
      <c r="G895">
        <f t="shared" si="46"/>
        <v>13000</v>
      </c>
      <c r="H895">
        <f t="shared" si="47"/>
        <v>21</v>
      </c>
      <c r="I895" t="str">
        <f t="shared" si="45"/>
        <v>FACETIX X21 / CIPROTERON 2,0MG + ETINILESTRADIOL 0,035MG</v>
      </c>
    </row>
    <row r="896" spans="1:9" ht="15">
      <c r="A896" s="117" t="s">
        <v>1314</v>
      </c>
      <c r="B896" s="37">
        <v>2</v>
      </c>
      <c r="C896" s="37">
        <v>0</v>
      </c>
      <c r="D896" s="376" t="s">
        <v>747</v>
      </c>
      <c r="E896" s="112" t="s">
        <v>1315</v>
      </c>
      <c r="F896" s="115">
        <v>7703286111752</v>
      </c>
      <c r="G896">
        <f t="shared" si="46"/>
        <v>14000</v>
      </c>
      <c r="H896">
        <f t="shared" si="47"/>
        <v>1</v>
      </c>
      <c r="I896" t="str">
        <f t="shared" si="45"/>
        <v>VALERIANA + PASIGLORA X60ML - BOTANITAS</v>
      </c>
    </row>
    <row r="897" spans="1:9" ht="15">
      <c r="A897" s="43" t="s">
        <v>243</v>
      </c>
      <c r="B897" s="162">
        <v>1</v>
      </c>
      <c r="C897" s="324">
        <v>0.19</v>
      </c>
      <c r="D897" s="406" t="s">
        <v>244</v>
      </c>
      <c r="E897" s="112" t="s">
        <v>245</v>
      </c>
      <c r="F897" s="472">
        <v>7703286112407</v>
      </c>
      <c r="G897">
        <f t="shared" si="46"/>
        <v>16000</v>
      </c>
      <c r="H897">
        <f t="shared" si="47"/>
        <v>100</v>
      </c>
      <c r="I897" t="str">
        <f t="shared" si="45"/>
        <v>LEVADURA CERVEZA - X100 TABS BOTANITAS</v>
      </c>
    </row>
    <row r="898" spans="1:9" ht="15">
      <c r="A898" s="117" t="s">
        <v>2235</v>
      </c>
      <c r="B898" s="37">
        <v>1</v>
      </c>
      <c r="C898" s="37">
        <v>0</v>
      </c>
      <c r="D898" s="376" t="s">
        <v>103</v>
      </c>
      <c r="E898" s="112" t="s">
        <v>2236</v>
      </c>
      <c r="F898" s="115">
        <v>7707035581490</v>
      </c>
      <c r="G898">
        <f t="shared" si="46"/>
        <v>5000</v>
      </c>
      <c r="H898">
        <f t="shared" si="47"/>
        <v>10</v>
      </c>
      <c r="I898" t="str">
        <f t="shared" si="45"/>
        <v>METOCARBAMOL X250 ANGLOPHARMA</v>
      </c>
    </row>
    <row r="899" spans="1:9">
      <c r="A899" s="12" t="s">
        <v>1729</v>
      </c>
      <c r="B899" s="14">
        <v>1</v>
      </c>
      <c r="C899" s="105">
        <v>0.19</v>
      </c>
      <c r="D899" s="308" t="s">
        <v>26</v>
      </c>
      <c r="E899" s="13" t="s">
        <v>1730</v>
      </c>
      <c r="F899" s="61">
        <v>7702314700449</v>
      </c>
      <c r="G899">
        <f t="shared" si="46"/>
        <v>30000</v>
      </c>
      <c r="H899">
        <f t="shared" si="47"/>
        <v>1</v>
      </c>
      <c r="I899" t="str">
        <f t="shared" ref="I899:I962" si="48">TRIM(A899)</f>
        <v>PROQUIDENT SIN SABOR *40GR</v>
      </c>
    </row>
    <row r="900" spans="1:9">
      <c r="A900" s="22" t="s">
        <v>2240</v>
      </c>
      <c r="B900" s="23">
        <v>3</v>
      </c>
      <c r="C900" s="51">
        <v>0</v>
      </c>
      <c r="D900" s="446" t="s">
        <v>2241</v>
      </c>
      <c r="E900" s="41" t="s">
        <v>2242</v>
      </c>
      <c r="F900" s="42">
        <v>7702184020524</v>
      </c>
      <c r="G900">
        <f t="shared" si="46"/>
        <v>14000</v>
      </c>
      <c r="H900">
        <f t="shared" si="47"/>
        <v>1</v>
      </c>
      <c r="I900" t="str">
        <f t="shared" si="48"/>
        <v>TRIMETROPRIM SULFA 80/400 SUSP X120ML ECAR</v>
      </c>
    </row>
    <row r="901" spans="1:9">
      <c r="A901" t="s">
        <v>413</v>
      </c>
      <c r="B901" s="23">
        <v>4</v>
      </c>
      <c r="C901" s="51">
        <v>0</v>
      </c>
      <c r="D901" s="446" t="s">
        <v>414</v>
      </c>
      <c r="E901" s="39" t="s">
        <v>415</v>
      </c>
      <c r="F901" s="42">
        <v>7702605105625</v>
      </c>
      <c r="G901">
        <f t="shared" si="46"/>
        <v>2600</v>
      </c>
      <c r="H901">
        <f t="shared" si="47"/>
        <v>14</v>
      </c>
      <c r="I901" t="str">
        <f t="shared" si="48"/>
        <v>VALSARTAN 160MG - GENFAR</v>
      </c>
    </row>
    <row r="902" spans="1:9" ht="15">
      <c r="A902" s="49" t="s">
        <v>2243</v>
      </c>
      <c r="B902" s="409">
        <v>1</v>
      </c>
      <c r="C902" s="410">
        <v>0.19</v>
      </c>
      <c r="D902" s="474" t="s">
        <v>2244</v>
      </c>
      <c r="E902" s="92" t="s">
        <v>2245</v>
      </c>
      <c r="F902" s="490">
        <v>751273785209</v>
      </c>
      <c r="G902">
        <f t="shared" si="46"/>
        <v>65000</v>
      </c>
      <c r="H902">
        <f t="shared" si="47"/>
        <v>60</v>
      </c>
      <c r="I902" t="str">
        <f t="shared" si="48"/>
        <v>CAPELL - MULTIVITAMINICO X60</v>
      </c>
    </row>
    <row r="903" spans="1:9">
      <c r="A903" s="22" t="s">
        <v>758</v>
      </c>
      <c r="B903" s="23">
        <v>1</v>
      </c>
      <c r="C903" s="23">
        <v>0</v>
      </c>
      <c r="D903" s="446" t="s">
        <v>343</v>
      </c>
      <c r="E903" s="41" t="s">
        <v>760</v>
      </c>
      <c r="F903" s="273">
        <v>7707173600091</v>
      </c>
      <c r="G903">
        <f t="shared" si="46"/>
        <v>44000</v>
      </c>
      <c r="H903">
        <f t="shared" si="47"/>
        <v>1</v>
      </c>
      <c r="I903" t="str">
        <f t="shared" si="48"/>
        <v>CICADERM NF CREMA TOPICA</v>
      </c>
    </row>
    <row r="904" spans="1:9">
      <c r="A904" s="22" t="s">
        <v>2246</v>
      </c>
      <c r="B904" s="23">
        <v>1</v>
      </c>
      <c r="C904" s="51">
        <v>0</v>
      </c>
      <c r="D904" s="446" t="s">
        <v>747</v>
      </c>
      <c r="E904" s="41" t="s">
        <v>1104</v>
      </c>
      <c r="F904" s="42">
        <v>7702057100056</v>
      </c>
      <c r="G904">
        <f t="shared" si="46"/>
        <v>14000</v>
      </c>
      <c r="H904">
        <f t="shared" si="47"/>
        <v>1</v>
      </c>
      <c r="I904" t="str">
        <f t="shared" si="48"/>
        <v>CREMA No.4 NATURAL - CALENDULA *20 GR</v>
      </c>
    </row>
    <row r="905" spans="1:9">
      <c r="A905" s="24" t="s">
        <v>2247</v>
      </c>
      <c r="B905" s="30">
        <v>1</v>
      </c>
      <c r="C905" s="128">
        <v>0</v>
      </c>
      <c r="D905" s="480" t="s">
        <v>29</v>
      </c>
      <c r="E905" s="7" t="s">
        <v>477</v>
      </c>
      <c r="F905" s="129">
        <v>7707067510277</v>
      </c>
      <c r="G905">
        <f t="shared" si="46"/>
        <v>15000</v>
      </c>
      <c r="H905">
        <f t="shared" si="47"/>
        <v>10</v>
      </c>
      <c r="I905" t="str">
        <f t="shared" si="48"/>
        <v>SINAXAR A - METOCARBAMOL + ACETAMINOFEN</v>
      </c>
    </row>
    <row r="906" spans="1:9" ht="15">
      <c r="A906" s="112" t="s">
        <v>1196</v>
      </c>
      <c r="B906" s="37">
        <v>1</v>
      </c>
      <c r="C906" s="37">
        <v>0</v>
      </c>
      <c r="D906" s="376" t="s">
        <v>519</v>
      </c>
      <c r="E906" s="112" t="s">
        <v>1197</v>
      </c>
      <c r="F906" s="115">
        <v>7703153032104</v>
      </c>
      <c r="G906">
        <f t="shared" si="46"/>
        <v>4500</v>
      </c>
      <c r="H906">
        <f t="shared" si="47"/>
        <v>1</v>
      </c>
      <c r="I906" t="str">
        <f t="shared" si="48"/>
        <v>FEMDUO OVULOS X10 / METRONIDAZOL + CLOTRIMAZOL 500/100MG</v>
      </c>
    </row>
    <row r="907" spans="1:9">
      <c r="A907" s="22" t="s">
        <v>2250</v>
      </c>
      <c r="B907" s="23">
        <v>2</v>
      </c>
      <c r="C907" s="51">
        <v>0</v>
      </c>
      <c r="D907" s="446" t="s">
        <v>2251</v>
      </c>
      <c r="E907" s="39" t="s">
        <v>2252</v>
      </c>
      <c r="F907" s="42">
        <v>7703763960460</v>
      </c>
      <c r="G907">
        <f t="shared" si="46"/>
        <v>39000</v>
      </c>
      <c r="H907">
        <f t="shared" si="47"/>
        <v>4</v>
      </c>
      <c r="I907" t="str">
        <f t="shared" si="48"/>
        <v>ALENDRONATO 70MG- X4 TABLETAS</v>
      </c>
    </row>
    <row r="908" spans="1:9">
      <c r="A908" s="22" t="s">
        <v>2253</v>
      </c>
      <c r="B908" s="23">
        <v>6</v>
      </c>
      <c r="C908" s="51">
        <v>0</v>
      </c>
      <c r="D908" s="446" t="s">
        <v>981</v>
      </c>
      <c r="E908" s="39" t="s">
        <v>2254</v>
      </c>
      <c r="F908" s="42">
        <v>7703153023409</v>
      </c>
      <c r="G908">
        <f t="shared" si="46"/>
        <v>12000</v>
      </c>
      <c r="H908">
        <f t="shared" si="47"/>
        <v>10</v>
      </c>
      <c r="I908" t="str">
        <f t="shared" si="48"/>
        <v>TRAMADOL CAPSULAS COLMED</v>
      </c>
    </row>
    <row r="909" spans="1:9">
      <c r="A909" s="22" t="s">
        <v>2255</v>
      </c>
      <c r="B909" s="23">
        <v>2</v>
      </c>
      <c r="C909" s="51">
        <v>0</v>
      </c>
      <c r="D909" s="446" t="s">
        <v>2256</v>
      </c>
      <c r="E909" s="39" t="s">
        <v>116</v>
      </c>
      <c r="F909" s="42">
        <v>8903726171400</v>
      </c>
      <c r="G909">
        <f t="shared" si="46"/>
        <v>28000</v>
      </c>
      <c r="H909">
        <f t="shared" si="47"/>
        <v>30</v>
      </c>
      <c r="I909" t="str">
        <f t="shared" si="48"/>
        <v>TELMISARTAN 80MG / TEMILTAR X30 TABS</v>
      </c>
    </row>
    <row r="910" spans="1:9" ht="15">
      <c r="A910" s="117" t="s">
        <v>2258</v>
      </c>
      <c r="B910" s="37">
        <v>2</v>
      </c>
      <c r="C910" s="37">
        <v>0</v>
      </c>
      <c r="D910" s="376" t="s">
        <v>250</v>
      </c>
      <c r="E910" s="117" t="s">
        <v>2259</v>
      </c>
      <c r="F910" s="115">
        <v>7707236128739</v>
      </c>
      <c r="G910">
        <f t="shared" si="46"/>
        <v>3500</v>
      </c>
      <c r="H910">
        <f t="shared" si="47"/>
        <v>1</v>
      </c>
      <c r="I910" t="str">
        <f t="shared" si="48"/>
        <v>DICLOFENACO SODICO 75MG AMPO X10 VITALIS</v>
      </c>
    </row>
    <row r="911" spans="1:9">
      <c r="A911" t="s">
        <v>2260</v>
      </c>
      <c r="B911" s="11">
        <v>1</v>
      </c>
      <c r="C911" s="166">
        <v>0</v>
      </c>
      <c r="D911" s="483" t="s">
        <v>2261</v>
      </c>
      <c r="E911" s="41" t="s">
        <v>1958</v>
      </c>
      <c r="F911" s="273">
        <v>7702057270148</v>
      </c>
      <c r="G911">
        <f t="shared" si="46"/>
        <v>3800</v>
      </c>
      <c r="H911">
        <f t="shared" si="47"/>
        <v>1</v>
      </c>
      <c r="I911" t="str">
        <f t="shared" si="48"/>
        <v>FENCAFEN X20 TABLETAS</v>
      </c>
    </row>
    <row r="912" spans="1:9">
      <c r="A912" s="141" t="s">
        <v>149</v>
      </c>
      <c r="B912" s="147">
        <v>1</v>
      </c>
      <c r="C912" s="148">
        <v>0</v>
      </c>
      <c r="D912" s="444" t="s">
        <v>150</v>
      </c>
      <c r="E912" s="159" t="s">
        <v>151</v>
      </c>
      <c r="F912" s="160">
        <v>736085132069</v>
      </c>
      <c r="G912">
        <f t="shared" si="46"/>
        <v>16500</v>
      </c>
      <c r="H912">
        <f t="shared" si="47"/>
        <v>1</v>
      </c>
      <c r="I912" t="str">
        <f t="shared" si="48"/>
        <v>NAZIL OFTENO - NAFAZOLINA 0,1%</v>
      </c>
    </row>
    <row r="913" spans="1:9" ht="15">
      <c r="A913" s="117" t="s">
        <v>2265</v>
      </c>
      <c r="B913" s="37">
        <v>2</v>
      </c>
      <c r="C913" s="37">
        <v>0</v>
      </c>
      <c r="D913" s="376" t="s">
        <v>2266</v>
      </c>
      <c r="E913" s="112" t="s">
        <v>107</v>
      </c>
      <c r="F913" s="115">
        <v>8903726242612</v>
      </c>
      <c r="G913">
        <f t="shared" si="46"/>
        <v>20000</v>
      </c>
      <c r="H913">
        <f t="shared" si="47"/>
        <v>10</v>
      </c>
      <c r="I913" t="str">
        <f t="shared" si="48"/>
        <v>ROSUVASTATINA 40MG - ROTAVIN X30</v>
      </c>
    </row>
    <row r="914" spans="1:9" ht="15">
      <c r="A914" s="117" t="s">
        <v>1842</v>
      </c>
      <c r="B914" s="37">
        <v>2</v>
      </c>
      <c r="C914" s="37">
        <v>0</v>
      </c>
      <c r="D914" s="376" t="s">
        <v>118</v>
      </c>
      <c r="E914" s="112" t="s">
        <v>110</v>
      </c>
      <c r="F914" s="115">
        <v>7702123006732</v>
      </c>
      <c r="G914">
        <f t="shared" si="46"/>
        <v>13000</v>
      </c>
      <c r="H914">
        <f t="shared" si="47"/>
        <v>1</v>
      </c>
      <c r="I914" t="str">
        <f t="shared" si="48"/>
        <v>CANESTEN TOPICA 1% - CLOTRIMAZOL CREMA X20GR</v>
      </c>
    </row>
    <row r="915" spans="1:9">
      <c r="A915" t="s">
        <v>1426</v>
      </c>
      <c r="B915" s="23">
        <v>3</v>
      </c>
      <c r="C915" s="51">
        <v>0</v>
      </c>
      <c r="D915" s="446" t="s">
        <v>625</v>
      </c>
      <c r="E915" s="39" t="s">
        <v>18</v>
      </c>
      <c r="F915" s="42">
        <v>7707019342208</v>
      </c>
      <c r="G915">
        <f t="shared" si="46"/>
        <v>25000</v>
      </c>
      <c r="H915">
        <f t="shared" si="47"/>
        <v>1</v>
      </c>
      <c r="I915" t="str">
        <f t="shared" si="48"/>
        <v>METROXAZIDE SUSP X120ML / METRONIDAZOL + NIFUROXAZIDE - BIOQUIFAR</v>
      </c>
    </row>
    <row r="916" spans="1:9">
      <c r="A916" s="24" t="s">
        <v>2267</v>
      </c>
      <c r="B916" s="30">
        <v>1</v>
      </c>
      <c r="C916" s="31">
        <v>0</v>
      </c>
      <c r="D916" s="447" t="s">
        <v>59</v>
      </c>
      <c r="E916" s="7" t="s">
        <v>60</v>
      </c>
      <c r="F916" s="63">
        <v>7706127006354</v>
      </c>
      <c r="G916">
        <f t="shared" si="46"/>
        <v>3000</v>
      </c>
      <c r="H916">
        <f t="shared" si="47"/>
        <v>1</v>
      </c>
      <c r="I916" t="str">
        <f t="shared" si="48"/>
        <v>PAX DIA X24 - NARANJA</v>
      </c>
    </row>
    <row r="917" spans="1:9" ht="15">
      <c r="A917" s="117" t="s">
        <v>1141</v>
      </c>
      <c r="B917" s="37">
        <v>1</v>
      </c>
      <c r="C917" s="37">
        <v>0</v>
      </c>
      <c r="D917" s="376" t="s">
        <v>91</v>
      </c>
      <c r="E917" s="112" t="s">
        <v>1142</v>
      </c>
      <c r="F917" s="115">
        <v>7707035510629</v>
      </c>
      <c r="G917">
        <f t="shared" si="46"/>
        <v>16000</v>
      </c>
      <c r="H917">
        <f t="shared" si="47"/>
        <v>1</v>
      </c>
      <c r="I917" t="str">
        <f t="shared" si="48"/>
        <v>ACICLOVIR SUSPENSIÓN</v>
      </c>
    </row>
    <row r="918" spans="1:9">
      <c r="A918" s="22" t="s">
        <v>2276</v>
      </c>
      <c r="B918" s="23">
        <v>2</v>
      </c>
      <c r="C918" s="51">
        <v>0</v>
      </c>
      <c r="D918" s="446" t="s">
        <v>567</v>
      </c>
      <c r="E918" s="41" t="s">
        <v>107</v>
      </c>
      <c r="F918" s="42">
        <v>8903726171417</v>
      </c>
      <c r="G918">
        <f t="shared" si="46"/>
        <v>18000</v>
      </c>
      <c r="H918">
        <f t="shared" si="47"/>
        <v>30</v>
      </c>
      <c r="I918" t="str">
        <f t="shared" si="48"/>
        <v>TELMISARTAN 40MG- TELMILTAR X30 TABLETAS</v>
      </c>
    </row>
    <row r="919" spans="1:9" ht="15">
      <c r="A919" s="32" t="s">
        <v>2277</v>
      </c>
      <c r="B919" s="17">
        <v>1</v>
      </c>
      <c r="C919" s="17">
        <v>0</v>
      </c>
      <c r="D919" s="321" t="s">
        <v>2278</v>
      </c>
      <c r="E919" s="73" t="s">
        <v>2279</v>
      </c>
      <c r="F919" s="20">
        <v>7707274721299</v>
      </c>
      <c r="G919">
        <f t="shared" si="46"/>
        <v>41000</v>
      </c>
      <c r="H919">
        <f t="shared" si="47"/>
        <v>1</v>
      </c>
      <c r="I919" t="str">
        <f t="shared" si="48"/>
        <v>FEVENY - ESTROGENO CONJUGADOS CREMA</v>
      </c>
    </row>
    <row r="920" spans="1:9" ht="15">
      <c r="A920" s="16" t="s">
        <v>1198</v>
      </c>
      <c r="B920" s="17">
        <v>3</v>
      </c>
      <c r="C920" s="124">
        <v>0</v>
      </c>
      <c r="D920" s="321" t="s">
        <v>2280</v>
      </c>
      <c r="E920" s="73" t="s">
        <v>1199</v>
      </c>
      <c r="F920" s="20">
        <v>7702184020326</v>
      </c>
      <c r="G920">
        <f t="shared" si="46"/>
        <v>12000</v>
      </c>
      <c r="H920">
        <f t="shared" si="47"/>
        <v>1</v>
      </c>
      <c r="I920" t="str">
        <f t="shared" si="48"/>
        <v>BACTRODERM ESPUMA X60ML</v>
      </c>
    </row>
    <row r="921" spans="1:9">
      <c r="A921" s="69" t="s">
        <v>937</v>
      </c>
      <c r="B921" s="14">
        <v>4</v>
      </c>
      <c r="C921" s="105">
        <v>0</v>
      </c>
      <c r="D921" s="308" t="s">
        <v>80</v>
      </c>
      <c r="E921" s="13" t="s">
        <v>938</v>
      </c>
      <c r="F921" s="61">
        <v>7702560000010</v>
      </c>
      <c r="G921">
        <f t="shared" si="46"/>
        <v>6000</v>
      </c>
      <c r="H921">
        <f t="shared" si="47"/>
        <v>1</v>
      </c>
      <c r="I921" t="str">
        <f t="shared" si="48"/>
        <v>AGUA OXIGENADA JGB X120ML</v>
      </c>
    </row>
    <row r="922" spans="1:9" ht="15">
      <c r="A922" s="117" t="s">
        <v>2281</v>
      </c>
      <c r="B922" s="37">
        <v>2</v>
      </c>
      <c r="C922" s="37">
        <v>0</v>
      </c>
      <c r="D922" s="376" t="s">
        <v>2282</v>
      </c>
      <c r="E922" s="112" t="s">
        <v>107</v>
      </c>
      <c r="F922" s="115">
        <v>8903726382578</v>
      </c>
      <c r="G922">
        <f t="shared" si="46"/>
        <v>75000</v>
      </c>
      <c r="H922">
        <f t="shared" si="47"/>
        <v>30</v>
      </c>
      <c r="I922" t="str">
        <f t="shared" si="48"/>
        <v>LEVETIRACETAM 1000MG / LEPILEV X30</v>
      </c>
    </row>
    <row r="923" spans="1:9" ht="15">
      <c r="A923" s="117" t="s">
        <v>2284</v>
      </c>
      <c r="B923" s="37">
        <v>30</v>
      </c>
      <c r="C923" s="37">
        <v>0</v>
      </c>
      <c r="D923" s="376" t="s">
        <v>2285</v>
      </c>
      <c r="E923" s="112" t="s">
        <v>2286</v>
      </c>
      <c r="F923" s="115">
        <v>7707270361239</v>
      </c>
      <c r="G923" t="e">
        <f t="shared" si="46"/>
        <v>#VALUE!</v>
      </c>
      <c r="H923">
        <f t="shared" si="47"/>
        <v>1</v>
      </c>
      <c r="I923" t="str">
        <f t="shared" si="48"/>
        <v>JERINGA 10ML MEDISPO</v>
      </c>
    </row>
    <row r="924" spans="1:9">
      <c r="A924" t="s">
        <v>34</v>
      </c>
      <c r="B924" s="23">
        <v>1</v>
      </c>
      <c r="C924" s="51">
        <v>0</v>
      </c>
      <c r="D924" s="446" t="s">
        <v>35</v>
      </c>
      <c r="E924" s="41" t="s">
        <v>36</v>
      </c>
      <c r="F924" s="42">
        <v>7702870003190</v>
      </c>
      <c r="G924">
        <f t="shared" si="46"/>
        <v>1600</v>
      </c>
      <c r="H924">
        <f t="shared" si="47"/>
        <v>1</v>
      </c>
      <c r="I924" t="str">
        <f t="shared" si="48"/>
        <v>GASTRUM TABLETAS X48 TABLETAS</v>
      </c>
    </row>
    <row r="925" spans="1:9" ht="15">
      <c r="A925" s="19" t="s">
        <v>2287</v>
      </c>
      <c r="B925" s="37">
        <v>6</v>
      </c>
      <c r="C925" s="429">
        <v>0</v>
      </c>
      <c r="D925" s="376" t="s">
        <v>14</v>
      </c>
      <c r="E925" s="112" t="s">
        <v>110</v>
      </c>
      <c r="F925" s="115">
        <v>7708480649803</v>
      </c>
      <c r="G925">
        <f t="shared" si="46"/>
        <v>17000</v>
      </c>
      <c r="H925">
        <f t="shared" si="47"/>
        <v>1</v>
      </c>
      <c r="I925" t="str">
        <f t="shared" si="48"/>
        <v>TERBINAFINA 1% - VAXOMIZOL</v>
      </c>
    </row>
    <row r="926" spans="1:9" ht="15">
      <c r="A926" s="112" t="s">
        <v>2288</v>
      </c>
      <c r="B926" s="37">
        <v>6</v>
      </c>
      <c r="C926" s="37">
        <v>0</v>
      </c>
      <c r="D926" s="376" t="s">
        <v>2289</v>
      </c>
      <c r="E926" s="112" t="s">
        <v>513</v>
      </c>
      <c r="F926" s="115">
        <v>7707035511527</v>
      </c>
      <c r="G926">
        <f t="shared" si="46"/>
        <v>18000</v>
      </c>
      <c r="H926">
        <f t="shared" si="47"/>
        <v>1</v>
      </c>
      <c r="I926" t="str">
        <f t="shared" si="48"/>
        <v>TRINSICON / CLOTRIMAZOL + NEOMICINA + DEXAMETASONA</v>
      </c>
    </row>
    <row r="927" spans="1:9">
      <c r="A927" s="24" t="s">
        <v>1228</v>
      </c>
      <c r="B927" s="30">
        <v>2</v>
      </c>
      <c r="C927" s="31">
        <v>0</v>
      </c>
      <c r="D927" s="447" t="s">
        <v>1229</v>
      </c>
      <c r="E927" s="8" t="s">
        <v>116</v>
      </c>
      <c r="F927" s="63">
        <v>7702605109128</v>
      </c>
      <c r="G927">
        <f t="shared" ref="G927:G990" si="49">IFERROR(VALUE(SUBSTITUTE(LEFT(LOWER(D927),FIND("x",LOWER(D927))-1),",","")),VALUE(SUBSTITUTE(D927,",","")))</f>
        <v>16500</v>
      </c>
      <c r="H927">
        <f t="shared" ref="H927:H990" si="50">IFERROR(VALUE(MID(LOWER(D927),FIND("x",LOWER(D927))+1,20)),1)</f>
        <v>10</v>
      </c>
      <c r="I927" t="str">
        <f t="shared" si="48"/>
        <v>METOFRMINA 500MG- GENFAR</v>
      </c>
    </row>
    <row r="928" spans="1:9" ht="30">
      <c r="A928" s="278" t="s">
        <v>2293</v>
      </c>
      <c r="B928" s="132">
        <v>4</v>
      </c>
      <c r="C928" s="510">
        <v>0</v>
      </c>
      <c r="D928" s="492" t="s">
        <v>88</v>
      </c>
      <c r="E928" s="214" t="s">
        <v>513</v>
      </c>
      <c r="F928" s="478">
        <v>7709830214085</v>
      </c>
      <c r="G928">
        <f t="shared" si="49"/>
        <v>18000</v>
      </c>
      <c r="H928">
        <f t="shared" si="50"/>
        <v>1</v>
      </c>
      <c r="I928" t="str">
        <f t="shared" si="48"/>
        <v>SKINDERM CREMA X40GR / BETAMETASONA 0,04GR / NEOMICINA 0,50GR / CLOTRIMAZOL 1,00 GR</v>
      </c>
    </row>
    <row r="929" spans="1:9">
      <c r="A929" s="24" t="s">
        <v>849</v>
      </c>
      <c r="B929" s="30">
        <v>1</v>
      </c>
      <c r="C929" s="31">
        <v>0</v>
      </c>
      <c r="D929" s="447" t="s">
        <v>850</v>
      </c>
      <c r="E929" s="7" t="s">
        <v>851</v>
      </c>
      <c r="F929" s="63">
        <v>7702123006718</v>
      </c>
      <c r="G929">
        <f t="shared" si="49"/>
        <v>2000</v>
      </c>
      <c r="H929">
        <f t="shared" si="50"/>
        <v>2</v>
      </c>
      <c r="I929" t="str">
        <f t="shared" si="48"/>
        <v>ASPIRINA EFERVESCENTE *50 TABLETAS</v>
      </c>
    </row>
    <row r="930" spans="1:9">
      <c r="A930" s="24" t="s">
        <v>2294</v>
      </c>
      <c r="B930" s="30">
        <v>6</v>
      </c>
      <c r="C930" s="128">
        <v>0</v>
      </c>
      <c r="D930" s="480" t="s">
        <v>7</v>
      </c>
      <c r="E930" s="8" t="s">
        <v>1723</v>
      </c>
      <c r="F930" s="63">
        <v>7709923870532</v>
      </c>
      <c r="G930">
        <f t="shared" si="49"/>
        <v>7000</v>
      </c>
      <c r="H930">
        <f t="shared" si="50"/>
        <v>1</v>
      </c>
      <c r="I930" t="str">
        <f t="shared" si="48"/>
        <v>PRUEBA EMBARAZO CASSETE- CHEMI S.A.S ROSA/BLANCO</v>
      </c>
    </row>
    <row r="931" spans="1:9">
      <c r="A931" s="22" t="s">
        <v>1378</v>
      </c>
      <c r="B931" s="11">
        <v>1</v>
      </c>
      <c r="C931" s="194">
        <v>0.05</v>
      </c>
      <c r="D931" s="483" t="s">
        <v>458</v>
      </c>
      <c r="E931" s="41" t="s">
        <v>523</v>
      </c>
      <c r="F931" s="273">
        <v>7703006082331</v>
      </c>
      <c r="G931">
        <f t="shared" si="49"/>
        <v>35000</v>
      </c>
      <c r="H931">
        <f t="shared" si="50"/>
        <v>1</v>
      </c>
      <c r="I931" t="str">
        <f t="shared" si="48"/>
        <v>LADIET 500TAB +150 TAB</v>
      </c>
    </row>
    <row r="932" spans="1:9">
      <c r="A932" t="s">
        <v>1749</v>
      </c>
      <c r="B932" s="23">
        <v>3</v>
      </c>
      <c r="C932" s="51">
        <v>0</v>
      </c>
      <c r="D932" s="446" t="s">
        <v>1750</v>
      </c>
      <c r="E932" s="39" t="s">
        <v>1590</v>
      </c>
      <c r="F932" s="42">
        <v>7702605104543</v>
      </c>
      <c r="G932">
        <f t="shared" si="49"/>
        <v>130000</v>
      </c>
      <c r="H932">
        <f t="shared" si="50"/>
        <v>14</v>
      </c>
      <c r="I932" t="str">
        <f t="shared" si="48"/>
        <v>VALSARTAN 80MG X14 TABLETAS - GENFAR</v>
      </c>
    </row>
    <row r="933" spans="1:9" ht="15">
      <c r="A933" s="73" t="s">
        <v>259</v>
      </c>
      <c r="B933" s="17">
        <v>3</v>
      </c>
      <c r="C933" s="124">
        <v>0</v>
      </c>
      <c r="D933" s="321" t="s">
        <v>109</v>
      </c>
      <c r="E933" s="73" t="s">
        <v>260</v>
      </c>
      <c r="F933" s="20">
        <v>7702184020319</v>
      </c>
      <c r="G933">
        <f t="shared" si="49"/>
        <v>10000</v>
      </c>
      <c r="H933">
        <f t="shared" si="50"/>
        <v>1</v>
      </c>
      <c r="I933" t="str">
        <f t="shared" si="48"/>
        <v>BACTRODERM SOLUCIÓN *60ML</v>
      </c>
    </row>
    <row r="934" spans="1:9" ht="15">
      <c r="A934" s="53" t="s">
        <v>1226</v>
      </c>
      <c r="B934" s="153">
        <v>3</v>
      </c>
      <c r="C934" s="55">
        <v>0</v>
      </c>
      <c r="D934" s="375" t="s">
        <v>191</v>
      </c>
      <c r="E934" s="96" t="s">
        <v>1227</v>
      </c>
      <c r="F934" s="155">
        <v>7703546043601</v>
      </c>
      <c r="G934">
        <f t="shared" si="49"/>
        <v>4000</v>
      </c>
      <c r="H934">
        <f t="shared" si="50"/>
        <v>2</v>
      </c>
      <c r="I934" t="str">
        <f t="shared" si="48"/>
        <v>DOLORSIN FEM *36</v>
      </c>
    </row>
    <row r="935" spans="1:9">
      <c r="A935" t="s">
        <v>2296</v>
      </c>
      <c r="B935" s="23">
        <v>3</v>
      </c>
      <c r="C935" s="51">
        <v>0</v>
      </c>
      <c r="D935" s="446" t="s">
        <v>408</v>
      </c>
      <c r="E935" s="39" t="s">
        <v>985</v>
      </c>
      <c r="F935" s="42">
        <v>7704412178182</v>
      </c>
      <c r="G935">
        <f t="shared" si="49"/>
        <v>9000</v>
      </c>
      <c r="H935">
        <f t="shared" si="50"/>
        <v>10</v>
      </c>
      <c r="I935" t="str">
        <f t="shared" si="48"/>
        <v>SERTRALINA 50MG - MEMPHIS</v>
      </c>
    </row>
    <row r="936" spans="1:9" ht="15">
      <c r="A936" s="117" t="s">
        <v>2297</v>
      </c>
      <c r="B936" s="37">
        <v>1</v>
      </c>
      <c r="C936" s="37">
        <v>0</v>
      </c>
      <c r="D936" s="376" t="s">
        <v>14</v>
      </c>
      <c r="E936" s="112" t="s">
        <v>2298</v>
      </c>
      <c r="F936" s="115">
        <v>7702044259989</v>
      </c>
      <c r="G936">
        <f t="shared" si="49"/>
        <v>17000</v>
      </c>
      <c r="H936">
        <f t="shared" si="50"/>
        <v>1</v>
      </c>
      <c r="I936" t="str">
        <f t="shared" si="48"/>
        <v>JABÓN NOPIKES REPELENTE</v>
      </c>
    </row>
    <row r="937" spans="1:9">
      <c r="A937" s="28" t="s">
        <v>2299</v>
      </c>
      <c r="B937" s="30">
        <v>1</v>
      </c>
      <c r="C937" s="31">
        <v>0</v>
      </c>
      <c r="D937" s="447" t="s">
        <v>59</v>
      </c>
      <c r="E937" s="7" t="s">
        <v>2300</v>
      </c>
      <c r="F937" s="63">
        <v>7707232098081</v>
      </c>
      <c r="G937">
        <f t="shared" si="49"/>
        <v>3000</v>
      </c>
      <c r="H937">
        <f t="shared" si="50"/>
        <v>1</v>
      </c>
      <c r="I937" t="str">
        <f t="shared" si="48"/>
        <v>MIELTERTOS DÍA X24 SOBRES</v>
      </c>
    </row>
    <row r="938" spans="1:9">
      <c r="A938" s="7" t="s">
        <v>2302</v>
      </c>
      <c r="B938" s="30">
        <v>1</v>
      </c>
      <c r="C938" s="173">
        <v>0</v>
      </c>
      <c r="D938" s="447" t="s">
        <v>2303</v>
      </c>
      <c r="E938" s="8" t="s">
        <v>830</v>
      </c>
      <c r="F938" s="63">
        <v>7707263007755</v>
      </c>
      <c r="G938">
        <f t="shared" si="49"/>
        <v>21000</v>
      </c>
      <c r="H938">
        <f t="shared" si="50"/>
        <v>3</v>
      </c>
      <c r="I938" t="str">
        <f t="shared" si="48"/>
        <v>CLINDABACT TRIDEX OVULOS / CLINDAMICINA + CLOTRIMAZOL</v>
      </c>
    </row>
    <row r="939" spans="1:9">
      <c r="A939" s="22" t="s">
        <v>2304</v>
      </c>
      <c r="B939" s="23">
        <v>1</v>
      </c>
      <c r="C939" s="51">
        <v>0.19</v>
      </c>
      <c r="D939" s="446" t="s">
        <v>10</v>
      </c>
      <c r="E939" s="41" t="s">
        <v>2305</v>
      </c>
      <c r="F939" s="42">
        <v>7708978686747</v>
      </c>
      <c r="G939">
        <f t="shared" si="49"/>
        <v>8000</v>
      </c>
      <c r="H939">
        <f t="shared" si="50"/>
        <v>1</v>
      </c>
      <c r="I939" t="str">
        <f t="shared" si="48"/>
        <v>COCAS RECOLECTORAS LECHE MATERNA - YOKY</v>
      </c>
    </row>
    <row r="940" spans="1:9">
      <c r="A940" s="24" t="s">
        <v>1414</v>
      </c>
      <c r="B940" s="30">
        <v>2</v>
      </c>
      <c r="C940" s="31">
        <v>0</v>
      </c>
      <c r="D940" s="447" t="s">
        <v>1415</v>
      </c>
      <c r="E940" s="7" t="s">
        <v>1416</v>
      </c>
      <c r="F940" s="63">
        <v>7702605103232</v>
      </c>
      <c r="G940">
        <f t="shared" si="49"/>
        <v>15000</v>
      </c>
      <c r="H940">
        <f t="shared" si="50"/>
        <v>30</v>
      </c>
      <c r="I940" t="str">
        <f t="shared" si="48"/>
        <v>LOSARTAN 50MG- GENFAR</v>
      </c>
    </row>
    <row r="941" spans="1:9">
      <c r="A941" t="s">
        <v>2306</v>
      </c>
      <c r="B941" s="23">
        <v>10</v>
      </c>
      <c r="C941" s="51">
        <v>0</v>
      </c>
      <c r="D941" s="446" t="s">
        <v>7</v>
      </c>
      <c r="E941" s="39" t="s">
        <v>2307</v>
      </c>
      <c r="F941" s="42">
        <v>6921875004464</v>
      </c>
      <c r="G941">
        <f t="shared" si="49"/>
        <v>7000</v>
      </c>
      <c r="H941">
        <f t="shared" si="50"/>
        <v>1</v>
      </c>
      <c r="I941" t="str">
        <f t="shared" si="48"/>
        <v>PENICILINA G BENZATINICA 1,2000,000 U.I / BENZATIDELT X10</v>
      </c>
    </row>
    <row r="942" spans="1:9">
      <c r="A942" s="69" t="s">
        <v>2308</v>
      </c>
      <c r="B942" s="14">
        <v>3</v>
      </c>
      <c r="C942" s="105">
        <v>0.19</v>
      </c>
      <c r="D942" s="308" t="s">
        <v>80</v>
      </c>
      <c r="E942" s="13" t="s">
        <v>1792</v>
      </c>
      <c r="F942" s="61">
        <v>7707271203385</v>
      </c>
      <c r="G942">
        <f t="shared" si="49"/>
        <v>6000</v>
      </c>
      <c r="H942">
        <f t="shared" si="50"/>
        <v>1</v>
      </c>
      <c r="I942" t="str">
        <f t="shared" si="48"/>
        <v>VASELINA X120GR - YOMA</v>
      </c>
    </row>
    <row r="943" spans="1:9" ht="15">
      <c r="A943" s="74" t="s">
        <v>1692</v>
      </c>
      <c r="B943" s="36">
        <v>1</v>
      </c>
      <c r="C943" s="164">
        <v>0</v>
      </c>
      <c r="D943" s="378" t="s">
        <v>1693</v>
      </c>
      <c r="E943" s="76" t="s">
        <v>1694</v>
      </c>
      <c r="F943" s="46">
        <v>7702057014148</v>
      </c>
      <c r="G943">
        <f t="shared" si="49"/>
        <v>110000</v>
      </c>
      <c r="H943">
        <f t="shared" si="50"/>
        <v>2</v>
      </c>
      <c r="I943" t="str">
        <f t="shared" si="48"/>
        <v>TRAVAD PIK *2 SOBRES</v>
      </c>
    </row>
    <row r="944" spans="1:9" ht="15">
      <c r="A944" s="56" t="s">
        <v>2309</v>
      </c>
      <c r="B944" s="153">
        <v>4</v>
      </c>
      <c r="C944" s="105">
        <v>0.19</v>
      </c>
      <c r="D944" s="375" t="s">
        <v>2310</v>
      </c>
      <c r="E944" s="96" t="s">
        <v>2311</v>
      </c>
      <c r="F944" s="155">
        <v>7707280391509</v>
      </c>
      <c r="G944">
        <f t="shared" si="49"/>
        <v>12000</v>
      </c>
      <c r="H944">
        <f t="shared" si="50"/>
        <v>240</v>
      </c>
      <c r="I944" t="str">
        <f t="shared" si="48"/>
        <v>SEDA DENTAL CERA- MENTA *240M</v>
      </c>
    </row>
    <row r="945" spans="1:9">
      <c r="A945" t="s">
        <v>2312</v>
      </c>
      <c r="B945" s="23">
        <v>3</v>
      </c>
      <c r="C945" s="51">
        <v>0.19</v>
      </c>
      <c r="D945" s="446" t="s">
        <v>91</v>
      </c>
      <c r="E945" s="39" t="s">
        <v>2313</v>
      </c>
      <c r="F945" s="42">
        <v>7707225579450</v>
      </c>
      <c r="G945">
        <f t="shared" si="49"/>
        <v>16000</v>
      </c>
      <c r="H945">
        <f t="shared" si="50"/>
        <v>1</v>
      </c>
      <c r="I945" t="str">
        <f t="shared" si="48"/>
        <v>CEPILLO EXTRA SUAVE COLDENT - CERDAS CÓNICAS</v>
      </c>
    </row>
    <row r="946" spans="1:9">
      <c r="A946" s="71" t="s">
        <v>2314</v>
      </c>
      <c r="B946" s="14">
        <v>1</v>
      </c>
      <c r="C946" s="105">
        <v>0</v>
      </c>
      <c r="D946" s="308" t="s">
        <v>222</v>
      </c>
      <c r="E946" s="12" t="s">
        <v>2113</v>
      </c>
      <c r="F946" s="61">
        <v>7702123012214</v>
      </c>
      <c r="G946">
        <f t="shared" si="49"/>
        <v>1500</v>
      </c>
      <c r="H946">
        <f t="shared" si="50"/>
        <v>1</v>
      </c>
      <c r="I946" t="str">
        <f t="shared" si="48"/>
        <v>CAFIASPIRINA FORTE X36 TABS</v>
      </c>
    </row>
    <row r="947" spans="1:9">
      <c r="A947" s="69" t="s">
        <v>2315</v>
      </c>
      <c r="B947" s="14">
        <v>2</v>
      </c>
      <c r="C947" s="51">
        <v>0.19</v>
      </c>
      <c r="D947" s="446" t="s">
        <v>768</v>
      </c>
      <c r="E947" s="13" t="s">
        <v>769</v>
      </c>
      <c r="F947" s="61">
        <v>7707056200011</v>
      </c>
      <c r="G947">
        <f t="shared" si="49"/>
        <v>51000</v>
      </c>
      <c r="H947">
        <f t="shared" si="50"/>
        <v>1</v>
      </c>
      <c r="I947" t="str">
        <f t="shared" si="48"/>
        <v>VITACEREBRINA NARANJA JARABE</v>
      </c>
    </row>
    <row r="948" spans="1:9" ht="15">
      <c r="A948" s="112" t="s">
        <v>2317</v>
      </c>
      <c r="B948" s="37">
        <v>6</v>
      </c>
      <c r="C948" s="37">
        <v>0</v>
      </c>
      <c r="D948" s="376" t="s">
        <v>2318</v>
      </c>
      <c r="E948" s="112" t="s">
        <v>110</v>
      </c>
      <c r="F948" s="115">
        <v>7709587585094</v>
      </c>
      <c r="G948">
        <f t="shared" si="49"/>
        <v>13000</v>
      </c>
      <c r="H948">
        <f t="shared" si="50"/>
        <v>1</v>
      </c>
      <c r="I948" t="str">
        <f t="shared" si="48"/>
        <v>DERTRIFAR CREMA / CLOTRIMAZOL + NEOMICINA + DEXAMETASONA X20GR</v>
      </c>
    </row>
    <row r="949" spans="1:9" ht="15">
      <c r="A949" s="117" t="s">
        <v>2319</v>
      </c>
      <c r="B949" s="37">
        <v>3</v>
      </c>
      <c r="C949" s="429">
        <v>0.19</v>
      </c>
      <c r="D949" s="376" t="s">
        <v>2320</v>
      </c>
      <c r="E949" s="112" t="s">
        <v>2321</v>
      </c>
      <c r="F949" s="115">
        <v>7707223662284</v>
      </c>
      <c r="G949">
        <f t="shared" si="49"/>
        <v>11000</v>
      </c>
      <c r="H949">
        <f t="shared" si="50"/>
        <v>1</v>
      </c>
      <c r="I949" t="str">
        <f t="shared" si="48"/>
        <v>REPELENTE SPRAY ADULTO X120ML / OUT VITAMINA E</v>
      </c>
    </row>
    <row r="950" spans="1:9">
      <c r="A950" s="71" t="s">
        <v>521</v>
      </c>
      <c r="B950" s="14">
        <v>1</v>
      </c>
      <c r="C950" s="105">
        <v>0.05</v>
      </c>
      <c r="D950" s="308" t="s">
        <v>2322</v>
      </c>
      <c r="E950" s="13" t="s">
        <v>523</v>
      </c>
      <c r="F950" s="211">
        <v>7703006086339</v>
      </c>
      <c r="G950">
        <f t="shared" si="49"/>
        <v>26500</v>
      </c>
      <c r="H950">
        <f t="shared" si="50"/>
        <v>650</v>
      </c>
      <c r="I950" t="str">
        <f t="shared" si="48"/>
        <v>STEVIA BIOLADIET *650 TABS</v>
      </c>
    </row>
    <row r="951" spans="1:9">
      <c r="A951" s="24" t="s">
        <v>2323</v>
      </c>
      <c r="B951" s="30">
        <v>2</v>
      </c>
      <c r="C951" s="31">
        <v>0</v>
      </c>
      <c r="D951" s="447" t="s">
        <v>450</v>
      </c>
      <c r="E951" s="7" t="s">
        <v>2324</v>
      </c>
      <c r="F951" s="63">
        <v>7702896001156</v>
      </c>
      <c r="G951">
        <f t="shared" si="49"/>
        <v>28500</v>
      </c>
      <c r="H951">
        <f t="shared" si="50"/>
        <v>1</v>
      </c>
      <c r="I951" t="str">
        <f t="shared" si="48"/>
        <v>TOBROPTIC COMPUESTO GOTAS / TOBRAMICINA + DEXAMETASONA</v>
      </c>
    </row>
    <row r="952" spans="1:9" ht="15">
      <c r="A952" s="19" t="s">
        <v>1701</v>
      </c>
      <c r="B952" s="37">
        <v>1</v>
      </c>
      <c r="C952" s="429">
        <v>0</v>
      </c>
      <c r="D952" s="376" t="s">
        <v>427</v>
      </c>
      <c r="E952" s="117" t="s">
        <v>1702</v>
      </c>
      <c r="F952" s="115">
        <v>7707035510582</v>
      </c>
      <c r="G952">
        <f t="shared" si="49"/>
        <v>2500</v>
      </c>
      <c r="H952">
        <f t="shared" si="50"/>
        <v>10</v>
      </c>
      <c r="I952" t="str">
        <f t="shared" si="48"/>
        <v>ENALAPRIL 20MG - X250 TABS - ANGLOPHARMA</v>
      </c>
    </row>
    <row r="953" spans="1:9" ht="15">
      <c r="A953" s="18" t="s">
        <v>1220</v>
      </c>
      <c r="B953" s="17">
        <v>1</v>
      </c>
      <c r="C953" s="124">
        <v>0</v>
      </c>
      <c r="D953" s="321" t="s">
        <v>118</v>
      </c>
      <c r="E953" s="73" t="s">
        <v>1221</v>
      </c>
      <c r="F953" s="20">
        <v>7702195873256</v>
      </c>
      <c r="G953">
        <f t="shared" si="49"/>
        <v>13000</v>
      </c>
      <c r="H953">
        <f t="shared" si="50"/>
        <v>1</v>
      </c>
      <c r="I953" t="str">
        <f t="shared" si="48"/>
        <v>ISODINE SOLUCIÓN X60ML</v>
      </c>
    </row>
    <row r="954" spans="1:9">
      <c r="A954" s="13" t="s">
        <v>73</v>
      </c>
      <c r="B954" s="14">
        <v>4</v>
      </c>
      <c r="C954" s="105">
        <v>0</v>
      </c>
      <c r="D954" s="308" t="s">
        <v>74</v>
      </c>
      <c r="E954" s="13" t="s">
        <v>75</v>
      </c>
      <c r="F954" s="211">
        <v>7707019466218</v>
      </c>
      <c r="G954">
        <f t="shared" si="49"/>
        <v>20000</v>
      </c>
      <c r="H954">
        <f t="shared" si="50"/>
        <v>1</v>
      </c>
      <c r="I954" t="str">
        <f t="shared" si="48"/>
        <v>TRIATUSIC JARABE / DEXTROMETORFANO AMBROXOL Y TEOFILINA</v>
      </c>
    </row>
    <row r="955" spans="1:9" ht="15">
      <c r="A955" s="117" t="s">
        <v>1561</v>
      </c>
      <c r="B955" s="37">
        <v>4</v>
      </c>
      <c r="C955" s="37">
        <v>0</v>
      </c>
      <c r="D955" s="376" t="s">
        <v>2329</v>
      </c>
      <c r="E955" s="112" t="s">
        <v>1563</v>
      </c>
      <c r="F955" s="115">
        <v>7707019384116</v>
      </c>
      <c r="G955" t="e">
        <f t="shared" si="49"/>
        <v>#VALUE!</v>
      </c>
      <c r="H955">
        <f t="shared" si="50"/>
        <v>1</v>
      </c>
      <c r="I955" t="str">
        <f t="shared" si="48"/>
        <v>TADALAFILO 20MG / VERELIS X4 TABS</v>
      </c>
    </row>
    <row r="956" spans="1:9">
      <c r="A956" t="s">
        <v>2330</v>
      </c>
      <c r="B956" s="23">
        <v>4</v>
      </c>
      <c r="C956" s="51">
        <v>0</v>
      </c>
      <c r="D956" s="446" t="s">
        <v>534</v>
      </c>
      <c r="E956" s="39" t="s">
        <v>2331</v>
      </c>
      <c r="F956" s="42">
        <v>7703712035683</v>
      </c>
      <c r="G956">
        <f t="shared" si="49"/>
        <v>12000</v>
      </c>
      <c r="H956">
        <f t="shared" si="50"/>
        <v>4</v>
      </c>
      <c r="I956" t="str">
        <f t="shared" si="48"/>
        <v>TADALAFILO 20MG - COASPHARMA X4 TABS</v>
      </c>
    </row>
    <row r="957" spans="1:9">
      <c r="A957" s="69" t="s">
        <v>2332</v>
      </c>
      <c r="B957" s="14">
        <v>2</v>
      </c>
      <c r="C957" s="14">
        <v>0</v>
      </c>
      <c r="D957" s="308" t="s">
        <v>2333</v>
      </c>
      <c r="E957" s="13" t="s">
        <v>2334</v>
      </c>
      <c r="F957" s="61">
        <v>7702027429293</v>
      </c>
      <c r="G957">
        <f t="shared" si="49"/>
        <v>15000</v>
      </c>
      <c r="H957">
        <f t="shared" si="50"/>
        <v>24</v>
      </c>
      <c r="I957" t="str">
        <f t="shared" si="48"/>
        <v>TOALLAS NOSOTRAS EXTRA PROTECCION DIA Y NOCHE X24</v>
      </c>
    </row>
    <row r="958" spans="1:9">
      <c r="A958" s="71" t="s">
        <v>1031</v>
      </c>
      <c r="B958" s="14">
        <v>1</v>
      </c>
      <c r="C958" s="14">
        <v>0</v>
      </c>
      <c r="D958" s="308" t="s">
        <v>1032</v>
      </c>
      <c r="E958" s="12" t="s">
        <v>1033</v>
      </c>
      <c r="F958" s="61">
        <v>7501165010444</v>
      </c>
      <c r="G958">
        <f t="shared" si="49"/>
        <v>2200</v>
      </c>
      <c r="H958">
        <f t="shared" si="50"/>
        <v>1</v>
      </c>
      <c r="I958" t="str">
        <f t="shared" si="48"/>
        <v>NOVALGINA 500MG X50TAB</v>
      </c>
    </row>
    <row r="959" spans="1:9">
      <c r="A959" s="69" t="s">
        <v>2339</v>
      </c>
      <c r="B959" s="14">
        <v>1</v>
      </c>
      <c r="C959" s="105">
        <v>0.19</v>
      </c>
      <c r="D959" s="308" t="s">
        <v>293</v>
      </c>
      <c r="E959" s="13" t="s">
        <v>2340</v>
      </c>
      <c r="F959" s="61">
        <v>7709812676580</v>
      </c>
      <c r="G959">
        <f t="shared" si="49"/>
        <v>4000</v>
      </c>
      <c r="H959">
        <f t="shared" si="50"/>
        <v>1</v>
      </c>
      <c r="I959" t="str">
        <f t="shared" si="48"/>
        <v>MENTOL ZAHYE *12GR CAJA X12 UNDS</v>
      </c>
    </row>
    <row r="960" spans="1:9" ht="15">
      <c r="A960" s="117" t="s">
        <v>2341</v>
      </c>
      <c r="B960" s="37">
        <v>1</v>
      </c>
      <c r="C960" s="429">
        <v>0.19</v>
      </c>
      <c r="D960" s="376" t="s">
        <v>2342</v>
      </c>
      <c r="E960" s="112" t="s">
        <v>2343</v>
      </c>
      <c r="F960" s="115">
        <v>7704232001974</v>
      </c>
      <c r="G960">
        <f t="shared" si="49"/>
        <v>55000</v>
      </c>
      <c r="H960">
        <f t="shared" si="50"/>
        <v>1</v>
      </c>
      <c r="I960" t="str">
        <f t="shared" si="48"/>
        <v>FITOESTIMOLINE JABON LIQUIDO X250ML</v>
      </c>
    </row>
    <row r="961" spans="1:9">
      <c r="A961" s="13" t="s">
        <v>2344</v>
      </c>
      <c r="B961" s="14">
        <v>1</v>
      </c>
      <c r="C961" s="105">
        <v>0</v>
      </c>
      <c r="D961" s="308" t="s">
        <v>2345</v>
      </c>
      <c r="E961" s="13" t="s">
        <v>273</v>
      </c>
      <c r="F961" s="61">
        <v>7707367050954</v>
      </c>
      <c r="G961">
        <f t="shared" si="49"/>
        <v>11000</v>
      </c>
      <c r="H961">
        <f t="shared" si="50"/>
        <v>10</v>
      </c>
      <c r="I961" t="str">
        <f t="shared" si="48"/>
        <v>NODOL FORTE X30 TABS / ACETAMINOFEN 325+ CODEINA FOSF 30MG</v>
      </c>
    </row>
    <row r="962" spans="1:9" ht="15">
      <c r="A962" s="117" t="s">
        <v>2346</v>
      </c>
      <c r="B962" s="37">
        <v>1</v>
      </c>
      <c r="C962" s="37">
        <v>0</v>
      </c>
      <c r="D962" s="376" t="s">
        <v>808</v>
      </c>
      <c r="E962" s="112" t="s">
        <v>107</v>
      </c>
      <c r="F962" s="115">
        <v>7703546416689</v>
      </c>
      <c r="G962">
        <f t="shared" si="49"/>
        <v>13000</v>
      </c>
      <c r="H962">
        <f t="shared" si="50"/>
        <v>10</v>
      </c>
      <c r="I962" t="str">
        <f t="shared" si="48"/>
        <v>ESOMEPRAZOL 40MG X30 - NOVAMED</v>
      </c>
    </row>
    <row r="963" spans="1:9">
      <c r="A963" s="22" t="s">
        <v>357</v>
      </c>
      <c r="B963" s="23">
        <v>1</v>
      </c>
      <c r="C963" s="51">
        <v>0.19</v>
      </c>
      <c r="D963" s="446" t="s">
        <v>358</v>
      </c>
      <c r="E963" s="39" t="s">
        <v>359</v>
      </c>
      <c r="F963" s="42">
        <v>17707270361229</v>
      </c>
      <c r="G963">
        <f t="shared" si="49"/>
        <v>500</v>
      </c>
      <c r="H963">
        <f t="shared" si="50"/>
        <v>1</v>
      </c>
      <c r="I963" t="str">
        <f t="shared" ref="I963:I1026" si="51">TRIM(A963)</f>
        <v>JERINGA 5ML - MEDISPO/ PROTEX CAJA X100</v>
      </c>
    </row>
    <row r="964" spans="1:9">
      <c r="A964" s="69" t="s">
        <v>1844</v>
      </c>
      <c r="B964" s="14">
        <v>2</v>
      </c>
      <c r="C964" s="105">
        <v>0</v>
      </c>
      <c r="D964" s="308" t="s">
        <v>603</v>
      </c>
      <c r="E964" s="13" t="s">
        <v>1845</v>
      </c>
      <c r="F964" s="61">
        <v>7703153020262</v>
      </c>
      <c r="G964">
        <f t="shared" si="49"/>
        <v>17000</v>
      </c>
      <c r="H964">
        <f t="shared" si="50"/>
        <v>10</v>
      </c>
      <c r="I964" t="str">
        <f t="shared" si="51"/>
        <v>ORLISTAT *60 CAPS- COLMED</v>
      </c>
    </row>
    <row r="965" spans="1:9">
      <c r="A965" s="22" t="s">
        <v>2347</v>
      </c>
      <c r="B965" s="23">
        <v>1</v>
      </c>
      <c r="C965" s="51">
        <v>0</v>
      </c>
      <c r="D965" s="446" t="s">
        <v>2348</v>
      </c>
      <c r="E965" s="39" t="s">
        <v>721</v>
      </c>
      <c r="F965" s="42">
        <v>8903726196366</v>
      </c>
      <c r="G965">
        <f t="shared" si="49"/>
        <v>15000</v>
      </c>
      <c r="H965">
        <f t="shared" si="50"/>
        <v>10</v>
      </c>
      <c r="I965" t="str">
        <f t="shared" si="51"/>
        <v>OLMESARTAN 40MG / OLMEDOXTAN</v>
      </c>
    </row>
    <row r="966" spans="1:9" ht="15">
      <c r="A966" s="117" t="s">
        <v>1418</v>
      </c>
      <c r="B966" s="37">
        <v>1</v>
      </c>
      <c r="C966" s="429">
        <v>0.19</v>
      </c>
      <c r="D966" s="376" t="s">
        <v>1419</v>
      </c>
      <c r="E966" s="112" t="s">
        <v>1420</v>
      </c>
      <c r="F966" s="115">
        <v>7702354945329</v>
      </c>
      <c r="G966">
        <f t="shared" si="49"/>
        <v>9500</v>
      </c>
      <c r="H966">
        <f t="shared" si="50"/>
        <v>1</v>
      </c>
      <c r="I966" t="str">
        <f t="shared" si="51"/>
        <v>CEREBRIT DOYPACK X100GR</v>
      </c>
    </row>
    <row r="967" spans="1:9" ht="15">
      <c r="A967" s="117" t="s">
        <v>1418</v>
      </c>
      <c r="B967" s="37">
        <v>1</v>
      </c>
      <c r="C967" s="429">
        <v>0.19</v>
      </c>
      <c r="D967" s="376" t="s">
        <v>2349</v>
      </c>
      <c r="E967" s="112" t="s">
        <v>1420</v>
      </c>
      <c r="F967" s="115">
        <v>7702354945367</v>
      </c>
      <c r="G967">
        <f t="shared" si="49"/>
        <v>22000</v>
      </c>
      <c r="H967">
        <f t="shared" si="50"/>
        <v>1</v>
      </c>
      <c r="I967" t="str">
        <f t="shared" si="51"/>
        <v>CEREBRIT DOYPACK X100GR</v>
      </c>
    </row>
    <row r="968" spans="1:9" ht="15">
      <c r="A968" s="117" t="s">
        <v>2350</v>
      </c>
      <c r="B968" s="37">
        <v>10</v>
      </c>
      <c r="C968" s="37">
        <v>0</v>
      </c>
      <c r="D968" s="376" t="s">
        <v>2351</v>
      </c>
      <c r="E968" s="112" t="s">
        <v>1038</v>
      </c>
      <c r="F968" s="115">
        <v>7702605102303</v>
      </c>
      <c r="G968">
        <f t="shared" si="49"/>
        <v>2000</v>
      </c>
      <c r="H968">
        <f t="shared" si="50"/>
        <v>10</v>
      </c>
      <c r="I968" t="str">
        <f t="shared" si="51"/>
        <v>HIDROXICINA TABLETAS 25MG - X20 GENFAR</v>
      </c>
    </row>
    <row r="969" spans="1:9">
      <c r="A969" t="s">
        <v>2356</v>
      </c>
      <c r="B969" s="23">
        <v>2</v>
      </c>
      <c r="C969" s="23">
        <v>0</v>
      </c>
      <c r="D969" s="446" t="s">
        <v>1886</v>
      </c>
      <c r="E969" s="39" t="s">
        <v>2357</v>
      </c>
      <c r="F969" s="42">
        <v>7703252489526</v>
      </c>
      <c r="G969">
        <f t="shared" si="49"/>
        <v>20000</v>
      </c>
      <c r="H969">
        <f t="shared" si="50"/>
        <v>20</v>
      </c>
      <c r="I969" t="str">
        <f t="shared" si="51"/>
        <v>TOALLAS MATERNAS X20- MATERNITY CLASICA</v>
      </c>
    </row>
    <row r="970" spans="1:9">
      <c r="A970" s="71" t="s">
        <v>2361</v>
      </c>
      <c r="B970" s="14">
        <v>2</v>
      </c>
      <c r="C970" s="136">
        <v>0</v>
      </c>
      <c r="D970" s="469" t="s">
        <v>276</v>
      </c>
      <c r="E970" s="13" t="s">
        <v>1131</v>
      </c>
      <c r="F970" s="61">
        <v>7707313288455</v>
      </c>
      <c r="G970">
        <f t="shared" si="49"/>
        <v>22000</v>
      </c>
      <c r="H970">
        <f t="shared" si="50"/>
        <v>1</v>
      </c>
      <c r="I970" t="str">
        <f t="shared" si="51"/>
        <v>ACTIFREN NIÑO- FRESA</v>
      </c>
    </row>
    <row r="971" spans="1:9">
      <c r="A971" s="28" t="s">
        <v>1920</v>
      </c>
      <c r="B971" s="30">
        <v>1</v>
      </c>
      <c r="C971" s="31">
        <v>0</v>
      </c>
      <c r="D971" s="447" t="s">
        <v>567</v>
      </c>
      <c r="E971" s="8" t="s">
        <v>273</v>
      </c>
      <c r="F971" s="63">
        <v>7704412080867</v>
      </c>
      <c r="G971">
        <f t="shared" si="49"/>
        <v>18000</v>
      </c>
      <c r="H971">
        <f t="shared" si="50"/>
        <v>30</v>
      </c>
      <c r="I971" t="str">
        <f t="shared" si="51"/>
        <v>ALOPURINOL 300MG- MEMPHIS</v>
      </c>
    </row>
    <row r="972" spans="1:9" ht="15">
      <c r="A972" s="117" t="s">
        <v>1037</v>
      </c>
      <c r="B972" s="37">
        <v>1</v>
      </c>
      <c r="C972" s="37">
        <v>0</v>
      </c>
      <c r="D972" s="376" t="s">
        <v>1955</v>
      </c>
      <c r="E972" s="112" t="s">
        <v>1038</v>
      </c>
      <c r="F972" s="115">
        <v>7703153040475</v>
      </c>
      <c r="G972">
        <f t="shared" si="49"/>
        <v>3600</v>
      </c>
      <c r="H972">
        <f t="shared" si="50"/>
        <v>1</v>
      </c>
      <c r="I972" t="str">
        <f t="shared" si="51"/>
        <v>BETAHISTINA 24MG - COLMED X20</v>
      </c>
    </row>
    <row r="973" spans="1:9" ht="15">
      <c r="A973" s="117" t="s">
        <v>2362</v>
      </c>
      <c r="B973" s="37">
        <v>1</v>
      </c>
      <c r="C973" s="37">
        <v>0</v>
      </c>
      <c r="D973" s="376" t="s">
        <v>2363</v>
      </c>
      <c r="E973" s="112" t="s">
        <v>2364</v>
      </c>
      <c r="F973" s="115">
        <v>26958694900312</v>
      </c>
      <c r="G973">
        <f t="shared" si="49"/>
        <v>500</v>
      </c>
      <c r="H973">
        <f t="shared" si="50"/>
        <v>1</v>
      </c>
      <c r="I973" t="str">
        <f t="shared" si="51"/>
        <v>JERINGA 5ML - NIPRO X100</v>
      </c>
    </row>
    <row r="974" spans="1:9" ht="15">
      <c r="A974" s="117" t="s">
        <v>1204</v>
      </c>
      <c r="B974" s="37">
        <v>2</v>
      </c>
      <c r="C974" s="37">
        <v>0</v>
      </c>
      <c r="D974" s="376" t="s">
        <v>808</v>
      </c>
      <c r="E974" s="112" t="s">
        <v>107</v>
      </c>
      <c r="F974" s="115">
        <v>8904159618401</v>
      </c>
      <c r="G974">
        <f t="shared" si="49"/>
        <v>13000</v>
      </c>
      <c r="H974">
        <f t="shared" si="50"/>
        <v>10</v>
      </c>
      <c r="I974" t="str">
        <f t="shared" si="51"/>
        <v>ROSUVASTATINA 20MG - DISMIGRAS X30</v>
      </c>
    </row>
    <row r="975" spans="1:9">
      <c r="A975" s="22" t="s">
        <v>2369</v>
      </c>
      <c r="B975" s="23">
        <v>3</v>
      </c>
      <c r="C975" s="51">
        <v>0</v>
      </c>
      <c r="D975" s="446" t="s">
        <v>32</v>
      </c>
      <c r="E975" s="41" t="s">
        <v>2370</v>
      </c>
      <c r="F975" s="42">
        <v>7702605103652</v>
      </c>
      <c r="G975">
        <f t="shared" si="49"/>
        <v>12000</v>
      </c>
      <c r="H975">
        <f t="shared" si="50"/>
        <v>1</v>
      </c>
      <c r="I975" t="str">
        <f t="shared" si="51"/>
        <v>SULFADIAZINA PLATA GENFAR X15GR</v>
      </c>
    </row>
    <row r="976" spans="1:9">
      <c r="A976" t="s">
        <v>1759</v>
      </c>
      <c r="B976" s="23">
        <v>1</v>
      </c>
      <c r="C976" s="51">
        <v>0.19</v>
      </c>
      <c r="D976" s="446" t="s">
        <v>471</v>
      </c>
      <c r="E976" s="39" t="s">
        <v>1760</v>
      </c>
      <c r="F976" s="42">
        <v>7705471205925</v>
      </c>
      <c r="G976">
        <f t="shared" si="49"/>
        <v>9000</v>
      </c>
      <c r="H976">
        <f t="shared" si="50"/>
        <v>1</v>
      </c>
      <c r="I976" t="str">
        <f t="shared" si="51"/>
        <v>ACEITE ALMENDRAS ATHOS *120ML</v>
      </c>
    </row>
    <row r="977" spans="1:9">
      <c r="A977" s="69" t="s">
        <v>2372</v>
      </c>
      <c r="B977" s="14">
        <v>1</v>
      </c>
      <c r="C977" s="105">
        <v>0.19</v>
      </c>
      <c r="D977" s="308" t="s">
        <v>91</v>
      </c>
      <c r="E977" s="13" t="s">
        <v>2373</v>
      </c>
      <c r="F977" s="61">
        <v>7709559308102</v>
      </c>
      <c r="G977">
        <f t="shared" si="49"/>
        <v>16000</v>
      </c>
      <c r="H977">
        <f t="shared" si="50"/>
        <v>1</v>
      </c>
      <c r="I977" t="str">
        <f t="shared" si="51"/>
        <v>MENTOL ZAHYE X60GR</v>
      </c>
    </row>
    <row r="978" spans="1:9">
      <c r="A978" s="24" t="s">
        <v>1594</v>
      </c>
      <c r="B978" s="30">
        <v>1</v>
      </c>
      <c r="C978" s="31">
        <v>0</v>
      </c>
      <c r="D978" s="447" t="s">
        <v>2374</v>
      </c>
      <c r="E978" s="7" t="s">
        <v>1596</v>
      </c>
      <c r="F978" s="63">
        <v>650240030840</v>
      </c>
      <c r="G978">
        <f t="shared" si="49"/>
        <v>47000</v>
      </c>
      <c r="H978">
        <f t="shared" si="50"/>
        <v>3</v>
      </c>
      <c r="I978" t="str">
        <f t="shared" si="51"/>
        <v>LOMECAN V OVULOS *3</v>
      </c>
    </row>
    <row r="979" spans="1:9">
      <c r="A979" t="s">
        <v>2375</v>
      </c>
      <c r="B979" s="23">
        <v>1</v>
      </c>
      <c r="C979" s="23">
        <v>0</v>
      </c>
      <c r="D979" s="446" t="s">
        <v>214</v>
      </c>
      <c r="E979" s="41" t="s">
        <v>2376</v>
      </c>
      <c r="F979" s="42">
        <v>7702195891250</v>
      </c>
      <c r="G979">
        <f t="shared" si="49"/>
        <v>2000</v>
      </c>
      <c r="H979">
        <f t="shared" si="50"/>
        <v>1</v>
      </c>
      <c r="I979" t="str">
        <f t="shared" si="51"/>
        <v>TADALAFILO 5MG - DAFULL X28</v>
      </c>
    </row>
    <row r="980" spans="1:9">
      <c r="A980" s="146" t="s">
        <v>2379</v>
      </c>
      <c r="B980" s="147">
        <v>1</v>
      </c>
      <c r="C980" s="147">
        <v>0</v>
      </c>
      <c r="D980" s="444" t="s">
        <v>115</v>
      </c>
      <c r="E980" s="159" t="s">
        <v>273</v>
      </c>
      <c r="F980" s="160">
        <v>7707367050961</v>
      </c>
      <c r="G980">
        <f t="shared" si="49"/>
        <v>18000</v>
      </c>
      <c r="H980">
        <f t="shared" si="50"/>
        <v>10</v>
      </c>
      <c r="I980" t="str">
        <f t="shared" si="51"/>
        <v>MIGRADOL CAJA X30 / ERGOTAMINA + CAFEINA</v>
      </c>
    </row>
    <row r="981" spans="1:9">
      <c r="A981" s="24" t="s">
        <v>2380</v>
      </c>
      <c r="B981" s="30">
        <v>1</v>
      </c>
      <c r="C981" s="31">
        <v>0</v>
      </c>
      <c r="D981" s="447" t="s">
        <v>2381</v>
      </c>
      <c r="E981" s="8" t="s">
        <v>860</v>
      </c>
      <c r="F981" s="63">
        <v>7702026181949</v>
      </c>
      <c r="G981">
        <f t="shared" si="49"/>
        <v>57000</v>
      </c>
      <c r="H981">
        <f t="shared" si="50"/>
        <v>16</v>
      </c>
      <c r="I981" t="str">
        <f t="shared" si="51"/>
        <v>TENA PANTS CLASICO M X16</v>
      </c>
    </row>
    <row r="982" spans="1:9" ht="15">
      <c r="A982" s="53" t="s">
        <v>2385</v>
      </c>
      <c r="B982" s="153">
        <v>1</v>
      </c>
      <c r="C982" s="429">
        <v>0</v>
      </c>
      <c r="D982" s="376" t="s">
        <v>2386</v>
      </c>
      <c r="E982" s="152" t="s">
        <v>2387</v>
      </c>
      <c r="F982" s="155">
        <v>7707210530114</v>
      </c>
      <c r="G982">
        <f t="shared" si="49"/>
        <v>3500</v>
      </c>
      <c r="H982">
        <f t="shared" si="50"/>
        <v>1</v>
      </c>
      <c r="I982" t="str">
        <f t="shared" si="51"/>
        <v>FORZ CREMA *24 SOBRES (X1)</v>
      </c>
    </row>
    <row r="983" spans="1:9" ht="15">
      <c r="A983" s="112" t="s">
        <v>2388</v>
      </c>
      <c r="B983" s="37">
        <v>1</v>
      </c>
      <c r="C983" s="37">
        <v>0</v>
      </c>
      <c r="D983" s="376" t="s">
        <v>1229</v>
      </c>
      <c r="E983" s="112" t="s">
        <v>107</v>
      </c>
      <c r="F983" s="115">
        <v>7707355053912</v>
      </c>
      <c r="G983">
        <f t="shared" si="49"/>
        <v>16500</v>
      </c>
      <c r="H983">
        <f t="shared" si="50"/>
        <v>10</v>
      </c>
      <c r="I983" t="str">
        <f t="shared" si="51"/>
        <v>METOFRMINA 100MG / GLIFORMIN X30 TABS SIEGFRIED</v>
      </c>
    </row>
    <row r="984" spans="1:9">
      <c r="A984" t="s">
        <v>2389</v>
      </c>
      <c r="B984" s="23">
        <v>1</v>
      </c>
      <c r="C984" s="51">
        <v>0</v>
      </c>
      <c r="D984" s="446" t="s">
        <v>318</v>
      </c>
      <c r="E984" s="41" t="s">
        <v>2390</v>
      </c>
      <c r="F984" s="42">
        <v>7594002621965</v>
      </c>
      <c r="G984">
        <f t="shared" si="49"/>
        <v>8500</v>
      </c>
      <c r="H984">
        <f t="shared" si="50"/>
        <v>1</v>
      </c>
      <c r="I984" t="str">
        <f t="shared" si="51"/>
        <v>FLORATIL - CAPSULAS</v>
      </c>
    </row>
    <row r="985" spans="1:9" ht="15">
      <c r="A985" s="45" t="s">
        <v>1278</v>
      </c>
      <c r="B985" s="36">
        <v>1</v>
      </c>
      <c r="C985" s="164">
        <v>0.19</v>
      </c>
      <c r="D985" s="378" t="s">
        <v>1279</v>
      </c>
      <c r="E985" s="74" t="s">
        <v>1280</v>
      </c>
      <c r="F985" s="46">
        <v>7702277610137</v>
      </c>
      <c r="G985">
        <f t="shared" si="49"/>
        <v>18500</v>
      </c>
      <c r="H985">
        <f t="shared" si="50"/>
        <v>1</v>
      </c>
      <c r="I985" t="str">
        <f t="shared" si="51"/>
        <v>INTIBON JABON CALENDULA MUJER X210GR</v>
      </c>
    </row>
    <row r="986" spans="1:9" ht="15">
      <c r="A986" s="45" t="s">
        <v>1281</v>
      </c>
      <c r="B986" s="36">
        <v>2</v>
      </c>
      <c r="C986" s="164">
        <v>0.19</v>
      </c>
      <c r="D986" s="378" t="s">
        <v>1282</v>
      </c>
      <c r="E986" s="74" t="s">
        <v>1283</v>
      </c>
      <c r="F986" s="46">
        <v>7702277509554</v>
      </c>
      <c r="G986">
        <f t="shared" si="49"/>
        <v>12500</v>
      </c>
      <c r="H986">
        <f t="shared" si="50"/>
        <v>1</v>
      </c>
      <c r="I986" t="str">
        <f t="shared" si="51"/>
        <v>INTIBON JABON CALENDULA MUJER X120GR</v>
      </c>
    </row>
    <row r="987" spans="1:9" ht="15">
      <c r="A987" s="117" t="s">
        <v>1184</v>
      </c>
      <c r="B987" s="37">
        <v>2</v>
      </c>
      <c r="C987" s="37">
        <v>0</v>
      </c>
      <c r="D987" s="376" t="s">
        <v>118</v>
      </c>
      <c r="E987" s="112" t="s">
        <v>1185</v>
      </c>
      <c r="F987" s="115">
        <v>7704175687457</v>
      </c>
      <c r="G987">
        <f t="shared" si="49"/>
        <v>13000</v>
      </c>
      <c r="H987">
        <f t="shared" si="50"/>
        <v>1</v>
      </c>
      <c r="I987" t="str">
        <f t="shared" si="51"/>
        <v>ZARZAPARRILLA - ZAZAMAS</v>
      </c>
    </row>
    <row r="988" spans="1:9" ht="15">
      <c r="A988" s="45" t="s">
        <v>1291</v>
      </c>
      <c r="B988" s="37">
        <v>1</v>
      </c>
      <c r="C988" s="164">
        <v>0.19</v>
      </c>
      <c r="D988" s="378" t="s">
        <v>1292</v>
      </c>
      <c r="E988" s="74" t="s">
        <v>1283</v>
      </c>
      <c r="F988" s="46">
        <v>7702277963752</v>
      </c>
      <c r="G988">
        <f t="shared" si="49"/>
        <v>27000</v>
      </c>
      <c r="H988">
        <f t="shared" si="50"/>
        <v>1</v>
      </c>
      <c r="I988" t="str">
        <f t="shared" si="51"/>
        <v>INTIBON JABON CALENDULA MUJER 210GR + X120GR</v>
      </c>
    </row>
    <row r="989" spans="1:9" ht="15">
      <c r="A989" s="19" t="s">
        <v>1295</v>
      </c>
      <c r="B989" s="162">
        <v>1</v>
      </c>
      <c r="C989" s="324">
        <v>0</v>
      </c>
      <c r="D989" s="376" t="s">
        <v>1296</v>
      </c>
      <c r="E989" s="112" t="s">
        <v>1297</v>
      </c>
      <c r="F989" s="472">
        <v>7703038984504</v>
      </c>
      <c r="G989">
        <f t="shared" si="49"/>
        <v>19000</v>
      </c>
      <c r="H989">
        <f t="shared" si="50"/>
        <v>10</v>
      </c>
      <c r="I989" t="str">
        <f t="shared" si="51"/>
        <v>CLARITROMICINA TABLETAS - X50 LAPROFF</v>
      </c>
    </row>
    <row r="990" spans="1:9" ht="15">
      <c r="A990" s="73" t="s">
        <v>1298</v>
      </c>
      <c r="B990" s="17">
        <v>4</v>
      </c>
      <c r="C990" s="124">
        <v>0</v>
      </c>
      <c r="D990" s="321" t="s">
        <v>222</v>
      </c>
      <c r="E990" s="73" t="s">
        <v>1299</v>
      </c>
      <c r="F990" s="20">
        <v>7703546028226</v>
      </c>
      <c r="G990">
        <f t="shared" si="49"/>
        <v>1500</v>
      </c>
      <c r="H990">
        <f t="shared" si="50"/>
        <v>1</v>
      </c>
      <c r="I990" t="str">
        <f t="shared" si="51"/>
        <v>DORMEX/ DICLOFENACO 100MG</v>
      </c>
    </row>
    <row r="991" spans="1:9" ht="15">
      <c r="A991" s="18" t="s">
        <v>1300</v>
      </c>
      <c r="B991" s="17">
        <v>1</v>
      </c>
      <c r="C991" s="124">
        <v>0</v>
      </c>
      <c r="D991" s="321" t="s">
        <v>1301</v>
      </c>
      <c r="E991" s="73" t="s">
        <v>1302</v>
      </c>
      <c r="F991" s="20">
        <v>7707236127640</v>
      </c>
      <c r="G991">
        <f t="shared" ref="G991:G1054" si="52">IFERROR(VALUE(SUBSTITUTE(LEFT(LOWER(D991),FIND("x",LOWER(D991))-1),",","")),VALUE(SUBSTITUTE(D991,",","")))</f>
        <v>3500</v>
      </c>
      <c r="H991">
        <f t="shared" ref="H991:H1054" si="53">IFERROR(VALUE(MID(LOWER(D991),FIND("x",LOWER(D991))+1,20)),1)</f>
        <v>1</v>
      </c>
      <c r="I991" t="str">
        <f t="shared" si="51"/>
        <v>DICLOFENACO 75MG *100 AMP</v>
      </c>
    </row>
    <row r="992" spans="1:9" ht="15">
      <c r="A992" s="19" t="s">
        <v>1306</v>
      </c>
      <c r="B992" s="37">
        <v>1</v>
      </c>
      <c r="C992" s="37">
        <v>0</v>
      </c>
      <c r="D992" s="376" t="s">
        <v>59</v>
      </c>
      <c r="E992" s="117" t="s">
        <v>1307</v>
      </c>
      <c r="F992" s="115">
        <v>7703889153661</v>
      </c>
      <c r="G992">
        <f t="shared" si="52"/>
        <v>3000</v>
      </c>
      <c r="H992">
        <f t="shared" si="53"/>
        <v>1</v>
      </c>
      <c r="I992" t="str">
        <f t="shared" si="51"/>
        <v>MULTIDOL 800MG - X30 CPAS</v>
      </c>
    </row>
    <row r="993" spans="1:9" ht="15">
      <c r="A993" s="16" t="s">
        <v>1222</v>
      </c>
      <c r="B993" s="17">
        <v>3</v>
      </c>
      <c r="C993" s="519">
        <v>0</v>
      </c>
      <c r="D993" s="456" t="s">
        <v>91</v>
      </c>
      <c r="E993" s="73" t="s">
        <v>1223</v>
      </c>
      <c r="F993" s="20">
        <v>7703197053059</v>
      </c>
      <c r="G993">
        <f t="shared" si="52"/>
        <v>16000</v>
      </c>
      <c r="H993">
        <f t="shared" si="53"/>
        <v>1</v>
      </c>
      <c r="I993" t="str">
        <f t="shared" si="51"/>
        <v>WASSERTROL *5ML GOTAS</v>
      </c>
    </row>
    <row r="994" spans="1:9" ht="15">
      <c r="A994" s="16" t="s">
        <v>1312</v>
      </c>
      <c r="B994" s="17">
        <v>1</v>
      </c>
      <c r="C994" s="519">
        <v>0</v>
      </c>
      <c r="D994" s="456" t="s">
        <v>112</v>
      </c>
      <c r="E994" s="73" t="s">
        <v>1313</v>
      </c>
      <c r="F994" s="20">
        <v>7703197053141</v>
      </c>
      <c r="G994">
        <f t="shared" si="52"/>
        <v>26000</v>
      </c>
      <c r="H994">
        <f t="shared" si="53"/>
        <v>1</v>
      </c>
      <c r="I994" t="str">
        <f t="shared" si="51"/>
        <v>WASSERTROL UNGÜENTO X5GR</v>
      </c>
    </row>
    <row r="995" spans="1:9" ht="15">
      <c r="A995" s="43" t="s">
        <v>913</v>
      </c>
      <c r="B995" s="37">
        <v>8</v>
      </c>
      <c r="C995" s="423">
        <v>0</v>
      </c>
      <c r="D995" s="376" t="s">
        <v>914</v>
      </c>
      <c r="E995" s="112" t="s">
        <v>915</v>
      </c>
      <c r="F995" s="115">
        <v>7702605102006</v>
      </c>
      <c r="G995">
        <f t="shared" si="52"/>
        <v>140000</v>
      </c>
      <c r="H995">
        <f t="shared" si="53"/>
        <v>14</v>
      </c>
      <c r="I995" t="str">
        <f t="shared" si="51"/>
        <v>LANSOPRAZOL GENFAR X14</v>
      </c>
    </row>
    <row r="996" spans="1:9" ht="15">
      <c r="A996" s="19" t="s">
        <v>1002</v>
      </c>
      <c r="B996" s="37">
        <v>1</v>
      </c>
      <c r="C996" s="37">
        <v>0</v>
      </c>
      <c r="D996" s="376" t="s">
        <v>546</v>
      </c>
      <c r="E996" s="112" t="s">
        <v>1003</v>
      </c>
      <c r="F996" s="115">
        <v>736085410624</v>
      </c>
      <c r="G996">
        <f t="shared" si="52"/>
        <v>31000</v>
      </c>
      <c r="H996">
        <f t="shared" si="53"/>
        <v>1</v>
      </c>
      <c r="I996" t="str">
        <f t="shared" si="51"/>
        <v>LATANOPROST 0,005% - GAAP GOTAS</v>
      </c>
    </row>
    <row r="997" spans="1:9" ht="15">
      <c r="A997" s="19" t="s">
        <v>40</v>
      </c>
      <c r="B997" s="37">
        <v>3</v>
      </c>
      <c r="C997" s="37">
        <v>0</v>
      </c>
      <c r="D997" s="376" t="s">
        <v>7</v>
      </c>
      <c r="E997" s="112" t="s">
        <v>41</v>
      </c>
      <c r="F997" s="115">
        <v>7705451000106</v>
      </c>
      <c r="G997">
        <f t="shared" si="52"/>
        <v>7000</v>
      </c>
      <c r="H997">
        <f t="shared" si="53"/>
        <v>1</v>
      </c>
      <c r="I997" t="str">
        <f t="shared" si="51"/>
        <v>LORATADINA JARABE - LICOL X100ML</v>
      </c>
    </row>
    <row r="998" spans="1:9" ht="15">
      <c r="A998" s="45" t="s">
        <v>1318</v>
      </c>
      <c r="B998" s="36">
        <v>1</v>
      </c>
      <c r="C998" s="164">
        <v>0</v>
      </c>
      <c r="D998" s="378" t="s">
        <v>381</v>
      </c>
      <c r="E998" s="76" t="s">
        <v>1319</v>
      </c>
      <c r="F998" s="46">
        <v>7730698364148</v>
      </c>
      <c r="G998">
        <f t="shared" si="52"/>
        <v>40000</v>
      </c>
      <c r="H998">
        <f t="shared" si="53"/>
        <v>1</v>
      </c>
      <c r="I998" t="str">
        <f t="shared" si="51"/>
        <v>SERTAL GOTAS</v>
      </c>
    </row>
    <row r="999" spans="1:9" ht="15">
      <c r="A999" s="43" t="s">
        <v>541</v>
      </c>
      <c r="B999" s="37">
        <v>1</v>
      </c>
      <c r="C999" s="37">
        <v>0</v>
      </c>
      <c r="D999" s="376" t="s">
        <v>68</v>
      </c>
      <c r="E999" s="112" t="s">
        <v>542</v>
      </c>
      <c r="F999" s="115">
        <v>7703283163013</v>
      </c>
      <c r="G999">
        <f t="shared" si="52"/>
        <v>39000</v>
      </c>
      <c r="H999">
        <f t="shared" si="53"/>
        <v>1</v>
      </c>
      <c r="I999" t="str">
        <f t="shared" si="51"/>
        <v>TERRAMICINA UNGÜENTO OFTALMICO / OXITETRACICLINA / POLIMIXINA B</v>
      </c>
    </row>
    <row r="1000" spans="1:9" ht="15">
      <c r="A1000" s="73" t="s">
        <v>1321</v>
      </c>
      <c r="B1000" s="17">
        <v>1</v>
      </c>
      <c r="C1000" s="124">
        <v>0</v>
      </c>
      <c r="D1000" s="321" t="s">
        <v>1322</v>
      </c>
      <c r="E1000" s="73" t="s">
        <v>1323</v>
      </c>
      <c r="F1000" s="20">
        <v>7702132009656</v>
      </c>
      <c r="G1000">
        <f t="shared" si="52"/>
        <v>4400</v>
      </c>
      <c r="H1000">
        <f t="shared" si="53"/>
        <v>2</v>
      </c>
      <c r="I1000" t="str">
        <f t="shared" si="51"/>
        <v>ADVIL MAX *72 CAPS</v>
      </c>
    </row>
    <row r="1001" spans="1:9" ht="15">
      <c r="A1001" s="19" t="s">
        <v>1324</v>
      </c>
      <c r="B1001" s="37">
        <v>1</v>
      </c>
      <c r="C1001" s="37">
        <v>0</v>
      </c>
      <c r="D1001" s="376" t="s">
        <v>1325</v>
      </c>
      <c r="E1001" s="112" t="s">
        <v>1326</v>
      </c>
      <c r="F1001" s="115">
        <v>7705028567063</v>
      </c>
      <c r="G1001">
        <f t="shared" si="52"/>
        <v>41500</v>
      </c>
      <c r="H1001">
        <f t="shared" si="53"/>
        <v>1</v>
      </c>
      <c r="I1001" t="str">
        <f t="shared" si="51"/>
        <v>ODONTRIX ENJUAGUE X180ML</v>
      </c>
    </row>
    <row r="1002" spans="1:9" ht="15">
      <c r="A1002" s="195" t="s">
        <v>475</v>
      </c>
      <c r="B1002" s="197">
        <v>3</v>
      </c>
      <c r="C1002" s="198">
        <v>0</v>
      </c>
      <c r="D1002" s="382" t="s">
        <v>476</v>
      </c>
      <c r="E1002" s="195" t="s">
        <v>477</v>
      </c>
      <c r="F1002" s="420">
        <v>7703712030695</v>
      </c>
      <c r="G1002">
        <f t="shared" si="52"/>
        <v>2000</v>
      </c>
      <c r="H1002">
        <f t="shared" si="53"/>
        <v>10</v>
      </c>
      <c r="I1002" t="str">
        <f t="shared" si="51"/>
        <v>CLORFERINAMINA TAB COASPHARMA *20</v>
      </c>
    </row>
    <row r="1003" spans="1:9" ht="15">
      <c r="A1003" s="18" t="s">
        <v>1329</v>
      </c>
      <c r="B1003" s="17">
        <v>1</v>
      </c>
      <c r="C1003" s="17">
        <v>0</v>
      </c>
      <c r="D1003" s="321" t="s">
        <v>405</v>
      </c>
      <c r="E1003" s="73" t="s">
        <v>406</v>
      </c>
      <c r="F1003" s="20">
        <v>7702027424038</v>
      </c>
      <c r="G1003">
        <f t="shared" si="52"/>
        <v>18000</v>
      </c>
      <c r="H1003">
        <f t="shared" si="53"/>
        <v>30</v>
      </c>
      <c r="I1003" t="str">
        <f t="shared" si="51"/>
        <v>TOALLAS NOSOTRAS RAPIGEL INVISIBLES RAPIGEL *30</v>
      </c>
    </row>
    <row r="1004" spans="1:9" ht="15">
      <c r="A1004" s="19" t="s">
        <v>916</v>
      </c>
      <c r="B1004" s="37">
        <v>1</v>
      </c>
      <c r="C1004" s="37">
        <v>0</v>
      </c>
      <c r="D1004" s="376" t="s">
        <v>917</v>
      </c>
      <c r="E1004" s="112" t="s">
        <v>918</v>
      </c>
      <c r="F1004" s="115">
        <v>7612797656464</v>
      </c>
      <c r="G1004">
        <f t="shared" si="52"/>
        <v>60000</v>
      </c>
      <c r="H1004">
        <f t="shared" si="53"/>
        <v>28</v>
      </c>
      <c r="I1004" t="str">
        <f t="shared" si="51"/>
        <v>GALVUS MET 50/850MG X56 TABS</v>
      </c>
    </row>
    <row r="1005" spans="1:9" ht="15">
      <c r="A1005" s="21" t="s">
        <v>1338</v>
      </c>
      <c r="B1005" s="36">
        <v>2</v>
      </c>
      <c r="C1005" s="165">
        <v>0</v>
      </c>
      <c r="D1005" s="488" t="s">
        <v>91</v>
      </c>
      <c r="E1005" s="74" t="s">
        <v>942</v>
      </c>
      <c r="F1005" s="46">
        <v>7703546701839</v>
      </c>
      <c r="G1005">
        <f t="shared" si="52"/>
        <v>16000</v>
      </c>
      <c r="H1005">
        <f t="shared" si="53"/>
        <v>1</v>
      </c>
      <c r="I1005" t="str">
        <f t="shared" si="51"/>
        <v>CRONOFEN GOTAS</v>
      </c>
    </row>
    <row r="1006" spans="1:9" ht="15">
      <c r="A1006" s="152" t="s">
        <v>99</v>
      </c>
      <c r="B1006" s="153">
        <v>1</v>
      </c>
      <c r="C1006" s="55">
        <v>0</v>
      </c>
      <c r="D1006" s="375" t="s">
        <v>100</v>
      </c>
      <c r="E1006" s="152" t="s">
        <v>101</v>
      </c>
      <c r="F1006" s="155">
        <v>650240003950</v>
      </c>
      <c r="G1006">
        <f t="shared" si="52"/>
        <v>18000</v>
      </c>
      <c r="H1006">
        <f t="shared" si="53"/>
        <v>14</v>
      </c>
      <c r="I1006" t="str">
        <f t="shared" si="51"/>
        <v>GENOPRAZOL 20MG</v>
      </c>
    </row>
    <row r="1007" spans="1:9" ht="15">
      <c r="A1007" s="19" t="s">
        <v>1343</v>
      </c>
      <c r="B1007" s="37">
        <v>1</v>
      </c>
      <c r="C1007" s="429">
        <v>0.19</v>
      </c>
      <c r="D1007" s="376" t="s">
        <v>1344</v>
      </c>
      <c r="E1007" s="117" t="s">
        <v>1345</v>
      </c>
      <c r="F1007" s="115">
        <v>7707282991189</v>
      </c>
      <c r="G1007">
        <f t="shared" si="52"/>
        <v>1500</v>
      </c>
      <c r="H1007">
        <f t="shared" si="53"/>
        <v>2</v>
      </c>
      <c r="I1007" t="str">
        <f t="shared" si="51"/>
        <v>GUANTES NITRILO TALLA L X50 PARES NEGROS - BEGUT</v>
      </c>
    </row>
    <row r="1008" spans="1:9" ht="15">
      <c r="A1008" s="19" t="s">
        <v>1346</v>
      </c>
      <c r="B1008" s="37">
        <v>3</v>
      </c>
      <c r="C1008" s="429">
        <v>0.19</v>
      </c>
      <c r="D1008" s="376" t="s">
        <v>747</v>
      </c>
      <c r="E1008" s="112" t="s">
        <v>1347</v>
      </c>
      <c r="F1008" s="115">
        <v>7707287990064</v>
      </c>
      <c r="G1008">
        <f t="shared" si="52"/>
        <v>14000</v>
      </c>
      <c r="H1008">
        <f t="shared" si="53"/>
        <v>1</v>
      </c>
      <c r="I1008" t="str">
        <f t="shared" si="51"/>
        <v>INHALOCAMRA PEDIATRICA - RV RESPIRANDO VIDA</v>
      </c>
    </row>
    <row r="1009" spans="1:9" ht="15">
      <c r="A1009" s="43" t="s">
        <v>108</v>
      </c>
      <c r="B1009" s="37">
        <v>10</v>
      </c>
      <c r="C1009" s="37">
        <v>0</v>
      </c>
      <c r="D1009" s="376" t="s">
        <v>109</v>
      </c>
      <c r="E1009" s="112" t="s">
        <v>513</v>
      </c>
      <c r="F1009" s="115">
        <v>7703712034563</v>
      </c>
      <c r="G1009">
        <f t="shared" si="52"/>
        <v>10000</v>
      </c>
      <c r="H1009">
        <f t="shared" si="53"/>
        <v>1</v>
      </c>
      <c r="I1009" t="str">
        <f t="shared" si="51"/>
        <v>BETAMETASONA CREMA 0,05% CREMA X40GR - COASPHARMA</v>
      </c>
    </row>
    <row r="1010" spans="1:9">
      <c r="A1010" t="s">
        <v>1349</v>
      </c>
      <c r="B1010" s="23">
        <v>4</v>
      </c>
      <c r="C1010" s="51">
        <v>0</v>
      </c>
      <c r="D1010" s="446" t="s">
        <v>1180</v>
      </c>
      <c r="E1010" s="7" t="s">
        <v>1350</v>
      </c>
      <c r="F1010" s="42">
        <v>7702026148447</v>
      </c>
      <c r="G1010">
        <f t="shared" si="52"/>
        <v>6500</v>
      </c>
      <c r="H1010">
        <f t="shared" si="53"/>
        <v>10</v>
      </c>
      <c r="I1010" t="str">
        <f t="shared" si="51"/>
        <v>TOALLAS NOSOTRAS INVISIBLE CLASICA - MULTIFORMA V X10</v>
      </c>
    </row>
    <row r="1011" spans="1:9" ht="28.5">
      <c r="A1011" s="22" t="s">
        <v>1351</v>
      </c>
      <c r="B1011" s="23">
        <v>3</v>
      </c>
      <c r="C1011" s="51">
        <v>0</v>
      </c>
      <c r="D1011" s="446" t="s">
        <v>23</v>
      </c>
      <c r="E1011" s="39" t="s">
        <v>1352</v>
      </c>
      <c r="F1011" s="42">
        <v>7708931620719</v>
      </c>
      <c r="G1011">
        <f t="shared" si="52"/>
        <v>15000</v>
      </c>
      <c r="H1011">
        <f t="shared" si="53"/>
        <v>1</v>
      </c>
      <c r="I1011" t="str">
        <f t="shared" si="51"/>
        <v>PRUEBA 5 SUSTANCIAS 5 EN 1 - MARIHUANA/ COCAINA/ ANFETAMINAS/ OPIACEOS/ BENZODIAZEPINAS</v>
      </c>
    </row>
    <row r="1012" spans="1:9">
      <c r="A1012" s="28" t="s">
        <v>278</v>
      </c>
      <c r="B1012" s="30">
        <v>5</v>
      </c>
      <c r="C1012" s="128">
        <v>0</v>
      </c>
      <c r="D1012" s="480" t="s">
        <v>279</v>
      </c>
      <c r="E1012" s="8" t="s">
        <v>280</v>
      </c>
      <c r="F1012" s="63">
        <v>7702195713507</v>
      </c>
      <c r="G1012">
        <f t="shared" si="52"/>
        <v>6000</v>
      </c>
      <c r="H1012">
        <f t="shared" si="53"/>
        <v>30</v>
      </c>
      <c r="I1012" t="str">
        <f t="shared" si="51"/>
        <v>CAPTOPRIL 50 MG - RECIPE</v>
      </c>
    </row>
    <row r="1013" spans="1:9" ht="15">
      <c r="A1013" s="64" t="s">
        <v>1358</v>
      </c>
      <c r="B1013" s="102">
        <v>2</v>
      </c>
      <c r="C1013" s="101">
        <v>0.19</v>
      </c>
      <c r="D1013" s="443" t="s">
        <v>10</v>
      </c>
      <c r="E1013" s="73" t="s">
        <v>1359</v>
      </c>
      <c r="F1013" s="103">
        <v>7702031245285</v>
      </c>
      <c r="G1013">
        <f t="shared" si="52"/>
        <v>8000</v>
      </c>
      <c r="H1013">
        <f t="shared" si="53"/>
        <v>1</v>
      </c>
      <c r="I1013" t="str">
        <f t="shared" si="51"/>
        <v>JABON NEKO EXTRAPROTECCIÓN - BARRA X110GR</v>
      </c>
    </row>
    <row r="1014" spans="1:9" ht="15">
      <c r="A1014" s="56" t="s">
        <v>1360</v>
      </c>
      <c r="B1014" s="303">
        <v>2</v>
      </c>
      <c r="C1014" s="520">
        <v>0.19</v>
      </c>
      <c r="D1014" s="376" t="s">
        <v>10</v>
      </c>
      <c r="E1014" s="152" t="s">
        <v>1359</v>
      </c>
      <c r="F1014" s="273">
        <v>7702031245223</v>
      </c>
      <c r="G1014">
        <f t="shared" si="52"/>
        <v>8000</v>
      </c>
      <c r="H1014">
        <f t="shared" si="53"/>
        <v>1</v>
      </c>
      <c r="I1014" t="str">
        <f t="shared" si="51"/>
        <v>JABON NEKO ALOE</v>
      </c>
    </row>
    <row r="1015" spans="1:9" ht="15">
      <c r="A1015" s="56" t="s">
        <v>1361</v>
      </c>
      <c r="B1015" s="303">
        <v>2</v>
      </c>
      <c r="C1015" s="520">
        <v>0.19</v>
      </c>
      <c r="D1015" s="376" t="s">
        <v>10</v>
      </c>
      <c r="E1015" s="152" t="s">
        <v>1359</v>
      </c>
      <c r="F1015" s="273">
        <v>7702031245254</v>
      </c>
      <c r="G1015">
        <f t="shared" si="52"/>
        <v>8000</v>
      </c>
      <c r="H1015">
        <f t="shared" si="53"/>
        <v>1</v>
      </c>
      <c r="I1015" t="str">
        <f t="shared" si="51"/>
        <v>JABON NEKO AVENA</v>
      </c>
    </row>
    <row r="1016" spans="1:9">
      <c r="A1016" t="s">
        <v>1362</v>
      </c>
      <c r="B1016" s="23">
        <v>1</v>
      </c>
      <c r="C1016" s="23">
        <v>0</v>
      </c>
      <c r="D1016" s="446" t="s">
        <v>214</v>
      </c>
      <c r="E1016" s="41" t="s">
        <v>265</v>
      </c>
      <c r="F1016" s="42">
        <v>7702870680278</v>
      </c>
      <c r="G1016">
        <f t="shared" si="52"/>
        <v>2000</v>
      </c>
      <c r="H1016">
        <f t="shared" si="53"/>
        <v>1</v>
      </c>
      <c r="I1016" t="str">
        <f t="shared" si="51"/>
        <v>LUMBAL MAX ESPALDA ALTA / NAPR + ACET+ CAFEI</v>
      </c>
    </row>
    <row r="1017" spans="1:9" ht="15">
      <c r="A1017" s="19" t="s">
        <v>1363</v>
      </c>
      <c r="B1017" s="37">
        <v>1</v>
      </c>
      <c r="C1017" s="37">
        <v>0</v>
      </c>
      <c r="D1017" s="376" t="s">
        <v>59</v>
      </c>
      <c r="E1017" s="112" t="s">
        <v>1364</v>
      </c>
      <c r="F1017" s="115">
        <v>7702132655488</v>
      </c>
      <c r="G1017">
        <f t="shared" si="52"/>
        <v>3000</v>
      </c>
      <c r="H1017">
        <f t="shared" si="53"/>
        <v>1</v>
      </c>
      <c r="I1017" t="str">
        <f t="shared" si="51"/>
        <v>ADVIL ESPALDA Y CUELLO</v>
      </c>
    </row>
    <row r="1018" spans="1:9" ht="28.5">
      <c r="A1018" s="22" t="s">
        <v>1368</v>
      </c>
      <c r="B1018" s="23">
        <v>1</v>
      </c>
      <c r="C1018" s="51">
        <v>0.19</v>
      </c>
      <c r="D1018" s="446" t="s">
        <v>250</v>
      </c>
      <c r="E1018" s="41" t="s">
        <v>1369</v>
      </c>
      <c r="F1018" s="42">
        <v>7709440174908</v>
      </c>
      <c r="G1018">
        <f t="shared" si="52"/>
        <v>3500</v>
      </c>
      <c r="H1018">
        <f t="shared" si="53"/>
        <v>1</v>
      </c>
      <c r="I1018" t="str">
        <f t="shared" si="51"/>
        <v>ANTIKASP SHAMPOO X24 SOBRES - PIRITIONATO DE ZINC / SULFURO DE SELENIO</v>
      </c>
    </row>
    <row r="1019" spans="1:9" ht="28.5">
      <c r="A1019" s="22" t="s">
        <v>1370</v>
      </c>
      <c r="B1019" s="23">
        <v>1</v>
      </c>
      <c r="C1019" s="51">
        <v>0.19</v>
      </c>
      <c r="D1019" s="446" t="s">
        <v>241</v>
      </c>
      <c r="E1019" s="41" t="s">
        <v>1371</v>
      </c>
      <c r="F1019" s="42">
        <v>7709440174977</v>
      </c>
      <c r="G1019">
        <f t="shared" si="52"/>
        <v>38000</v>
      </c>
      <c r="H1019">
        <f t="shared" si="53"/>
        <v>1</v>
      </c>
      <c r="I1019" t="str">
        <f t="shared" si="51"/>
        <v>ANTIKASP SHAMPOO X200ML - PIRITIONATO DE ZINC / SULFURO DE SELENIO</v>
      </c>
    </row>
    <row r="1020" spans="1:9" ht="15">
      <c r="A1020" s="19" t="s">
        <v>1372</v>
      </c>
      <c r="B1020" s="37">
        <v>1</v>
      </c>
      <c r="C1020" s="37">
        <v>0</v>
      </c>
      <c r="D1020" s="376" t="s">
        <v>408</v>
      </c>
      <c r="E1020" s="112" t="s">
        <v>653</v>
      </c>
      <c r="F1020" s="115">
        <v>7702184014196</v>
      </c>
      <c r="G1020">
        <f t="shared" si="52"/>
        <v>9000</v>
      </c>
      <c r="H1020">
        <f t="shared" si="53"/>
        <v>10</v>
      </c>
      <c r="I1020" t="str">
        <f t="shared" si="51"/>
        <v>ATORVASTATINA 40MG ECAR X100</v>
      </c>
    </row>
    <row r="1021" spans="1:9" ht="15">
      <c r="A1021" s="76" t="s">
        <v>1374</v>
      </c>
      <c r="B1021" s="36">
        <v>1</v>
      </c>
      <c r="C1021" s="36">
        <v>0</v>
      </c>
      <c r="D1021" s="378" t="s">
        <v>697</v>
      </c>
      <c r="E1021" s="74" t="s">
        <v>1375</v>
      </c>
      <c r="F1021" s="46">
        <v>7702870072561</v>
      </c>
      <c r="G1021">
        <f t="shared" si="52"/>
        <v>2500</v>
      </c>
      <c r="H1021">
        <f t="shared" si="53"/>
        <v>1</v>
      </c>
      <c r="I1021" t="str">
        <f t="shared" si="51"/>
        <v>FINIGAX MASTICABLE MENTA *20</v>
      </c>
    </row>
    <row r="1022" spans="1:9">
      <c r="A1022" t="s">
        <v>1376</v>
      </c>
      <c r="B1022" s="11">
        <v>2</v>
      </c>
      <c r="C1022" s="194">
        <v>0</v>
      </c>
      <c r="D1022" s="446" t="s">
        <v>112</v>
      </c>
      <c r="E1022" s="41" t="s">
        <v>1377</v>
      </c>
      <c r="F1022" s="273">
        <v>7704403005602</v>
      </c>
      <c r="G1022">
        <f t="shared" si="52"/>
        <v>26000</v>
      </c>
      <c r="H1022">
        <f t="shared" si="53"/>
        <v>1</v>
      </c>
      <c r="I1022" t="str">
        <f t="shared" si="51"/>
        <v>MUCOSINA GOTAS PEDIATRICA</v>
      </c>
    </row>
    <row r="1023" spans="1:9">
      <c r="A1023" s="28" t="s">
        <v>844</v>
      </c>
      <c r="B1023" s="30">
        <v>1</v>
      </c>
      <c r="C1023" s="31">
        <v>0</v>
      </c>
      <c r="D1023" s="447" t="s">
        <v>497</v>
      </c>
      <c r="E1023" s="7" t="s">
        <v>845</v>
      </c>
      <c r="F1023" s="63">
        <v>7706310000138</v>
      </c>
      <c r="G1023">
        <f t="shared" si="52"/>
        <v>29000</v>
      </c>
      <c r="H1023">
        <f t="shared" si="53"/>
        <v>1</v>
      </c>
      <c r="I1023" t="str">
        <f t="shared" si="51"/>
        <v>SILIGAS GOTAS</v>
      </c>
    </row>
    <row r="1024" spans="1:9">
      <c r="A1024" s="28" t="s">
        <v>1392</v>
      </c>
      <c r="B1024" s="30">
        <v>20</v>
      </c>
      <c r="C1024" s="31">
        <v>0</v>
      </c>
      <c r="D1024" s="447" t="s">
        <v>1393</v>
      </c>
      <c r="E1024" s="7" t="s">
        <v>1394</v>
      </c>
      <c r="F1024" s="63">
        <v>7703712031463</v>
      </c>
      <c r="G1024">
        <f t="shared" si="52"/>
        <v>60000</v>
      </c>
      <c r="H1024">
        <f t="shared" si="53"/>
        <v>10</v>
      </c>
      <c r="I1024" t="str">
        <f t="shared" si="51"/>
        <v>PROPANOLOL 40MG - COASPHARMA</v>
      </c>
    </row>
    <row r="1025" spans="1:9" ht="15">
      <c r="A1025" s="19" t="s">
        <v>1396</v>
      </c>
      <c r="B1025" s="37">
        <v>1</v>
      </c>
      <c r="C1025" s="37">
        <v>0</v>
      </c>
      <c r="D1025" s="376" t="s">
        <v>262</v>
      </c>
      <c r="E1025" s="112" t="s">
        <v>1397</v>
      </c>
      <c r="F1025" s="115">
        <v>7707035581629</v>
      </c>
      <c r="G1025">
        <f t="shared" si="52"/>
        <v>7000</v>
      </c>
      <c r="H1025">
        <f t="shared" si="53"/>
        <v>10</v>
      </c>
      <c r="I1025" t="str">
        <f t="shared" si="51"/>
        <v>DICLOXACILINA CAPSULAS - OPHALAC</v>
      </c>
    </row>
    <row r="1026" spans="1:9" ht="15">
      <c r="A1026" s="19" t="s">
        <v>1398</v>
      </c>
      <c r="B1026" s="37">
        <v>1</v>
      </c>
      <c r="C1026" s="37">
        <v>0</v>
      </c>
      <c r="D1026" s="376" t="s">
        <v>1399</v>
      </c>
      <c r="E1026" s="117" t="s">
        <v>228</v>
      </c>
      <c r="F1026" s="115">
        <v>7707019312621</v>
      </c>
      <c r="G1026">
        <f t="shared" si="52"/>
        <v>50000</v>
      </c>
      <c r="H1026">
        <f t="shared" si="53"/>
        <v>10</v>
      </c>
      <c r="I1026" t="str">
        <f t="shared" si="51"/>
        <v>SULTAMICILINA 375MG TABS X10 / BACMICINE</v>
      </c>
    </row>
    <row r="1027" spans="1:9" ht="15">
      <c r="A1027" s="19" t="s">
        <v>1143</v>
      </c>
      <c r="B1027" s="37">
        <v>2</v>
      </c>
      <c r="C1027" s="37">
        <v>0</v>
      </c>
      <c r="D1027" s="376" t="s">
        <v>91</v>
      </c>
      <c r="E1027" s="112" t="s">
        <v>1144</v>
      </c>
      <c r="F1027" s="115">
        <v>7707232090313</v>
      </c>
      <c r="G1027">
        <f t="shared" si="52"/>
        <v>16000</v>
      </c>
      <c r="H1027">
        <f t="shared" si="53"/>
        <v>1</v>
      </c>
      <c r="I1027" t="str">
        <f t="shared" ref="I1027:I1090" si="54">TRIM(A1027)</f>
        <v>GOTAS RESCATE / NATURAL FRESHLY</v>
      </c>
    </row>
    <row r="1028" spans="1:9">
      <c r="A1028" s="69" t="s">
        <v>1404</v>
      </c>
      <c r="B1028" s="14">
        <v>1</v>
      </c>
      <c r="C1028" s="105">
        <v>0</v>
      </c>
      <c r="D1028" s="308" t="s">
        <v>80</v>
      </c>
      <c r="E1028" s="13" t="s">
        <v>1405</v>
      </c>
      <c r="F1028" s="61">
        <v>7702184030158</v>
      </c>
      <c r="G1028">
        <f t="shared" si="52"/>
        <v>6000</v>
      </c>
      <c r="H1028">
        <f t="shared" si="53"/>
        <v>1</v>
      </c>
      <c r="I1028" t="str">
        <f t="shared" si="54"/>
        <v>VITAMINA B12 *1 ML AMPOLLA X25</v>
      </c>
    </row>
    <row r="1029" spans="1:9" ht="15">
      <c r="A1029" s="117" t="s">
        <v>1417</v>
      </c>
      <c r="B1029" s="37">
        <v>1</v>
      </c>
      <c r="C1029" s="429">
        <v>0</v>
      </c>
      <c r="D1029" s="376" t="s">
        <v>29</v>
      </c>
      <c r="E1029" s="117" t="s">
        <v>827</v>
      </c>
      <c r="F1029" s="115">
        <v>7702184014608</v>
      </c>
      <c r="G1029">
        <f t="shared" si="52"/>
        <v>15000</v>
      </c>
      <c r="H1029">
        <f t="shared" si="53"/>
        <v>10</v>
      </c>
      <c r="I1029" t="str">
        <f t="shared" si="54"/>
        <v>ORLISTAT 120MG - ECAR X30</v>
      </c>
    </row>
    <row r="1030" spans="1:9" ht="15">
      <c r="A1030" s="117" t="s">
        <v>1421</v>
      </c>
      <c r="B1030" s="37">
        <v>2</v>
      </c>
      <c r="C1030" s="429">
        <v>0.19</v>
      </c>
      <c r="D1030" s="376" t="s">
        <v>1419</v>
      </c>
      <c r="E1030" s="112" t="s">
        <v>1422</v>
      </c>
      <c r="F1030" s="115">
        <v>7702354946104</v>
      </c>
      <c r="G1030">
        <f t="shared" si="52"/>
        <v>9500</v>
      </c>
      <c r="H1030">
        <f t="shared" si="53"/>
        <v>1</v>
      </c>
      <c r="I1030" t="str">
        <f t="shared" si="54"/>
        <v>CEREBRIT DISPLAY X8 SOBRES 15GR C/U</v>
      </c>
    </row>
    <row r="1031" spans="1:9">
      <c r="A1031" s="24" t="s">
        <v>1432</v>
      </c>
      <c r="B1031" s="30">
        <v>2</v>
      </c>
      <c r="C1031" s="31">
        <v>0.19</v>
      </c>
      <c r="D1031" s="447" t="s">
        <v>1433</v>
      </c>
      <c r="E1031" s="7" t="s">
        <v>1434</v>
      </c>
      <c r="F1031" s="63">
        <v>7702031311218</v>
      </c>
      <c r="G1031">
        <f t="shared" si="52"/>
        <v>68000</v>
      </c>
      <c r="H1031">
        <f t="shared" si="53"/>
        <v>1</v>
      </c>
      <c r="I1031" t="str">
        <f t="shared" si="54"/>
        <v>LUBRIDERM REPARACIÓN INTENSIVA *750ML</v>
      </c>
    </row>
    <row r="1032" spans="1:9">
      <c r="A1032" s="22" t="s">
        <v>1435</v>
      </c>
      <c r="B1032" s="23">
        <v>3</v>
      </c>
      <c r="C1032" s="31">
        <v>0.19</v>
      </c>
      <c r="D1032" s="447" t="s">
        <v>991</v>
      </c>
      <c r="E1032" s="41" t="s">
        <v>1436</v>
      </c>
      <c r="F1032" s="42">
        <v>7702031244547</v>
      </c>
      <c r="G1032">
        <f t="shared" si="52"/>
        <v>26000</v>
      </c>
      <c r="H1032">
        <f t="shared" si="53"/>
        <v>1</v>
      </c>
      <c r="I1032" t="str">
        <f t="shared" si="54"/>
        <v>LUBRIDERM HUMECTACIÓN DELICADA X200ML -VERDE PIEL SENSIBLE</v>
      </c>
    </row>
    <row r="1033" spans="1:9">
      <c r="A1033" s="24" t="s">
        <v>1437</v>
      </c>
      <c r="B1033" s="30">
        <v>3</v>
      </c>
      <c r="C1033" s="173">
        <v>0.19</v>
      </c>
      <c r="D1033" s="447" t="s">
        <v>56</v>
      </c>
      <c r="E1033" s="7" t="s">
        <v>1438</v>
      </c>
      <c r="F1033" s="63">
        <v>7702035870384</v>
      </c>
      <c r="G1033">
        <f t="shared" si="52"/>
        <v>28000</v>
      </c>
      <c r="H1033">
        <f t="shared" si="53"/>
        <v>1</v>
      </c>
      <c r="I1033" t="str">
        <f t="shared" si="54"/>
        <v>LUBRIDERM REPARACIÓN INTENSIVA *200ML - DORADA</v>
      </c>
    </row>
    <row r="1034" spans="1:9">
      <c r="A1034" t="s">
        <v>1441</v>
      </c>
      <c r="B1034" s="23">
        <v>2</v>
      </c>
      <c r="C1034" s="51">
        <v>0.19</v>
      </c>
      <c r="D1034" s="446" t="s">
        <v>1442</v>
      </c>
      <c r="E1034" s="41" t="s">
        <v>1443</v>
      </c>
      <c r="F1034" s="42">
        <v>7702031132844</v>
      </c>
      <c r="G1034">
        <f t="shared" si="52"/>
        <v>7800</v>
      </c>
      <c r="H1034">
        <f t="shared" si="53"/>
        <v>1</v>
      </c>
      <c r="I1034" t="str">
        <f t="shared" si="54"/>
        <v>ACEITE JOHNSON X50ML</v>
      </c>
    </row>
    <row r="1035" spans="1:9" ht="15">
      <c r="A1035" s="19" t="s">
        <v>1447</v>
      </c>
      <c r="B1035" s="37">
        <v>2</v>
      </c>
      <c r="C1035" s="37">
        <v>0</v>
      </c>
      <c r="D1035" s="376" t="s">
        <v>948</v>
      </c>
      <c r="E1035" s="112" t="s">
        <v>1448</v>
      </c>
      <c r="F1035" s="115">
        <v>7707236122393</v>
      </c>
      <c r="G1035">
        <f t="shared" si="52"/>
        <v>6500</v>
      </c>
      <c r="H1035">
        <f t="shared" si="53"/>
        <v>1</v>
      </c>
      <c r="I1035" t="str">
        <f t="shared" si="54"/>
        <v>GENTAMICINA 160MG VITALIS X10</v>
      </c>
    </row>
    <row r="1036" spans="1:9">
      <c r="A1036" s="22" t="s">
        <v>1449</v>
      </c>
      <c r="B1036" s="23">
        <v>2</v>
      </c>
      <c r="C1036" s="31">
        <v>0.19</v>
      </c>
      <c r="D1036" s="447" t="s">
        <v>1450</v>
      </c>
      <c r="E1036" s="41" t="s">
        <v>1451</v>
      </c>
      <c r="F1036" s="42">
        <v>7702031244530</v>
      </c>
      <c r="G1036">
        <f t="shared" si="52"/>
        <v>17500</v>
      </c>
      <c r="H1036">
        <f t="shared" si="53"/>
        <v>1</v>
      </c>
      <c r="I1036" t="str">
        <f t="shared" si="54"/>
        <v>LUBRIDERM HUMECTACIÓN DELICADA X120ML -VERDE PIEL SENSIBLE</v>
      </c>
    </row>
    <row r="1037" spans="1:9">
      <c r="A1037" s="22" t="s">
        <v>1452</v>
      </c>
      <c r="B1037" s="23">
        <v>1</v>
      </c>
      <c r="C1037" s="31">
        <v>0.19</v>
      </c>
      <c r="D1037" s="447" t="s">
        <v>1453</v>
      </c>
      <c r="E1037" s="41" t="s">
        <v>1436</v>
      </c>
      <c r="F1037" s="42">
        <v>7702031244554</v>
      </c>
      <c r="G1037">
        <f t="shared" si="52"/>
        <v>41500</v>
      </c>
      <c r="H1037">
        <f t="shared" si="53"/>
        <v>1</v>
      </c>
      <c r="I1037" t="str">
        <f t="shared" si="54"/>
        <v>LUBRIDERM HUMECTACIÓN DELICADA *400ML -VERDE PIEL SENSIBLE</v>
      </c>
    </row>
    <row r="1038" spans="1:9">
      <c r="A1038" t="s">
        <v>1456</v>
      </c>
      <c r="B1038" s="23">
        <v>1</v>
      </c>
      <c r="C1038" s="51">
        <v>0.19</v>
      </c>
      <c r="D1038" s="446" t="s">
        <v>1457</v>
      </c>
      <c r="E1038" s="41" t="s">
        <v>1458</v>
      </c>
      <c r="F1038" s="42">
        <v>7702031244509</v>
      </c>
      <c r="G1038">
        <f t="shared" si="52"/>
        <v>41000</v>
      </c>
      <c r="H1038">
        <f t="shared" si="53"/>
        <v>1</v>
      </c>
      <c r="I1038" t="str">
        <f t="shared" si="54"/>
        <v>LUBRIDERM HUMECTACIÓN DIARIA -AZUL X400ML</v>
      </c>
    </row>
    <row r="1039" spans="1:9">
      <c r="A1039" s="22" t="s">
        <v>1459</v>
      </c>
      <c r="B1039" s="23">
        <v>1</v>
      </c>
      <c r="C1039" s="51">
        <v>0.19</v>
      </c>
      <c r="D1039" s="446" t="s">
        <v>1460</v>
      </c>
      <c r="E1039" s="41" t="s">
        <v>1461</v>
      </c>
      <c r="F1039" s="42">
        <v>7501007528427</v>
      </c>
      <c r="G1039">
        <f t="shared" si="52"/>
        <v>51000</v>
      </c>
      <c r="H1039">
        <f t="shared" si="53"/>
        <v>1</v>
      </c>
      <c r="I1039" t="str">
        <f t="shared" si="54"/>
        <v>LUBRIDERM REPARACIÓN INTENSIVA X400ML - DORADA</v>
      </c>
    </row>
    <row r="1040" spans="1:9">
      <c r="A1040" s="8" t="s">
        <v>1463</v>
      </c>
      <c r="B1040" s="30">
        <v>1</v>
      </c>
      <c r="C1040" s="31">
        <v>0</v>
      </c>
      <c r="D1040" s="447" t="s">
        <v>1464</v>
      </c>
      <c r="E1040" s="7" t="s">
        <v>1465</v>
      </c>
      <c r="F1040" s="63">
        <v>7501094912154</v>
      </c>
      <c r="G1040">
        <f t="shared" si="52"/>
        <v>69000</v>
      </c>
      <c r="H1040">
        <f t="shared" si="53"/>
        <v>5</v>
      </c>
      <c r="I1040" t="str">
        <f t="shared" si="54"/>
        <v>PROCTO-GLYVENOL *5 SUPOSITORIOS</v>
      </c>
    </row>
    <row r="1041" spans="1:9" ht="28.5">
      <c r="A1041" s="8" t="s">
        <v>574</v>
      </c>
      <c r="B1041" s="30">
        <v>1</v>
      </c>
      <c r="C1041" s="31">
        <v>0</v>
      </c>
      <c r="D1041" s="447" t="s">
        <v>1433</v>
      </c>
      <c r="E1041" s="7" t="s">
        <v>576</v>
      </c>
      <c r="F1041" s="63">
        <v>7896261001572</v>
      </c>
      <c r="G1041">
        <f t="shared" si="52"/>
        <v>68000</v>
      </c>
      <c r="H1041">
        <f t="shared" si="53"/>
        <v>1</v>
      </c>
      <c r="I1041" t="str">
        <f t="shared" si="54"/>
        <v>PROCTO-GLYVENOL UNGUENTO PROCTOLOGICO</v>
      </c>
    </row>
    <row r="1042" spans="1:9" ht="15">
      <c r="A1042" s="19" t="s">
        <v>240</v>
      </c>
      <c r="B1042" s="37">
        <v>1</v>
      </c>
      <c r="C1042" s="37">
        <v>0</v>
      </c>
      <c r="D1042" s="376" t="s">
        <v>241</v>
      </c>
      <c r="E1042" s="112" t="s">
        <v>242</v>
      </c>
      <c r="F1042" s="115">
        <v>4048846001672</v>
      </c>
      <c r="G1042">
        <f t="shared" si="52"/>
        <v>38000</v>
      </c>
      <c r="H1042">
        <f t="shared" si="53"/>
        <v>1</v>
      </c>
      <c r="I1042" t="str">
        <f t="shared" si="54"/>
        <v>BERODUAL INHALADOR - BROMURO DE IPRATROPIO</v>
      </c>
    </row>
    <row r="1043" spans="1:9">
      <c r="A1043" s="22" t="s">
        <v>131</v>
      </c>
      <c r="B1043" s="23">
        <v>6</v>
      </c>
      <c r="C1043" s="51">
        <v>0</v>
      </c>
      <c r="D1043" s="446" t="s">
        <v>85</v>
      </c>
      <c r="E1043" s="39" t="s">
        <v>75</v>
      </c>
      <c r="F1043" s="42">
        <v>7703712030527</v>
      </c>
      <c r="G1043">
        <f t="shared" si="52"/>
        <v>11000</v>
      </c>
      <c r="H1043">
        <f t="shared" si="53"/>
        <v>1</v>
      </c>
      <c r="I1043" t="str">
        <f t="shared" si="54"/>
        <v>IBUPROFENO SUSP- COASPHARMA</v>
      </c>
    </row>
    <row r="1044" spans="1:9" ht="15.75">
      <c r="A1044" s="433" t="s">
        <v>1480</v>
      </c>
      <c r="B1044" s="37">
        <v>1</v>
      </c>
      <c r="C1044" s="429">
        <v>0.19</v>
      </c>
      <c r="D1044" s="376" t="s">
        <v>1481</v>
      </c>
      <c r="E1044" s="112" t="s">
        <v>925</v>
      </c>
      <c r="F1044" s="115">
        <v>7702031734628</v>
      </c>
      <c r="G1044">
        <f t="shared" si="52"/>
        <v>15800</v>
      </c>
      <c r="H1044">
        <f t="shared" si="53"/>
        <v>1</v>
      </c>
      <c r="I1044" t="str">
        <f t="shared" si="54"/>
        <v>ACEITE Johnson Baby Antes de Dormir X100ML</v>
      </c>
    </row>
    <row r="1045" spans="1:9">
      <c r="A1045" t="s">
        <v>1482</v>
      </c>
      <c r="B1045" s="23">
        <v>1</v>
      </c>
      <c r="C1045" s="51">
        <v>0.19</v>
      </c>
      <c r="D1045" s="446" t="s">
        <v>1483</v>
      </c>
      <c r="E1045" s="41" t="s">
        <v>1484</v>
      </c>
      <c r="F1045" s="42">
        <v>7891010037024</v>
      </c>
      <c r="G1045">
        <f t="shared" si="52"/>
        <v>38000</v>
      </c>
      <c r="H1045">
        <f t="shared" si="53"/>
        <v>1</v>
      </c>
      <c r="I1045" t="str">
        <f t="shared" si="54"/>
        <v>ACEITE JOHNSON ORIGINAL X50ML</v>
      </c>
    </row>
    <row r="1046" spans="1:9" ht="28.5">
      <c r="A1046" s="22" t="s">
        <v>1485</v>
      </c>
      <c r="B1046" s="23">
        <v>1</v>
      </c>
      <c r="C1046" s="51">
        <v>0.19</v>
      </c>
      <c r="D1046" s="483" t="s">
        <v>1486</v>
      </c>
      <c r="E1046" s="41" t="s">
        <v>1487</v>
      </c>
      <c r="F1046" s="42">
        <v>7702031244875</v>
      </c>
      <c r="G1046">
        <f t="shared" si="52"/>
        <v>47000</v>
      </c>
      <c r="H1046">
        <f t="shared" si="53"/>
        <v>1</v>
      </c>
      <c r="I1046" t="str">
        <f t="shared" si="54"/>
        <v>LUBRIDERM HUMECTACIÓN DIARIA -AZUL X400ML + 120ML</v>
      </c>
    </row>
    <row r="1047" spans="1:9">
      <c r="A1047" t="s">
        <v>1488</v>
      </c>
      <c r="B1047" s="23">
        <v>1</v>
      </c>
      <c r="C1047" s="51">
        <v>0.19</v>
      </c>
      <c r="D1047" s="446" t="s">
        <v>1489</v>
      </c>
      <c r="E1047" s="41" t="s">
        <v>1490</v>
      </c>
      <c r="F1047" s="42">
        <v>7702031244493</v>
      </c>
      <c r="G1047">
        <f t="shared" si="52"/>
        <v>26000</v>
      </c>
      <c r="H1047">
        <f t="shared" si="53"/>
        <v>1</v>
      </c>
      <c r="I1047" t="str">
        <f t="shared" si="54"/>
        <v>LUBRIDERM HUMECTACIÓN DIARIA -AZUL X200ML</v>
      </c>
    </row>
    <row r="1048" spans="1:9">
      <c r="A1048" s="434" t="s">
        <v>496</v>
      </c>
      <c r="B1048" s="507">
        <v>1</v>
      </c>
      <c r="C1048" s="521">
        <v>0</v>
      </c>
      <c r="D1048" s="499" t="s">
        <v>497</v>
      </c>
      <c r="E1048" s="528" t="s">
        <v>498</v>
      </c>
      <c r="F1048" s="503">
        <v>7704590000000</v>
      </c>
      <c r="G1048">
        <f t="shared" si="52"/>
        <v>29000</v>
      </c>
      <c r="H1048">
        <f t="shared" si="53"/>
        <v>1</v>
      </c>
      <c r="I1048" t="str">
        <f t="shared" si="54"/>
        <v>ROXICAINA 2% - JALEA</v>
      </c>
    </row>
    <row r="1049" spans="1:9">
      <c r="A1049" t="s">
        <v>1493</v>
      </c>
      <c r="B1049" s="23">
        <v>2</v>
      </c>
      <c r="C1049" s="51">
        <v>0</v>
      </c>
      <c r="D1049" s="446" t="s">
        <v>1116</v>
      </c>
      <c r="E1049" s="41" t="s">
        <v>1494</v>
      </c>
      <c r="F1049" s="42">
        <v>7703153008147</v>
      </c>
      <c r="G1049">
        <f t="shared" si="52"/>
        <v>23000</v>
      </c>
      <c r="H1049">
        <f t="shared" si="53"/>
        <v>1</v>
      </c>
      <c r="I1049" t="str">
        <f t="shared" si="54"/>
        <v>LAGRIFRESH</v>
      </c>
    </row>
    <row r="1050" spans="1:9" ht="15">
      <c r="A1050" s="19" t="s">
        <v>1495</v>
      </c>
      <c r="B1050" s="37">
        <v>5</v>
      </c>
      <c r="C1050" s="37">
        <v>0</v>
      </c>
      <c r="D1050" s="376" t="s">
        <v>222</v>
      </c>
      <c r="E1050" s="117" t="s">
        <v>1496</v>
      </c>
      <c r="F1050" s="115">
        <v>7703153004330</v>
      </c>
      <c r="G1050">
        <f t="shared" si="52"/>
        <v>1500</v>
      </c>
      <c r="H1050">
        <f t="shared" si="53"/>
        <v>1</v>
      </c>
      <c r="I1050" t="str">
        <f t="shared" si="54"/>
        <v>FLUCONAZOL 200MG X4 - COLMED</v>
      </c>
    </row>
    <row r="1051" spans="1:9" ht="15">
      <c r="A1051" s="112" t="s">
        <v>738</v>
      </c>
      <c r="B1051" s="37">
        <v>1</v>
      </c>
      <c r="C1051" s="37">
        <v>0</v>
      </c>
      <c r="D1051" s="376" t="s">
        <v>74</v>
      </c>
      <c r="E1051" s="112" t="s">
        <v>18</v>
      </c>
      <c r="F1051" s="115">
        <v>7707355058153</v>
      </c>
      <c r="G1051">
        <f t="shared" si="52"/>
        <v>20000</v>
      </c>
      <c r="H1051">
        <f t="shared" si="53"/>
        <v>1</v>
      </c>
      <c r="I1051" t="str">
        <f t="shared" si="54"/>
        <v>DEXTROMETORFANO 0,2% + GUAYACOLATO 2% - NOTUSIN NIÑO SUSP</v>
      </c>
    </row>
    <row r="1052" spans="1:9">
      <c r="A1052" s="12" t="s">
        <v>1501</v>
      </c>
      <c r="B1052" s="14">
        <v>1</v>
      </c>
      <c r="C1052" s="136">
        <v>0</v>
      </c>
      <c r="D1052" s="469" t="s">
        <v>1116</v>
      </c>
      <c r="E1052" s="13" t="s">
        <v>1502</v>
      </c>
      <c r="F1052" s="42">
        <v>7703153030520</v>
      </c>
      <c r="G1052">
        <f t="shared" si="52"/>
        <v>23000</v>
      </c>
      <c r="H1052">
        <f t="shared" si="53"/>
        <v>1</v>
      </c>
      <c r="I1052" t="str">
        <f t="shared" si="54"/>
        <v>ACAR KLEAN SPRAY 200ML</v>
      </c>
    </row>
    <row r="1053" spans="1:9">
      <c r="A1053" s="141" t="s">
        <v>1503</v>
      </c>
      <c r="B1053" s="147">
        <v>1</v>
      </c>
      <c r="C1053" s="148">
        <v>0</v>
      </c>
      <c r="D1053" s="444" t="s">
        <v>250</v>
      </c>
      <c r="E1053" s="159" t="s">
        <v>1504</v>
      </c>
      <c r="F1053" s="160">
        <v>7703445030153</v>
      </c>
      <c r="G1053">
        <f t="shared" si="52"/>
        <v>3500</v>
      </c>
      <c r="H1053">
        <f t="shared" si="53"/>
        <v>1</v>
      </c>
      <c r="I1053" t="str">
        <f t="shared" si="54"/>
        <v>FLUIMUCIL 600MG X30 SOBRES / N-ACETILCISTEINA</v>
      </c>
    </row>
    <row r="1054" spans="1:9">
      <c r="A1054" s="13" t="s">
        <v>335</v>
      </c>
      <c r="B1054" s="14">
        <v>1</v>
      </c>
      <c r="C1054" s="105">
        <v>0</v>
      </c>
      <c r="D1054" s="308" t="s">
        <v>250</v>
      </c>
      <c r="E1054" s="12" t="s">
        <v>336</v>
      </c>
      <c r="F1054" s="63">
        <v>4042809179408</v>
      </c>
      <c r="G1054">
        <f t="shared" si="52"/>
        <v>3500</v>
      </c>
      <c r="H1054">
        <f t="shared" si="53"/>
        <v>1</v>
      </c>
      <c r="I1054" t="str">
        <f t="shared" si="54"/>
        <v>FIXOMULL TRANSPARENT 10CM *2MTS (40C)</v>
      </c>
    </row>
    <row r="1055" spans="1:9" ht="15">
      <c r="A1055" s="112" t="s">
        <v>1515</v>
      </c>
      <c r="B1055" s="37">
        <v>2</v>
      </c>
      <c r="C1055" s="429">
        <v>0</v>
      </c>
      <c r="D1055" s="376" t="s">
        <v>250</v>
      </c>
      <c r="E1055" s="112" t="s">
        <v>83</v>
      </c>
      <c r="F1055" s="115">
        <v>7702605111695</v>
      </c>
      <c r="G1055">
        <f t="shared" ref="G1055:G1118" si="55">IFERROR(VALUE(SUBSTITUTE(LEFT(LOWER(D1055),FIND("x",LOWER(D1055))-1),",","")),VALUE(SUBSTITUTE(D1055,",","")))</f>
        <v>3500</v>
      </c>
      <c r="H1055">
        <f t="shared" ref="H1055:H1118" si="56">IFERROR(VALUE(MID(LOWER(D1055),FIND("x",LOWER(D1055))+1,20)),1)</f>
        <v>1</v>
      </c>
      <c r="I1055" t="str">
        <f t="shared" si="54"/>
        <v>CICLOBENZAPRINA CLORHIDRATO 10MG - GENFAR X30</v>
      </c>
    </row>
    <row r="1056" spans="1:9" ht="15">
      <c r="A1056" s="130" t="s">
        <v>1516</v>
      </c>
      <c r="B1056" s="132">
        <v>3</v>
      </c>
      <c r="C1056" s="510">
        <v>0</v>
      </c>
      <c r="D1056" s="492" t="s">
        <v>23</v>
      </c>
      <c r="E1056" s="214" t="s">
        <v>15</v>
      </c>
      <c r="F1056" s="478">
        <v>7709990383607</v>
      </c>
      <c r="G1056">
        <f t="shared" si="55"/>
        <v>15000</v>
      </c>
      <c r="H1056">
        <f t="shared" si="56"/>
        <v>1</v>
      </c>
      <c r="I1056" t="str">
        <f t="shared" si="54"/>
        <v>ACICLOVIR 5% - VIVIRSON</v>
      </c>
    </row>
    <row r="1057" spans="1:9">
      <c r="A1057" s="41" t="s">
        <v>1517</v>
      </c>
      <c r="B1057" s="23">
        <v>2</v>
      </c>
      <c r="C1057" s="51">
        <v>0</v>
      </c>
      <c r="D1057" s="446" t="s">
        <v>1518</v>
      </c>
      <c r="E1057" s="39" t="s">
        <v>1519</v>
      </c>
      <c r="F1057" s="42">
        <v>7708952877192</v>
      </c>
      <c r="G1057">
        <f t="shared" si="55"/>
        <v>26000</v>
      </c>
      <c r="H1057">
        <f t="shared" si="56"/>
        <v>10</v>
      </c>
      <c r="I1057" t="str">
        <f t="shared" si="54"/>
        <v>DOR-2 - TRAMADOL + ACETAMINOFEN TAB *10</v>
      </c>
    </row>
    <row r="1058" spans="1:9">
      <c r="A1058" s="22" t="s">
        <v>1520</v>
      </c>
      <c r="B1058" s="23">
        <v>3</v>
      </c>
      <c r="C1058" s="51">
        <v>0</v>
      </c>
      <c r="D1058" s="446" t="s">
        <v>1521</v>
      </c>
      <c r="E1058" s="41" t="s">
        <v>228</v>
      </c>
      <c r="F1058" s="42">
        <v>8903726232774</v>
      </c>
      <c r="G1058">
        <f t="shared" si="55"/>
        <v>30000</v>
      </c>
      <c r="H1058">
        <f t="shared" si="56"/>
        <v>10</v>
      </c>
      <c r="I1058" t="str">
        <f t="shared" si="54"/>
        <v>ETORICOXIB 60MG- TORROX X10</v>
      </c>
    </row>
    <row r="1059" spans="1:9">
      <c r="A1059" s="13" t="s">
        <v>1150</v>
      </c>
      <c r="B1059" s="14">
        <v>1</v>
      </c>
      <c r="C1059" s="105">
        <v>0</v>
      </c>
      <c r="D1059" s="308" t="s">
        <v>112</v>
      </c>
      <c r="E1059" s="13" t="s">
        <v>1151</v>
      </c>
      <c r="F1059" s="61">
        <v>7501303010701</v>
      </c>
      <c r="G1059">
        <f t="shared" si="55"/>
        <v>26000</v>
      </c>
      <c r="H1059">
        <f t="shared" si="56"/>
        <v>1</v>
      </c>
      <c r="I1059" t="str">
        <f t="shared" si="54"/>
        <v>BAYCUTEN N *20GR</v>
      </c>
    </row>
    <row r="1060" spans="1:9" ht="15">
      <c r="A1060" s="19" t="s">
        <v>1522</v>
      </c>
      <c r="B1060" s="37">
        <v>1</v>
      </c>
      <c r="C1060" s="37">
        <v>0</v>
      </c>
      <c r="D1060" s="376" t="s">
        <v>56</v>
      </c>
      <c r="E1060" s="117" t="s">
        <v>1523</v>
      </c>
      <c r="F1060" s="115">
        <v>7703889155450</v>
      </c>
      <c r="G1060">
        <f t="shared" si="55"/>
        <v>28000</v>
      </c>
      <c r="H1060">
        <f t="shared" si="56"/>
        <v>1</v>
      </c>
      <c r="I1060" t="str">
        <f t="shared" si="54"/>
        <v>ASPROMIO - BROMURO IPRATROPIO BUCAL 20MCG</v>
      </c>
    </row>
    <row r="1061" spans="1:9">
      <c r="A1061" s="24" t="s">
        <v>1526</v>
      </c>
      <c r="B1061" s="30">
        <v>1</v>
      </c>
      <c r="C1061" s="30">
        <v>0</v>
      </c>
      <c r="D1061" s="447" t="s">
        <v>1366</v>
      </c>
      <c r="E1061" s="7" t="s">
        <v>1527</v>
      </c>
      <c r="F1061" s="63">
        <v>6938741600439</v>
      </c>
      <c r="G1061">
        <f t="shared" si="55"/>
        <v>19000</v>
      </c>
      <c r="H1061">
        <f t="shared" si="56"/>
        <v>1</v>
      </c>
      <c r="I1061" t="str">
        <f t="shared" si="54"/>
        <v>ENOXAPARINA SODICA 40 MG DELTA/0,4 ML X10 AMPOLLAS</v>
      </c>
    </row>
    <row r="1062" spans="1:9" ht="15">
      <c r="A1062" s="43" t="s">
        <v>1186</v>
      </c>
      <c r="B1062" s="37">
        <v>1</v>
      </c>
      <c r="C1062" s="37">
        <v>0</v>
      </c>
      <c r="D1062" s="376" t="s">
        <v>7</v>
      </c>
      <c r="E1062" s="112" t="s">
        <v>1187</v>
      </c>
      <c r="F1062" s="115">
        <v>7702896136940</v>
      </c>
      <c r="G1062">
        <f t="shared" si="55"/>
        <v>7000</v>
      </c>
      <c r="H1062">
        <f t="shared" si="56"/>
        <v>1</v>
      </c>
      <c r="I1062" t="str">
        <f t="shared" si="54"/>
        <v>HIOSCINA + DIPIRONA AMPOLLA / ESPASMOKOV COMPUESTO</v>
      </c>
    </row>
    <row r="1063" spans="1:9" ht="15">
      <c r="A1063" s="19" t="s">
        <v>1532</v>
      </c>
      <c r="B1063" s="37">
        <v>3</v>
      </c>
      <c r="C1063" s="37">
        <v>0</v>
      </c>
      <c r="D1063" s="376" t="s">
        <v>1533</v>
      </c>
      <c r="E1063" s="117" t="s">
        <v>1534</v>
      </c>
      <c r="F1063" s="115">
        <v>7704412000049</v>
      </c>
      <c r="G1063">
        <f t="shared" si="55"/>
        <v>14000</v>
      </c>
      <c r="H1063">
        <f t="shared" si="56"/>
        <v>4</v>
      </c>
      <c r="I1063" t="str">
        <f t="shared" si="54"/>
        <v>TADALAFILO 20MG X4 TABS</v>
      </c>
    </row>
    <row r="1064" spans="1:9">
      <c r="A1064" s="8" t="s">
        <v>526</v>
      </c>
      <c r="B1064" s="30">
        <v>8</v>
      </c>
      <c r="C1064" s="173">
        <v>0</v>
      </c>
      <c r="D1064" s="447" t="s">
        <v>527</v>
      </c>
      <c r="E1064" s="7" t="s">
        <v>528</v>
      </c>
      <c r="F1064" s="63">
        <v>7702195057304</v>
      </c>
      <c r="G1064">
        <f t="shared" si="55"/>
        <v>11000</v>
      </c>
      <c r="H1064">
        <f t="shared" si="56"/>
        <v>10</v>
      </c>
      <c r="I1064" t="str">
        <f t="shared" si="54"/>
        <v>CELECOXIB 200MG- RECIPE</v>
      </c>
    </row>
    <row r="1065" spans="1:9">
      <c r="A1065" s="28" t="s">
        <v>1537</v>
      </c>
      <c r="B1065" s="30">
        <v>10</v>
      </c>
      <c r="C1065" s="173">
        <v>0</v>
      </c>
      <c r="D1065" s="447" t="s">
        <v>59</v>
      </c>
      <c r="E1065" s="7" t="s">
        <v>1538</v>
      </c>
      <c r="F1065" s="63">
        <v>7707271202197</v>
      </c>
      <c r="G1065">
        <f t="shared" si="55"/>
        <v>3000</v>
      </c>
      <c r="H1065">
        <f t="shared" si="56"/>
        <v>1</v>
      </c>
      <c r="I1065" t="str">
        <f t="shared" si="54"/>
        <v>SAL DE MAR *400GR- YOMA</v>
      </c>
    </row>
    <row r="1066" spans="1:9">
      <c r="A1066" s="141" t="s">
        <v>1543</v>
      </c>
      <c r="B1066" s="14">
        <v>2</v>
      </c>
      <c r="C1066" s="14">
        <v>0</v>
      </c>
      <c r="D1066" s="308" t="s">
        <v>156</v>
      </c>
      <c r="E1066" s="12" t="s">
        <v>1544</v>
      </c>
      <c r="F1066" s="61">
        <v>7702184011263</v>
      </c>
      <c r="G1066">
        <f t="shared" si="55"/>
        <v>3000</v>
      </c>
      <c r="H1066">
        <f t="shared" si="56"/>
        <v>10</v>
      </c>
      <c r="I1066" t="str">
        <f t="shared" si="54"/>
        <v>ATORVASTATINA 20MG - ECAR X100</v>
      </c>
    </row>
    <row r="1067" spans="1:9" ht="15">
      <c r="A1067" s="19" t="s">
        <v>1549</v>
      </c>
      <c r="B1067" s="37">
        <v>1</v>
      </c>
      <c r="C1067" s="37">
        <v>0</v>
      </c>
      <c r="D1067" s="376" t="s">
        <v>1550</v>
      </c>
      <c r="E1067" s="112" t="s">
        <v>107</v>
      </c>
      <c r="F1067" s="115">
        <v>8903726196359</v>
      </c>
      <c r="G1067">
        <f t="shared" si="55"/>
        <v>25000</v>
      </c>
      <c r="H1067">
        <f t="shared" si="56"/>
        <v>30</v>
      </c>
      <c r="I1067" t="str">
        <f t="shared" si="54"/>
        <v>OLMESARTAN 20MG - OLMEDOXTAN X30</v>
      </c>
    </row>
    <row r="1068" spans="1:9" ht="15">
      <c r="A1068" s="16" t="s">
        <v>1551</v>
      </c>
      <c r="B1068" s="17">
        <v>1</v>
      </c>
      <c r="C1068" s="124">
        <v>0</v>
      </c>
      <c r="D1068" s="321" t="s">
        <v>1552</v>
      </c>
      <c r="E1068" s="73" t="s">
        <v>1553</v>
      </c>
      <c r="F1068" s="20">
        <v>7706127005166</v>
      </c>
      <c r="G1068">
        <f t="shared" si="55"/>
        <v>5400</v>
      </c>
      <c r="H1068">
        <f t="shared" si="56"/>
        <v>2</v>
      </c>
      <c r="I1068" t="str">
        <f t="shared" si="54"/>
        <v>STOPEN 20MG - PIROXICAM X50 CAPSULAS</v>
      </c>
    </row>
    <row r="1069" spans="1:9" ht="15">
      <c r="A1069" s="19" t="s">
        <v>1554</v>
      </c>
      <c r="B1069" s="37">
        <v>3</v>
      </c>
      <c r="C1069" s="37">
        <v>0</v>
      </c>
      <c r="D1069" s="376" t="s">
        <v>1555</v>
      </c>
      <c r="E1069" s="112" t="s">
        <v>1556</v>
      </c>
      <c r="F1069" s="115">
        <v>7702605102624</v>
      </c>
      <c r="G1069">
        <f t="shared" si="55"/>
        <v>7000</v>
      </c>
      <c r="H1069">
        <f t="shared" si="56"/>
        <v>8</v>
      </c>
      <c r="I1069" t="str">
        <f t="shared" si="54"/>
        <v>TINIDAZOL 500MG TABS X8 . GENFAR</v>
      </c>
    </row>
    <row r="1070" spans="1:9" ht="15">
      <c r="A1070" s="16" t="s">
        <v>1559</v>
      </c>
      <c r="B1070" s="30">
        <v>1</v>
      </c>
      <c r="C1070" s="31">
        <v>0</v>
      </c>
      <c r="D1070" s="447" t="s">
        <v>1560</v>
      </c>
      <c r="E1070" s="73" t="s">
        <v>1542</v>
      </c>
      <c r="F1070" s="63">
        <v>7703333007113</v>
      </c>
      <c r="G1070">
        <f t="shared" si="55"/>
        <v>54000</v>
      </c>
      <c r="H1070">
        <f t="shared" si="56"/>
        <v>1</v>
      </c>
      <c r="I1070" t="str">
        <f t="shared" si="54"/>
        <v>PROCICAR *60GR</v>
      </c>
    </row>
    <row r="1071" spans="1:9" ht="15">
      <c r="A1071" s="19" t="s">
        <v>790</v>
      </c>
      <c r="B1071" s="37">
        <v>1</v>
      </c>
      <c r="C1071" s="37">
        <v>0</v>
      </c>
      <c r="D1071" s="376" t="s">
        <v>652</v>
      </c>
      <c r="E1071" s="112" t="s">
        <v>791</v>
      </c>
      <c r="F1071" s="115">
        <v>7707019380606</v>
      </c>
      <c r="G1071">
        <f t="shared" si="55"/>
        <v>14000</v>
      </c>
      <c r="H1071">
        <f t="shared" si="56"/>
        <v>10</v>
      </c>
      <c r="I1071" t="str">
        <f t="shared" si="54"/>
        <v>SERTRALINA 100MG X10 TABS - SERTRANQUIL</v>
      </c>
    </row>
    <row r="1072" spans="1:9">
      <c r="A1072" s="8" t="s">
        <v>1564</v>
      </c>
      <c r="B1072" s="30">
        <v>1</v>
      </c>
      <c r="C1072" s="101">
        <v>0</v>
      </c>
      <c r="D1072" s="443" t="s">
        <v>1565</v>
      </c>
      <c r="E1072" s="7" t="s">
        <v>1566</v>
      </c>
      <c r="F1072" s="63">
        <v>7707274721091</v>
      </c>
      <c r="G1072">
        <f t="shared" si="55"/>
        <v>48000</v>
      </c>
      <c r="H1072">
        <f t="shared" si="56"/>
        <v>1</v>
      </c>
      <c r="I1072" t="str">
        <f t="shared" si="54"/>
        <v>BECLOMETASONA - ECLOSYNT NASAL 50MCG</v>
      </c>
    </row>
    <row r="1073" spans="1:9">
      <c r="A1073" s="12" t="s">
        <v>1567</v>
      </c>
      <c r="B1073" s="14">
        <v>2</v>
      </c>
      <c r="C1073" s="14">
        <v>0</v>
      </c>
      <c r="D1073" s="308" t="s">
        <v>1568</v>
      </c>
      <c r="E1073" s="12" t="s">
        <v>1544</v>
      </c>
      <c r="F1073" s="61">
        <v>7702626214856</v>
      </c>
      <c r="G1073">
        <f t="shared" si="55"/>
        <v>25000</v>
      </c>
      <c r="H1073">
        <f t="shared" si="56"/>
        <v>3</v>
      </c>
      <c r="I1073" t="str">
        <f t="shared" si="54"/>
        <v>DUREX REAL FEEL- CONDON *3</v>
      </c>
    </row>
    <row r="1074" spans="1:9">
      <c r="A1074" t="s">
        <v>1569</v>
      </c>
      <c r="B1074" s="23">
        <v>1</v>
      </c>
      <c r="C1074" s="238">
        <v>0.19</v>
      </c>
      <c r="D1074" s="446" t="s">
        <v>1570</v>
      </c>
      <c r="E1074" s="39" t="s">
        <v>1571</v>
      </c>
      <c r="F1074" s="42">
        <v>7701684000456</v>
      </c>
      <c r="G1074">
        <f t="shared" si="55"/>
        <v>56000</v>
      </c>
      <c r="H1074">
        <f t="shared" si="56"/>
        <v>1</v>
      </c>
      <c r="I1074" t="str">
        <f t="shared" si="54"/>
        <v>ALMIPRO CREMA EXTRA HUMECTANTE - X450GR</v>
      </c>
    </row>
    <row r="1075" spans="1:9">
      <c r="A1075" s="24" t="s">
        <v>1574</v>
      </c>
      <c r="B1075" s="30">
        <v>1</v>
      </c>
      <c r="C1075" s="31">
        <v>0.19</v>
      </c>
      <c r="D1075" s="447" t="s">
        <v>348</v>
      </c>
      <c r="E1075" s="8" t="s">
        <v>1575</v>
      </c>
      <c r="F1075" s="63">
        <v>7705471700406</v>
      </c>
      <c r="G1075">
        <f t="shared" si="55"/>
        <v>36000</v>
      </c>
      <c r="H1075">
        <f t="shared" si="56"/>
        <v>1</v>
      </c>
      <c r="I1075" t="str">
        <f t="shared" si="54"/>
        <v>HIELO MINERAL GEL X460GR</v>
      </c>
    </row>
    <row r="1076" spans="1:9">
      <c r="A1076" s="64" t="s">
        <v>1576</v>
      </c>
      <c r="B1076" s="14">
        <v>2</v>
      </c>
      <c r="C1076" s="136">
        <v>0</v>
      </c>
      <c r="D1076" s="469" t="s">
        <v>91</v>
      </c>
      <c r="E1076" s="64" t="s">
        <v>1577</v>
      </c>
      <c r="F1076" s="103">
        <v>7501298217536</v>
      </c>
      <c r="G1076">
        <f t="shared" si="55"/>
        <v>16000</v>
      </c>
      <c r="H1076">
        <f t="shared" si="56"/>
        <v>1</v>
      </c>
      <c r="I1076" t="str">
        <f t="shared" si="54"/>
        <v>NEUROBION *3AMP</v>
      </c>
    </row>
    <row r="1077" spans="1:9">
      <c r="A1077" s="141" t="s">
        <v>710</v>
      </c>
      <c r="B1077" s="23">
        <v>4</v>
      </c>
      <c r="C1077" s="51">
        <v>0</v>
      </c>
      <c r="D1077" s="446" t="s">
        <v>38</v>
      </c>
      <c r="E1077" s="168" t="s">
        <v>711</v>
      </c>
      <c r="F1077" s="160">
        <v>7707177970633</v>
      </c>
      <c r="G1077">
        <f t="shared" si="55"/>
        <v>9000</v>
      </c>
      <c r="H1077">
        <f t="shared" si="56"/>
        <v>1</v>
      </c>
      <c r="I1077" t="str">
        <f t="shared" si="54"/>
        <v>NISTATINA SUSP LABINCO</v>
      </c>
    </row>
    <row r="1078" spans="1:9" ht="15">
      <c r="A1078" s="19" t="s">
        <v>1578</v>
      </c>
      <c r="B1078" s="37">
        <v>1</v>
      </c>
      <c r="C1078" s="37">
        <v>0</v>
      </c>
      <c r="D1078" s="376" t="s">
        <v>1579</v>
      </c>
      <c r="E1078" s="112" t="s">
        <v>107</v>
      </c>
      <c r="F1078" s="115">
        <v>8904159624174</v>
      </c>
      <c r="G1078">
        <f t="shared" si="55"/>
        <v>15500</v>
      </c>
      <c r="H1078">
        <f t="shared" si="56"/>
        <v>10</v>
      </c>
      <c r="I1078" t="str">
        <f t="shared" si="54"/>
        <v>PREGABALINA 150MG - EPIBALIN X30</v>
      </c>
    </row>
    <row r="1079" spans="1:9">
      <c r="A1079" t="s">
        <v>1588</v>
      </c>
      <c r="B1079" s="23">
        <v>3</v>
      </c>
      <c r="C1079" s="51">
        <v>0</v>
      </c>
      <c r="D1079" s="446" t="s">
        <v>1589</v>
      </c>
      <c r="E1079" s="39" t="s">
        <v>1590</v>
      </c>
      <c r="F1079" s="42">
        <v>7703763341016</v>
      </c>
      <c r="G1079">
        <f t="shared" si="55"/>
        <v>12000</v>
      </c>
      <c r="H1079">
        <f t="shared" si="56"/>
        <v>14</v>
      </c>
      <c r="I1079" t="str">
        <f t="shared" si="54"/>
        <v>VALSARTAN 80MG X14 TABLETAS - LA SANTE</v>
      </c>
    </row>
    <row r="1080" spans="1:9" ht="15">
      <c r="A1080" s="19" t="s">
        <v>1592</v>
      </c>
      <c r="B1080" s="37">
        <v>1</v>
      </c>
      <c r="C1080" s="37">
        <v>0</v>
      </c>
      <c r="D1080" s="376" t="s">
        <v>1593</v>
      </c>
      <c r="E1080" s="112" t="s">
        <v>791</v>
      </c>
      <c r="F1080" s="115">
        <v>8903726271551</v>
      </c>
      <c r="G1080">
        <f t="shared" si="55"/>
        <v>22000</v>
      </c>
      <c r="H1080">
        <f t="shared" si="56"/>
        <v>10</v>
      </c>
      <c r="I1080" t="str">
        <f t="shared" si="54"/>
        <v>FEXOFENADINA TABLETAS X120MG TABS X10</v>
      </c>
    </row>
    <row r="1081" spans="1:9">
      <c r="A1081" s="28" t="s">
        <v>1604</v>
      </c>
      <c r="B1081" s="30">
        <v>1</v>
      </c>
      <c r="C1081" s="31">
        <v>0</v>
      </c>
      <c r="D1081" s="447" t="s">
        <v>1605</v>
      </c>
      <c r="E1081" s="8" t="s">
        <v>1606</v>
      </c>
      <c r="F1081" s="63">
        <v>7730969301810</v>
      </c>
      <c r="G1081">
        <f t="shared" si="55"/>
        <v>3500</v>
      </c>
      <c r="H1081">
        <f t="shared" si="56"/>
        <v>1</v>
      </c>
      <c r="I1081" t="str">
        <f t="shared" si="54"/>
        <v>DORIXINA RELAX</v>
      </c>
    </row>
    <row r="1082" spans="1:9" ht="15">
      <c r="A1082" s="73" t="s">
        <v>1612</v>
      </c>
      <c r="B1082" s="17">
        <v>1</v>
      </c>
      <c r="C1082" s="124">
        <v>0.19</v>
      </c>
      <c r="D1082" s="321" t="s">
        <v>1613</v>
      </c>
      <c r="E1082" s="73" t="s">
        <v>1614</v>
      </c>
      <c r="F1082" s="20">
        <v>7703286119253</v>
      </c>
      <c r="G1082">
        <f t="shared" si="55"/>
        <v>53000</v>
      </c>
      <c r="H1082">
        <f t="shared" si="56"/>
        <v>100</v>
      </c>
      <c r="I1082" t="str">
        <f t="shared" si="54"/>
        <v>COLAGENO+ BIOTINA X100 - MEDICK</v>
      </c>
    </row>
    <row r="1083" spans="1:9">
      <c r="A1083" s="22" t="s">
        <v>1621</v>
      </c>
      <c r="B1083" s="11">
        <v>6</v>
      </c>
      <c r="C1083" s="194">
        <v>0</v>
      </c>
      <c r="D1083" s="483" t="s">
        <v>697</v>
      </c>
      <c r="E1083" s="41" t="s">
        <v>1622</v>
      </c>
      <c r="F1083" s="273">
        <v>7707271201824</v>
      </c>
      <c r="G1083">
        <f t="shared" si="55"/>
        <v>2500</v>
      </c>
      <c r="H1083">
        <f t="shared" si="56"/>
        <v>1</v>
      </c>
      <c r="I1083" t="str">
        <f t="shared" si="54"/>
        <v>GLICERINA CARBONATADA *20ML- YOMA</v>
      </c>
    </row>
    <row r="1084" spans="1:9">
      <c r="A1084" s="24" t="s">
        <v>180</v>
      </c>
      <c r="B1084" s="30">
        <v>3</v>
      </c>
      <c r="C1084" s="31">
        <v>0</v>
      </c>
      <c r="D1084" s="447" t="s">
        <v>1126</v>
      </c>
      <c r="E1084" s="7" t="s">
        <v>182</v>
      </c>
      <c r="F1084" s="63">
        <v>7707288826706</v>
      </c>
      <c r="G1084">
        <f t="shared" si="55"/>
        <v>25000</v>
      </c>
      <c r="H1084">
        <f t="shared" si="56"/>
        <v>10</v>
      </c>
      <c r="I1084" t="str">
        <f t="shared" si="54"/>
        <v>FIBRILOK ACIDO TRANEXAMICO X10 TABLETAS</v>
      </c>
    </row>
    <row r="1085" spans="1:9">
      <c r="A1085" s="22" t="s">
        <v>1629</v>
      </c>
      <c r="B1085" s="23">
        <v>1</v>
      </c>
      <c r="C1085" s="51">
        <v>0</v>
      </c>
      <c r="D1085" s="446" t="s">
        <v>756</v>
      </c>
      <c r="E1085" s="41" t="s">
        <v>1630</v>
      </c>
      <c r="F1085" s="42">
        <v>7702123005513</v>
      </c>
      <c r="G1085">
        <f t="shared" si="55"/>
        <v>5000</v>
      </c>
      <c r="H1085">
        <f t="shared" si="56"/>
        <v>2</v>
      </c>
      <c r="I1085" t="str">
        <f t="shared" si="54"/>
        <v>APRONAX 550MG X60 TABLETAS / NAPROXENO 550MG</v>
      </c>
    </row>
    <row r="1086" spans="1:9" ht="15">
      <c r="A1086" s="19" t="s">
        <v>1634</v>
      </c>
      <c r="B1086" s="37">
        <v>1</v>
      </c>
      <c r="C1086" s="37">
        <v>0</v>
      </c>
      <c r="D1086" s="376" t="s">
        <v>1635</v>
      </c>
      <c r="E1086" s="112" t="s">
        <v>1473</v>
      </c>
      <c r="F1086" s="115">
        <v>7703153027520</v>
      </c>
      <c r="G1086">
        <f t="shared" si="55"/>
        <v>23500</v>
      </c>
      <c r="H1086">
        <f t="shared" si="56"/>
        <v>10</v>
      </c>
      <c r="I1086" t="str">
        <f t="shared" si="54"/>
        <v>PANTOPRAZOL 40MG COLMED X30</v>
      </c>
    </row>
    <row r="1087" spans="1:9">
      <c r="A1087" s="28" t="s">
        <v>1641</v>
      </c>
      <c r="B1087" s="30">
        <v>3</v>
      </c>
      <c r="C1087" s="31">
        <v>0</v>
      </c>
      <c r="D1087" s="447" t="s">
        <v>1642</v>
      </c>
      <c r="E1087" s="8" t="s">
        <v>63</v>
      </c>
      <c r="F1087" s="63">
        <v>7702057076153</v>
      </c>
      <c r="G1087">
        <f t="shared" si="55"/>
        <v>12000</v>
      </c>
      <c r="H1087">
        <f t="shared" si="56"/>
        <v>30</v>
      </c>
      <c r="I1087" t="str">
        <f t="shared" si="54"/>
        <v>VERAPAMILO 120MG - MK</v>
      </c>
    </row>
    <row r="1088" spans="1:9" ht="15">
      <c r="A1088" s="19" t="s">
        <v>1645</v>
      </c>
      <c r="B1088" s="37">
        <v>6</v>
      </c>
      <c r="C1088" s="37">
        <v>0</v>
      </c>
      <c r="D1088" s="376" t="s">
        <v>85</v>
      </c>
      <c r="E1088" s="112" t="s">
        <v>1646</v>
      </c>
      <c r="F1088" s="115">
        <v>7702098031333</v>
      </c>
      <c r="G1088">
        <f t="shared" si="55"/>
        <v>11000</v>
      </c>
      <c r="H1088">
        <f t="shared" si="56"/>
        <v>1</v>
      </c>
      <c r="I1088" t="str">
        <f t="shared" si="54"/>
        <v>MICROPORE ROSA 2" X10YD 3M</v>
      </c>
    </row>
    <row r="1089" spans="1:9">
      <c r="A1089" s="22" t="s">
        <v>1647</v>
      </c>
      <c r="B1089" s="23">
        <v>12</v>
      </c>
      <c r="C1089" s="51">
        <v>0</v>
      </c>
      <c r="D1089" s="446" t="s">
        <v>80</v>
      </c>
      <c r="E1089" s="41" t="s">
        <v>1648</v>
      </c>
      <c r="F1089" s="42">
        <v>7702098400900</v>
      </c>
      <c r="G1089">
        <f t="shared" si="55"/>
        <v>6000</v>
      </c>
      <c r="H1089">
        <f t="shared" si="56"/>
        <v>1</v>
      </c>
      <c r="I1089" t="str">
        <f t="shared" si="54"/>
        <v>MICROORO 3M - MEDIANO ROSA- CAFE</v>
      </c>
    </row>
    <row r="1090" spans="1:9" ht="15">
      <c r="A1090" s="43" t="s">
        <v>1652</v>
      </c>
      <c r="B1090" s="37">
        <v>3</v>
      </c>
      <c r="C1090" s="37">
        <v>0</v>
      </c>
      <c r="D1090" s="376" t="s">
        <v>293</v>
      </c>
      <c r="E1090" s="112" t="s">
        <v>1653</v>
      </c>
      <c r="F1090" s="115">
        <v>7707336091841</v>
      </c>
      <c r="G1090">
        <f t="shared" si="55"/>
        <v>4000</v>
      </c>
      <c r="H1090">
        <f t="shared" si="56"/>
        <v>1</v>
      </c>
      <c r="I1090" t="str">
        <f t="shared" si="54"/>
        <v>ESPARADRAPO 1/2" X 5 YDS (1,25CM X 5MTS) - ZIBOJECT</v>
      </c>
    </row>
    <row r="1091" spans="1:9" ht="15">
      <c r="A1091" s="43" t="s">
        <v>1654</v>
      </c>
      <c r="B1091" s="37">
        <v>3</v>
      </c>
      <c r="C1091" s="37">
        <v>0</v>
      </c>
      <c r="D1091" s="376" t="s">
        <v>7</v>
      </c>
      <c r="E1091" s="112" t="s">
        <v>1655</v>
      </c>
      <c r="F1091" s="115">
        <v>7707336080302</v>
      </c>
      <c r="G1091">
        <f t="shared" si="55"/>
        <v>7000</v>
      </c>
      <c r="H1091">
        <f t="shared" si="56"/>
        <v>1</v>
      </c>
      <c r="I1091" t="str">
        <f t="shared" ref="I1091:I1154" si="57">TRIM(A1091)</f>
        <v>ESPARADRAPO 1" X 5 YDS (5CM X 5MTS) - ZIBOJECT</v>
      </c>
    </row>
    <row r="1092" spans="1:9" ht="15">
      <c r="A1092" s="43" t="s">
        <v>1656</v>
      </c>
      <c r="B1092" s="37">
        <v>3</v>
      </c>
      <c r="C1092" s="37">
        <v>0</v>
      </c>
      <c r="D1092" s="376" t="s">
        <v>38</v>
      </c>
      <c r="E1092" s="112" t="s">
        <v>1655</v>
      </c>
      <c r="F1092" s="115">
        <v>7707336080319</v>
      </c>
      <c r="G1092">
        <f t="shared" si="55"/>
        <v>9000</v>
      </c>
      <c r="H1092">
        <f t="shared" si="56"/>
        <v>1</v>
      </c>
      <c r="I1092" t="str">
        <f t="shared" si="57"/>
        <v>ESPARADRAPO 2" X 5 YDS (5CM X 5MTS) - ZIBOJECT</v>
      </c>
    </row>
    <row r="1093" spans="1:9" ht="30">
      <c r="A1093" s="43" t="s">
        <v>1657</v>
      </c>
      <c r="B1093" s="37">
        <v>3</v>
      </c>
      <c r="C1093" s="37">
        <v>0</v>
      </c>
      <c r="D1093" s="376" t="s">
        <v>85</v>
      </c>
      <c r="E1093" s="112" t="s">
        <v>1658</v>
      </c>
      <c r="F1093" s="115">
        <v>7707336090202</v>
      </c>
      <c r="G1093">
        <f t="shared" si="55"/>
        <v>11000</v>
      </c>
      <c r="H1093">
        <f t="shared" si="56"/>
        <v>1</v>
      </c>
      <c r="I1093" t="str">
        <f t="shared" si="57"/>
        <v>ESPARADRAPO 3" X 5 YDS (7,5CM X 5MTS) - ZIBOJECT</v>
      </c>
    </row>
    <row r="1094" spans="1:9">
      <c r="A1094" s="24" t="s">
        <v>1659</v>
      </c>
      <c r="B1094" s="30">
        <v>1</v>
      </c>
      <c r="C1094" s="31">
        <v>0</v>
      </c>
      <c r="D1094" s="447" t="s">
        <v>68</v>
      </c>
      <c r="E1094" s="7" t="s">
        <v>75</v>
      </c>
      <c r="F1094" s="63">
        <v>7703202221381</v>
      </c>
      <c r="G1094">
        <f t="shared" si="55"/>
        <v>39000</v>
      </c>
      <c r="H1094">
        <f t="shared" si="56"/>
        <v>1</v>
      </c>
      <c r="I1094" t="str">
        <f t="shared" si="57"/>
        <v>BISOLVON TOS SECA *-120ML</v>
      </c>
    </row>
    <row r="1095" spans="1:9">
      <c r="A1095" s="22" t="s">
        <v>1666</v>
      </c>
      <c r="B1095" s="11">
        <v>1</v>
      </c>
      <c r="C1095" s="194">
        <v>0</v>
      </c>
      <c r="D1095" s="483" t="s">
        <v>355</v>
      </c>
      <c r="E1095" s="41" t="s">
        <v>1667</v>
      </c>
      <c r="F1095" s="273">
        <v>7706462000055</v>
      </c>
      <c r="G1095">
        <f t="shared" si="55"/>
        <v>10000</v>
      </c>
      <c r="H1095">
        <f t="shared" si="56"/>
        <v>10</v>
      </c>
      <c r="I1095" t="str">
        <f t="shared" si="57"/>
        <v>FOSFOGEN X40 TABS / MULTIVITAMINICO</v>
      </c>
    </row>
    <row r="1096" spans="1:9">
      <c r="A1096" s="13" t="s">
        <v>1668</v>
      </c>
      <c r="B1096" s="14">
        <v>3</v>
      </c>
      <c r="C1096" s="105">
        <v>0</v>
      </c>
      <c r="D1096" s="308" t="s">
        <v>1669</v>
      </c>
      <c r="E1096" s="13" t="s">
        <v>495</v>
      </c>
      <c r="F1096" s="61">
        <v>7896116866325</v>
      </c>
      <c r="G1096">
        <f t="shared" si="55"/>
        <v>38000</v>
      </c>
      <c r="H1096">
        <f t="shared" si="56"/>
        <v>28</v>
      </c>
      <c r="I1096" t="str">
        <f t="shared" si="57"/>
        <v>YASMINI Q / DROSPIRENONA 3,00 MG + ETINILESTRADIOL 0,02MG</v>
      </c>
    </row>
    <row r="1097" spans="1:9">
      <c r="A1097" s="13" t="s">
        <v>1672</v>
      </c>
      <c r="B1097" s="14">
        <v>2</v>
      </c>
      <c r="C1097" s="105">
        <v>0</v>
      </c>
      <c r="D1097" s="308" t="s">
        <v>1673</v>
      </c>
      <c r="E1097" s="13" t="s">
        <v>1674</v>
      </c>
      <c r="F1097" s="61">
        <v>7707288822906</v>
      </c>
      <c r="G1097">
        <f t="shared" si="55"/>
        <v>21000</v>
      </c>
      <c r="H1097">
        <f t="shared" si="56"/>
        <v>1</v>
      </c>
      <c r="I1097" t="str">
        <f t="shared" si="57"/>
        <v>SULZINC *120ML</v>
      </c>
    </row>
    <row r="1098" spans="1:9">
      <c r="A1098" s="12" t="s">
        <v>1675</v>
      </c>
      <c r="B1098" s="14">
        <v>2</v>
      </c>
      <c r="C1098" s="174">
        <v>0</v>
      </c>
      <c r="D1098" s="308" t="s">
        <v>1676</v>
      </c>
      <c r="E1098" s="13" t="s">
        <v>1674</v>
      </c>
      <c r="F1098" s="61">
        <v>7707288822326</v>
      </c>
      <c r="G1098">
        <f t="shared" si="55"/>
        <v>17000</v>
      </c>
      <c r="H1098">
        <f t="shared" si="56"/>
        <v>1</v>
      </c>
      <c r="I1098" t="str">
        <f t="shared" si="57"/>
        <v>SULZINC *80ML</v>
      </c>
    </row>
    <row r="1099" spans="1:9">
      <c r="A1099" s="28" t="s">
        <v>1679</v>
      </c>
      <c r="B1099" s="30">
        <v>3</v>
      </c>
      <c r="C1099" s="31">
        <v>0</v>
      </c>
      <c r="D1099" s="447" t="s">
        <v>10</v>
      </c>
      <c r="E1099" s="8" t="s">
        <v>1680</v>
      </c>
      <c r="F1099" s="63">
        <v>7703153013271</v>
      </c>
      <c r="G1099">
        <f t="shared" si="55"/>
        <v>8000</v>
      </c>
      <c r="H1099">
        <f t="shared" si="56"/>
        <v>1</v>
      </c>
      <c r="I1099" t="str">
        <f t="shared" si="57"/>
        <v>GENTAMICINA GOTAS - COLMED</v>
      </c>
    </row>
    <row r="1100" spans="1:9" ht="15">
      <c r="A1100" s="19" t="s">
        <v>1681</v>
      </c>
      <c r="B1100" s="37">
        <v>1</v>
      </c>
      <c r="C1100" s="37">
        <v>0</v>
      </c>
      <c r="D1100" s="376" t="s">
        <v>888</v>
      </c>
      <c r="E1100" s="112" t="s">
        <v>75</v>
      </c>
      <c r="F1100" s="115">
        <v>7703202221237</v>
      </c>
      <c r="G1100">
        <f t="shared" si="55"/>
        <v>37000</v>
      </c>
      <c r="H1100">
        <f t="shared" si="56"/>
        <v>1</v>
      </c>
      <c r="I1100" t="str">
        <f t="shared" si="57"/>
        <v>BISOLVON ADULTOS - FLEMA</v>
      </c>
    </row>
    <row r="1101" spans="1:9">
      <c r="A1101" t="s">
        <v>1683</v>
      </c>
      <c r="B1101" s="23">
        <v>2</v>
      </c>
      <c r="C1101" s="51">
        <v>0.19</v>
      </c>
      <c r="D1101" s="446" t="s">
        <v>1684</v>
      </c>
      <c r="E1101" s="41" t="s">
        <v>1685</v>
      </c>
      <c r="F1101" s="42">
        <v>7702057707712</v>
      </c>
      <c r="G1101">
        <f t="shared" si="55"/>
        <v>33500</v>
      </c>
      <c r="H1101">
        <f t="shared" si="56"/>
        <v>1</v>
      </c>
      <c r="I1101" t="str">
        <f t="shared" si="57"/>
        <v>MULTI SOLUTION 1 X120ML</v>
      </c>
    </row>
    <row r="1102" spans="1:9">
      <c r="A1102" s="22" t="s">
        <v>1689</v>
      </c>
      <c r="B1102" s="11">
        <v>3</v>
      </c>
      <c r="C1102" s="194">
        <v>0</v>
      </c>
      <c r="D1102" s="483" t="s">
        <v>7</v>
      </c>
      <c r="E1102" s="41" t="s">
        <v>1690</v>
      </c>
      <c r="F1102" s="42">
        <v>7703712034273</v>
      </c>
      <c r="G1102">
        <f t="shared" si="55"/>
        <v>7000</v>
      </c>
      <c r="H1102">
        <f t="shared" si="56"/>
        <v>1</v>
      </c>
      <c r="I1102" t="str">
        <f t="shared" si="57"/>
        <v>VITAMINA C GOTAS- COASPHARMA</v>
      </c>
    </row>
    <row r="1103" spans="1:9">
      <c r="A1103" s="22" t="s">
        <v>1691</v>
      </c>
      <c r="B1103" s="23">
        <v>2</v>
      </c>
      <c r="C1103" s="51">
        <v>0</v>
      </c>
      <c r="D1103" s="446" t="s">
        <v>32</v>
      </c>
      <c r="E1103" s="39" t="s">
        <v>184</v>
      </c>
      <c r="F1103" s="42">
        <v>7709105485509</v>
      </c>
      <c r="G1103">
        <f t="shared" si="55"/>
        <v>12000</v>
      </c>
      <c r="H1103">
        <f t="shared" si="56"/>
        <v>1</v>
      </c>
      <c r="I1103" t="str">
        <f t="shared" si="57"/>
        <v>NORMIKOT CREMA - CLOTRIMAZOL - NEOMECINA - BETAMETASONA</v>
      </c>
    </row>
    <row r="1104" spans="1:9" ht="15">
      <c r="A1104" s="19" t="s">
        <v>1695</v>
      </c>
      <c r="B1104" s="37">
        <v>3</v>
      </c>
      <c r="C1104" s="429">
        <v>0</v>
      </c>
      <c r="D1104" s="376" t="s">
        <v>91</v>
      </c>
      <c r="E1104" s="112" t="s">
        <v>1696</v>
      </c>
      <c r="F1104" s="115">
        <v>7709402351163</v>
      </c>
      <c r="G1104">
        <f t="shared" si="55"/>
        <v>16000</v>
      </c>
      <c r="H1104">
        <f t="shared" si="56"/>
        <v>1</v>
      </c>
      <c r="I1104" t="str">
        <f t="shared" si="57"/>
        <v>KALAMINA GEL - MEDICAL FARMA</v>
      </c>
    </row>
    <row r="1105" spans="1:9" ht="15">
      <c r="A1105" s="19" t="s">
        <v>1697</v>
      </c>
      <c r="B1105" s="37">
        <v>1</v>
      </c>
      <c r="C1105" s="37">
        <v>0</v>
      </c>
      <c r="D1105" s="376" t="s">
        <v>902</v>
      </c>
      <c r="E1105" s="117" t="s">
        <v>1698</v>
      </c>
      <c r="F1105" s="115">
        <v>7708211573117</v>
      </c>
      <c r="G1105">
        <f t="shared" si="55"/>
        <v>8000</v>
      </c>
      <c r="H1105">
        <f t="shared" si="56"/>
        <v>100</v>
      </c>
      <c r="I1105" t="str">
        <f t="shared" si="57"/>
        <v>CURA LARGA - CHEMI</v>
      </c>
    </row>
    <row r="1106" spans="1:9">
      <c r="A1106" t="s">
        <v>1699</v>
      </c>
      <c r="B1106" s="23">
        <v>2</v>
      </c>
      <c r="C1106" s="23">
        <v>0</v>
      </c>
      <c r="D1106" s="446" t="s">
        <v>118</v>
      </c>
      <c r="E1106" s="39" t="s">
        <v>1700</v>
      </c>
      <c r="F1106" s="42">
        <v>7707186901451</v>
      </c>
      <c r="G1106">
        <f t="shared" si="55"/>
        <v>13000</v>
      </c>
      <c r="H1106">
        <f t="shared" si="56"/>
        <v>1</v>
      </c>
      <c r="I1106" t="str">
        <f t="shared" si="57"/>
        <v>TAXEN SUSPENSIÓN - NITAZOXANIDA 2% X30ML</v>
      </c>
    </row>
    <row r="1107" spans="1:9" ht="15">
      <c r="A1107" s="19" t="s">
        <v>1703</v>
      </c>
      <c r="B1107" s="37">
        <v>4</v>
      </c>
      <c r="C1107" s="37">
        <v>0</v>
      </c>
      <c r="D1107" s="376" t="s">
        <v>1704</v>
      </c>
      <c r="E1107" s="117" t="s">
        <v>1705</v>
      </c>
      <c r="F1107" s="115">
        <v>7702605102310</v>
      </c>
      <c r="G1107">
        <f t="shared" si="55"/>
        <v>12000</v>
      </c>
      <c r="H1107">
        <f t="shared" si="56"/>
        <v>1</v>
      </c>
      <c r="I1107" t="str">
        <f t="shared" si="57"/>
        <v>CLOTRIMAZOL TOPICA 1% - GENFAR X40GR</v>
      </c>
    </row>
    <row r="1108" spans="1:9">
      <c r="A1108" t="s">
        <v>1707</v>
      </c>
      <c r="B1108" s="23">
        <v>3</v>
      </c>
      <c r="C1108" s="51">
        <v>0</v>
      </c>
      <c r="D1108" s="446" t="s">
        <v>1708</v>
      </c>
      <c r="E1108" s="39" t="s">
        <v>116</v>
      </c>
      <c r="F1108" s="42">
        <v>7702184011850</v>
      </c>
      <c r="G1108">
        <f t="shared" si="55"/>
        <v>17000</v>
      </c>
      <c r="H1108">
        <f t="shared" si="56"/>
        <v>30</v>
      </c>
      <c r="I1108" t="str">
        <f t="shared" si="57"/>
        <v>IRBESARTAN 150MG - ECAR X30</v>
      </c>
    </row>
    <row r="1109" spans="1:9" ht="15">
      <c r="A1109" s="19" t="s">
        <v>105</v>
      </c>
      <c r="B1109" s="37">
        <v>1</v>
      </c>
      <c r="C1109" s="37">
        <v>0</v>
      </c>
      <c r="D1109" s="376" t="s">
        <v>1136</v>
      </c>
      <c r="E1109" s="112" t="s">
        <v>107</v>
      </c>
      <c r="F1109" s="115">
        <v>8903726382844</v>
      </c>
      <c r="G1109">
        <f t="shared" si="55"/>
        <v>36000</v>
      </c>
      <c r="H1109">
        <f t="shared" si="56"/>
        <v>30</v>
      </c>
      <c r="I1109" t="str">
        <f t="shared" si="57"/>
        <v>LEVETIRACETAM 500MG / LEPILEV X30 HETERO</v>
      </c>
    </row>
    <row r="1110" spans="1:9" ht="15">
      <c r="A1110" s="49" t="s">
        <v>114</v>
      </c>
      <c r="B1110" s="409">
        <v>1</v>
      </c>
      <c r="C1110" s="410">
        <v>0</v>
      </c>
      <c r="D1110" s="474" t="s">
        <v>1296</v>
      </c>
      <c r="E1110" s="92" t="s">
        <v>116</v>
      </c>
      <c r="F1110" s="490">
        <v>8904159631646</v>
      </c>
      <c r="G1110">
        <f t="shared" si="55"/>
        <v>19000</v>
      </c>
      <c r="H1110">
        <f t="shared" si="56"/>
        <v>10</v>
      </c>
      <c r="I1110" t="str">
        <f t="shared" si="57"/>
        <v>METSAFE 1000MG - METFORMINA 1000MG X30 TABLETAS</v>
      </c>
    </row>
    <row r="1111" spans="1:9" ht="15">
      <c r="A1111" s="19" t="s">
        <v>933</v>
      </c>
      <c r="B1111" s="37">
        <v>1</v>
      </c>
      <c r="C1111" s="37">
        <v>0</v>
      </c>
      <c r="D1111" s="376" t="s">
        <v>112</v>
      </c>
      <c r="E1111" s="112" t="s">
        <v>934</v>
      </c>
      <c r="F1111" s="115">
        <v>7707288825617</v>
      </c>
      <c r="G1111">
        <f t="shared" si="55"/>
        <v>26000</v>
      </c>
      <c r="H1111">
        <f t="shared" si="56"/>
        <v>1</v>
      </c>
      <c r="I1111" t="str">
        <f t="shared" si="57"/>
        <v>TERBIFIN SPRAY - TERBINAFINA</v>
      </c>
    </row>
    <row r="1112" spans="1:9" ht="15">
      <c r="A1112" s="19" t="s">
        <v>1714</v>
      </c>
      <c r="B1112" s="37">
        <v>3</v>
      </c>
      <c r="C1112" s="37">
        <v>0</v>
      </c>
      <c r="D1112" s="376" t="s">
        <v>10</v>
      </c>
      <c r="E1112" s="117" t="s">
        <v>1715</v>
      </c>
      <c r="F1112" s="115">
        <v>7709990089684</v>
      </c>
      <c r="G1112">
        <f t="shared" si="55"/>
        <v>8000</v>
      </c>
      <c r="H1112">
        <f t="shared" si="56"/>
        <v>1</v>
      </c>
      <c r="I1112" t="str">
        <f t="shared" si="57"/>
        <v>ACIDO FUSIDICO 2% X15GR - VITALIS</v>
      </c>
    </row>
    <row r="1113" spans="1:9">
      <c r="A1113" s="22" t="s">
        <v>1716</v>
      </c>
      <c r="B1113" s="11">
        <v>4</v>
      </c>
      <c r="C1113" s="194">
        <v>0.19</v>
      </c>
      <c r="D1113" s="483" t="s">
        <v>1717</v>
      </c>
      <c r="E1113" s="41" t="s">
        <v>1718</v>
      </c>
      <c r="F1113" s="273">
        <v>7702277549024</v>
      </c>
      <c r="G1113">
        <f t="shared" si="55"/>
        <v>9000</v>
      </c>
      <c r="H1113">
        <f t="shared" si="56"/>
        <v>70</v>
      </c>
      <c r="I1113" t="str">
        <f t="shared" si="57"/>
        <v>PAÑITOS ARRURRÚ NATURALS AVENA Y KARITE X70 / 140</v>
      </c>
    </row>
    <row r="1114" spans="1:9">
      <c r="A1114" t="s">
        <v>1724</v>
      </c>
      <c r="B1114" s="23">
        <v>10</v>
      </c>
      <c r="C1114" s="51">
        <v>0</v>
      </c>
      <c r="D1114" s="446" t="s">
        <v>10</v>
      </c>
      <c r="E1114" s="39" t="s">
        <v>1725</v>
      </c>
      <c r="F1114" s="42">
        <v>7707282990953</v>
      </c>
      <c r="G1114">
        <f t="shared" si="55"/>
        <v>8000</v>
      </c>
      <c r="H1114">
        <f t="shared" si="56"/>
        <v>1</v>
      </c>
      <c r="I1114" t="str">
        <f t="shared" si="57"/>
        <v>PRUEBA DE EMBARAZO SEVEN PHARMA / BEGUT TIPO CASSETTE</v>
      </c>
    </row>
    <row r="1115" spans="1:9" ht="15">
      <c r="A1115" s="19" t="s">
        <v>1728</v>
      </c>
      <c r="B1115" s="37">
        <v>1</v>
      </c>
      <c r="C1115" s="37">
        <v>0</v>
      </c>
      <c r="D1115" s="376" t="s">
        <v>348</v>
      </c>
      <c r="E1115" s="112" t="s">
        <v>18</v>
      </c>
      <c r="F1115" s="115">
        <v>7702560048715</v>
      </c>
      <c r="G1115">
        <f t="shared" si="55"/>
        <v>36000</v>
      </c>
      <c r="H1115">
        <f t="shared" si="56"/>
        <v>1</v>
      </c>
      <c r="I1115" t="str">
        <f t="shared" si="57"/>
        <v>BRONQUISOL FLEM NIÑOS / BARBOCISTEINA</v>
      </c>
    </row>
    <row r="1116" spans="1:9">
      <c r="A1116" t="s">
        <v>1731</v>
      </c>
      <c r="B1116" s="23">
        <v>3</v>
      </c>
      <c r="C1116" s="51">
        <v>0</v>
      </c>
      <c r="D1116" s="446" t="s">
        <v>471</v>
      </c>
      <c r="E1116" s="41" t="s">
        <v>1732</v>
      </c>
      <c r="F1116" s="42">
        <v>7707188720029</v>
      </c>
      <c r="G1116">
        <f t="shared" si="55"/>
        <v>9000</v>
      </c>
      <c r="H1116">
        <f t="shared" si="56"/>
        <v>1</v>
      </c>
      <c r="I1116" t="str">
        <f t="shared" si="57"/>
        <v>VALERIANA GOTAS - KEMI X30ML</v>
      </c>
    </row>
    <row r="1117" spans="1:9" ht="15">
      <c r="A1117" s="73" t="s">
        <v>1733</v>
      </c>
      <c r="B1117" s="17">
        <v>1</v>
      </c>
      <c r="C1117" s="124">
        <v>0</v>
      </c>
      <c r="D1117" s="321" t="s">
        <v>1301</v>
      </c>
      <c r="E1117" s="32" t="s">
        <v>1734</v>
      </c>
      <c r="F1117" s="20">
        <v>7707177972712</v>
      </c>
      <c r="G1117">
        <f t="shared" si="55"/>
        <v>3500</v>
      </c>
      <c r="H1117">
        <f t="shared" si="56"/>
        <v>1</v>
      </c>
      <c r="I1117" t="str">
        <f t="shared" si="57"/>
        <v>SUERO CEREZA -SOLHIDREX X30 UNDS</v>
      </c>
    </row>
    <row r="1118" spans="1:9" ht="15">
      <c r="A1118" s="19" t="s">
        <v>1739</v>
      </c>
      <c r="B1118" s="37">
        <v>2</v>
      </c>
      <c r="C1118" s="429">
        <v>0.19</v>
      </c>
      <c r="D1118" s="376" t="s">
        <v>118</v>
      </c>
      <c r="E1118" s="112" t="s">
        <v>1740</v>
      </c>
      <c r="F1118" s="115">
        <v>7707233050378</v>
      </c>
      <c r="G1118">
        <f t="shared" si="55"/>
        <v>13000</v>
      </c>
      <c r="H1118">
        <f t="shared" si="56"/>
        <v>1</v>
      </c>
      <c r="I1118" t="str">
        <f t="shared" si="57"/>
        <v>EXTRACTOR LECHE MATERNA MANUAL - CORCHITO</v>
      </c>
    </row>
    <row r="1119" spans="1:9">
      <c r="A1119" t="s">
        <v>1743</v>
      </c>
      <c r="B1119" s="23">
        <v>1</v>
      </c>
      <c r="C1119" s="238">
        <v>0</v>
      </c>
      <c r="D1119" s="446" t="s">
        <v>1744</v>
      </c>
      <c r="E1119" s="41" t="s">
        <v>477</v>
      </c>
      <c r="F1119" s="42">
        <v>7861073963554</v>
      </c>
      <c r="G1119">
        <f t="shared" ref="G1119:G1182" si="58">IFERROR(VALUE(SUBSTITUTE(LEFT(LOWER(D1119),FIND("x",LOWER(D1119))-1),",","")),VALUE(SUBSTITUTE(D1119,",","")))</f>
        <v>10200</v>
      </c>
      <c r="H1119">
        <f t="shared" ref="H1119:H1182" si="59">IFERROR(VALUE(MID(LOWER(D1119),FIND("x",LOWER(D1119))+1,20)),1)</f>
        <v>1</v>
      </c>
      <c r="I1119" t="str">
        <f t="shared" si="57"/>
        <v>VERUM 24MG X20 TABS</v>
      </c>
    </row>
    <row r="1120" spans="1:9" ht="15">
      <c r="A1120" s="19" t="s">
        <v>1745</v>
      </c>
      <c r="B1120" s="37">
        <v>3</v>
      </c>
      <c r="C1120" s="37">
        <v>0</v>
      </c>
      <c r="D1120" s="376" t="s">
        <v>103</v>
      </c>
      <c r="E1120" s="112" t="s">
        <v>1746</v>
      </c>
      <c r="F1120" s="115">
        <v>6921875009971</v>
      </c>
      <c r="G1120">
        <f t="shared" si="58"/>
        <v>5000</v>
      </c>
      <c r="H1120">
        <f t="shared" si="59"/>
        <v>10</v>
      </c>
      <c r="I1120" t="str">
        <f t="shared" si="57"/>
        <v>CIPROFLOXACINO 500MG - FLODELT</v>
      </c>
    </row>
    <row r="1121" spans="1:9">
      <c r="A1121" s="22" t="s">
        <v>1747</v>
      </c>
      <c r="B1121" s="23">
        <v>1</v>
      </c>
      <c r="C1121" s="51">
        <v>0</v>
      </c>
      <c r="D1121" s="446" t="s">
        <v>740</v>
      </c>
      <c r="E1121" s="39" t="s">
        <v>1748</v>
      </c>
      <c r="F1121" s="42">
        <v>7702057712808</v>
      </c>
      <c r="G1121">
        <f t="shared" si="58"/>
        <v>20000</v>
      </c>
      <c r="H1121">
        <f t="shared" si="59"/>
        <v>30</v>
      </c>
      <c r="I1121" t="str">
        <f t="shared" si="57"/>
        <v>VALSARTAN 80MG - MK X30</v>
      </c>
    </row>
    <row r="1122" spans="1:9">
      <c r="A1122" s="24" t="s">
        <v>1751</v>
      </c>
      <c r="B1122" s="30">
        <v>1</v>
      </c>
      <c r="C1122" s="31">
        <v>0</v>
      </c>
      <c r="D1122" s="447" t="s">
        <v>1433</v>
      </c>
      <c r="E1122" s="7" t="s">
        <v>1752</v>
      </c>
      <c r="F1122" s="63">
        <v>7702057804503</v>
      </c>
      <c r="G1122">
        <f t="shared" si="58"/>
        <v>68000</v>
      </c>
      <c r="H1122">
        <f t="shared" si="59"/>
        <v>1</v>
      </c>
      <c r="I1122" t="str">
        <f t="shared" si="57"/>
        <v>GASTROFAST ADVANCE FRASCO</v>
      </c>
    </row>
    <row r="1123" spans="1:9" ht="15">
      <c r="A1123" s="19" t="s">
        <v>1753</v>
      </c>
      <c r="B1123" s="37">
        <v>6</v>
      </c>
      <c r="C1123" s="37">
        <v>0</v>
      </c>
      <c r="D1123" s="376" t="s">
        <v>80</v>
      </c>
      <c r="E1123" s="112" t="s">
        <v>1754</v>
      </c>
      <c r="F1123" s="115">
        <v>7709063849023</v>
      </c>
      <c r="G1123">
        <f t="shared" si="58"/>
        <v>6000</v>
      </c>
      <c r="H1123">
        <f t="shared" si="59"/>
        <v>1</v>
      </c>
      <c r="I1123" t="str">
        <f t="shared" si="57"/>
        <v>LACTATO RINGER X500ML - SOLUFLEX</v>
      </c>
    </row>
    <row r="1124" spans="1:9">
      <c r="A1124" s="13" t="s">
        <v>1761</v>
      </c>
      <c r="B1124" s="14">
        <v>1</v>
      </c>
      <c r="C1124" s="105">
        <v>0</v>
      </c>
      <c r="D1124" s="308" t="s">
        <v>343</v>
      </c>
      <c r="E1124" s="13" t="s">
        <v>1762</v>
      </c>
      <c r="F1124" s="211">
        <v>7705959885793</v>
      </c>
      <c r="G1124">
        <f t="shared" si="58"/>
        <v>44000</v>
      </c>
      <c r="H1124">
        <f t="shared" si="59"/>
        <v>1</v>
      </c>
      <c r="I1124" t="str">
        <f t="shared" si="57"/>
        <v>MINOXIDIL FORTE 5% GENFAR</v>
      </c>
    </row>
    <row r="1125" spans="1:9">
      <c r="A1125" t="s">
        <v>1763</v>
      </c>
      <c r="B1125" s="23">
        <v>3</v>
      </c>
      <c r="C1125" s="51">
        <v>0.19</v>
      </c>
      <c r="D1125" s="446" t="s">
        <v>1764</v>
      </c>
      <c r="E1125" s="39" t="s">
        <v>1765</v>
      </c>
      <c r="F1125" s="42">
        <v>7702026147631</v>
      </c>
      <c r="G1125">
        <f t="shared" si="58"/>
        <v>13000</v>
      </c>
      <c r="H1125">
        <f t="shared" si="59"/>
        <v>100</v>
      </c>
      <c r="I1125" t="str">
        <f t="shared" si="57"/>
        <v>PEQUEÑIN PAÑITOS HUMEDOS X100 - ALMENDRAS</v>
      </c>
    </row>
    <row r="1126" spans="1:9">
      <c r="A1126" s="24" t="s">
        <v>1770</v>
      </c>
      <c r="B1126" s="30">
        <v>1</v>
      </c>
      <c r="C1126" s="31">
        <v>0</v>
      </c>
      <c r="D1126" s="447" t="s">
        <v>103</v>
      </c>
      <c r="E1126" s="7" t="s">
        <v>54</v>
      </c>
      <c r="F1126" s="63">
        <v>7703038050179</v>
      </c>
      <c r="G1126">
        <f t="shared" si="58"/>
        <v>5000</v>
      </c>
      <c r="H1126">
        <f t="shared" si="59"/>
        <v>10</v>
      </c>
      <c r="I1126" t="str">
        <f t="shared" si="57"/>
        <v>CIPROFLOXACINA 500MG - LAPROFF</v>
      </c>
    </row>
    <row r="1127" spans="1:9">
      <c r="A1127" t="s">
        <v>407</v>
      </c>
      <c r="B1127" s="23">
        <v>2</v>
      </c>
      <c r="C1127" s="173">
        <v>0</v>
      </c>
      <c r="D1127" s="447" t="s">
        <v>408</v>
      </c>
      <c r="E1127" s="39" t="s">
        <v>409</v>
      </c>
      <c r="F1127" s="42">
        <v>7703038518747</v>
      </c>
      <c r="G1127">
        <f t="shared" si="58"/>
        <v>9000</v>
      </c>
      <c r="H1127">
        <f t="shared" si="59"/>
        <v>10</v>
      </c>
      <c r="I1127" t="str">
        <f t="shared" si="57"/>
        <v>ESOMEPRAZOL 20MG X100 - LAPROFF (X10)</v>
      </c>
    </row>
    <row r="1128" spans="1:9" ht="15">
      <c r="A1128" s="19" t="s">
        <v>1775</v>
      </c>
      <c r="B1128" s="37">
        <v>15</v>
      </c>
      <c r="C1128" s="37">
        <v>0</v>
      </c>
      <c r="D1128" s="376" t="s">
        <v>20</v>
      </c>
      <c r="E1128" s="117" t="s">
        <v>233</v>
      </c>
      <c r="F1128" s="115">
        <v>7703712030787</v>
      </c>
      <c r="G1128">
        <f t="shared" si="58"/>
        <v>2000</v>
      </c>
      <c r="H1128">
        <f t="shared" si="59"/>
        <v>2</v>
      </c>
      <c r="I1128" t="str">
        <f t="shared" si="57"/>
        <v>SILDENAFILO 50MG X2 - COASPHARMA</v>
      </c>
    </row>
    <row r="1129" spans="1:9" ht="15">
      <c r="A1129" s="43" t="s">
        <v>1782</v>
      </c>
      <c r="B1129" s="37">
        <v>1</v>
      </c>
      <c r="C1129" s="37">
        <v>0</v>
      </c>
      <c r="D1129" s="376" t="s">
        <v>1783</v>
      </c>
      <c r="E1129" s="112" t="s">
        <v>1784</v>
      </c>
      <c r="F1129" s="115">
        <v>7702870000229</v>
      </c>
      <c r="G1129">
        <f t="shared" si="58"/>
        <v>44000</v>
      </c>
      <c r="H1129">
        <f t="shared" si="59"/>
        <v>1</v>
      </c>
      <c r="I1129" t="str">
        <f t="shared" si="57"/>
        <v>BISBACTER SUSP X120ML / SUBSALICILATO DE BISMUTO 1,7%</v>
      </c>
    </row>
    <row r="1130" spans="1:9" ht="15">
      <c r="A1130" s="19" t="s">
        <v>1785</v>
      </c>
      <c r="B1130" s="37">
        <v>1</v>
      </c>
      <c r="C1130" s="429">
        <v>0.19</v>
      </c>
      <c r="D1130" s="376" t="s">
        <v>1786</v>
      </c>
      <c r="E1130" s="112" t="s">
        <v>1787</v>
      </c>
      <c r="F1130" s="115">
        <v>7702314155232</v>
      </c>
      <c r="G1130" t="e">
        <f t="shared" si="58"/>
        <v>#VALUE!</v>
      </c>
      <c r="H1130">
        <f t="shared" si="59"/>
        <v>1</v>
      </c>
      <c r="I1130" t="str">
        <f t="shared" si="57"/>
        <v>CREMA DENTAL BABY SIN FLUOR + CEPILLO SILICONA</v>
      </c>
    </row>
    <row r="1131" spans="1:9">
      <c r="A1131" s="22" t="s">
        <v>1788</v>
      </c>
      <c r="B1131" s="11">
        <v>2</v>
      </c>
      <c r="C1131" s="194">
        <v>0</v>
      </c>
      <c r="D1131" s="483" t="s">
        <v>1789</v>
      </c>
      <c r="E1131" s="41" t="s">
        <v>1790</v>
      </c>
      <c r="F1131" s="273">
        <v>7704588000409</v>
      </c>
      <c r="G1131">
        <f t="shared" si="58"/>
        <v>81000</v>
      </c>
      <c r="H1131">
        <f t="shared" si="59"/>
        <v>1</v>
      </c>
      <c r="I1131" t="str">
        <f t="shared" si="57"/>
        <v>ROXICAINA LIDOCAINA SPRAY 83ML - ATOMIZDOR</v>
      </c>
    </row>
    <row r="1132" spans="1:9">
      <c r="A1132" s="159" t="s">
        <v>1793</v>
      </c>
      <c r="B1132" s="147">
        <v>2</v>
      </c>
      <c r="C1132" s="148">
        <v>0</v>
      </c>
      <c r="D1132" s="444" t="s">
        <v>276</v>
      </c>
      <c r="E1132" s="159" t="s">
        <v>1794</v>
      </c>
      <c r="F1132" s="160">
        <v>7702057080396</v>
      </c>
      <c r="G1132">
        <f t="shared" si="58"/>
        <v>22000</v>
      </c>
      <c r="H1132">
        <f t="shared" si="59"/>
        <v>1</v>
      </c>
      <c r="I1132" t="str">
        <f t="shared" si="57"/>
        <v>BLANKISIMA 2% *32GR</v>
      </c>
    </row>
    <row r="1133" spans="1:9">
      <c r="A1133" s="22" t="s">
        <v>1795</v>
      </c>
      <c r="B1133" s="23">
        <v>4</v>
      </c>
      <c r="C1133" s="51">
        <v>0</v>
      </c>
      <c r="D1133" s="446" t="s">
        <v>1796</v>
      </c>
      <c r="E1133" s="41" t="s">
        <v>431</v>
      </c>
      <c r="F1133" s="42">
        <v>7707035540206</v>
      </c>
      <c r="G1133">
        <f t="shared" si="58"/>
        <v>2200</v>
      </c>
      <c r="H1133">
        <f t="shared" si="59"/>
        <v>10</v>
      </c>
      <c r="I1133" t="str">
        <f t="shared" si="57"/>
        <v>CLONIDINA ANGLOPHARMA X50</v>
      </c>
    </row>
    <row r="1134" spans="1:9">
      <c r="A1134" t="s">
        <v>1807</v>
      </c>
      <c r="B1134" s="23">
        <v>2</v>
      </c>
      <c r="C1134" s="23">
        <v>19</v>
      </c>
      <c r="D1134" s="446" t="s">
        <v>276</v>
      </c>
      <c r="E1134" s="41" t="s">
        <v>434</v>
      </c>
      <c r="F1134" s="42">
        <v>4005808377534</v>
      </c>
      <c r="G1134">
        <f t="shared" si="58"/>
        <v>22000</v>
      </c>
      <c r="H1134">
        <f t="shared" si="59"/>
        <v>1</v>
      </c>
      <c r="I1134" t="str">
        <f t="shared" si="57"/>
        <v>NIVEA LIP CARE CEREZA</v>
      </c>
    </row>
    <row r="1135" spans="1:9" ht="15">
      <c r="A1135" s="19" t="s">
        <v>1808</v>
      </c>
      <c r="B1135" s="37">
        <v>3</v>
      </c>
      <c r="C1135" s="37">
        <v>0</v>
      </c>
      <c r="D1135" s="376" t="s">
        <v>7</v>
      </c>
      <c r="E1135" s="112" t="s">
        <v>1809</v>
      </c>
      <c r="F1135" s="115">
        <v>7702605349265</v>
      </c>
      <c r="G1135">
        <f t="shared" si="58"/>
        <v>7000</v>
      </c>
      <c r="H1135">
        <f t="shared" si="59"/>
        <v>1</v>
      </c>
      <c r="I1135" t="str">
        <f t="shared" si="57"/>
        <v>PAMOATO PIRANTEL SUSP GENFAR</v>
      </c>
    </row>
    <row r="1136" spans="1:9">
      <c r="A1136" s="64" t="s">
        <v>1810</v>
      </c>
      <c r="B1136" s="102">
        <v>2</v>
      </c>
      <c r="C1136" s="101">
        <v>0</v>
      </c>
      <c r="D1136" s="443" t="s">
        <v>491</v>
      </c>
      <c r="E1136" s="64" t="s">
        <v>1811</v>
      </c>
      <c r="F1136" s="103">
        <v>7709740220718</v>
      </c>
      <c r="G1136">
        <f t="shared" si="58"/>
        <v>24000</v>
      </c>
      <c r="H1136">
        <f t="shared" si="59"/>
        <v>1</v>
      </c>
      <c r="I1136" t="str">
        <f t="shared" si="57"/>
        <v>BISLAKSO 1.75% SUSP</v>
      </c>
    </row>
    <row r="1137" spans="1:9" ht="15">
      <c r="A1137" s="19" t="s">
        <v>1814</v>
      </c>
      <c r="B1137" s="37">
        <v>2</v>
      </c>
      <c r="C1137" s="37">
        <v>19</v>
      </c>
      <c r="D1137" s="376" t="s">
        <v>1344</v>
      </c>
      <c r="E1137" s="112" t="s">
        <v>1815</v>
      </c>
      <c r="F1137" s="115">
        <v>7707364808770</v>
      </c>
      <c r="G1137">
        <f t="shared" si="58"/>
        <v>1500</v>
      </c>
      <c r="H1137">
        <f t="shared" si="59"/>
        <v>2</v>
      </c>
      <c r="I1137" t="str">
        <f t="shared" si="57"/>
        <v>GUANTE NITRILO TALLA S - AZUL MEDICAL SUPPLIES</v>
      </c>
    </row>
    <row r="1138" spans="1:9" ht="15">
      <c r="A1138" s="19" t="s">
        <v>1816</v>
      </c>
      <c r="B1138" s="37">
        <v>2</v>
      </c>
      <c r="C1138" s="37">
        <v>19</v>
      </c>
      <c r="D1138" s="376" t="s">
        <v>1344</v>
      </c>
      <c r="E1138" s="112" t="s">
        <v>1815</v>
      </c>
      <c r="F1138" s="115">
        <v>7707364809289</v>
      </c>
      <c r="G1138">
        <f t="shared" si="58"/>
        <v>1500</v>
      </c>
      <c r="H1138">
        <f t="shared" si="59"/>
        <v>2</v>
      </c>
      <c r="I1138" t="str">
        <f t="shared" si="57"/>
        <v>GUANTE NITRILO TALLA M - AZUL MEDICAL SUPPLIES</v>
      </c>
    </row>
    <row r="1139" spans="1:9">
      <c r="A1139" s="22" t="s">
        <v>1817</v>
      </c>
      <c r="B1139" s="23">
        <v>6</v>
      </c>
      <c r="C1139" s="51">
        <v>0</v>
      </c>
      <c r="D1139" s="446" t="s">
        <v>109</v>
      </c>
      <c r="E1139" s="39" t="s">
        <v>1818</v>
      </c>
      <c r="F1139" s="42">
        <v>7707035540404</v>
      </c>
      <c r="G1139">
        <f t="shared" si="58"/>
        <v>10000</v>
      </c>
      <c r="H1139">
        <f t="shared" si="59"/>
        <v>1</v>
      </c>
      <c r="I1139" t="str">
        <f t="shared" si="57"/>
        <v>KETOCONAZOL CREMA 2% / ANGLOPHARMA</v>
      </c>
    </row>
    <row r="1140" spans="1:9" ht="15">
      <c r="A1140" s="19" t="s">
        <v>1827</v>
      </c>
      <c r="B1140" s="37">
        <v>1</v>
      </c>
      <c r="C1140" s="429">
        <v>0.19</v>
      </c>
      <c r="D1140" s="376" t="s">
        <v>10</v>
      </c>
      <c r="E1140" s="112" t="s">
        <v>1828</v>
      </c>
      <c r="F1140" s="115">
        <v>7707280395569</v>
      </c>
      <c r="G1140">
        <f t="shared" si="58"/>
        <v>8000</v>
      </c>
      <c r="H1140">
        <f t="shared" si="59"/>
        <v>1</v>
      </c>
      <c r="I1140" t="str">
        <f t="shared" si="57"/>
        <v>GOTAS REVELADORAS</v>
      </c>
    </row>
    <row r="1141" spans="1:9" ht="15">
      <c r="A1141" s="19" t="s">
        <v>1837</v>
      </c>
      <c r="B1141" s="37">
        <v>2</v>
      </c>
      <c r="C1141" s="37">
        <v>0</v>
      </c>
      <c r="D1141" s="376" t="s">
        <v>88</v>
      </c>
      <c r="E1141" s="112" t="s">
        <v>1838</v>
      </c>
      <c r="F1141" s="115">
        <v>7707237630019</v>
      </c>
      <c r="G1141">
        <f t="shared" si="58"/>
        <v>18000</v>
      </c>
      <c r="H1141">
        <f t="shared" si="59"/>
        <v>1</v>
      </c>
      <c r="I1141" t="str">
        <f t="shared" si="57"/>
        <v>BRONQUISAN JALEA</v>
      </c>
    </row>
    <row r="1142" spans="1:9">
      <c r="A1142" t="s">
        <v>1839</v>
      </c>
      <c r="B1142" s="23">
        <v>1</v>
      </c>
      <c r="C1142" s="51">
        <v>0</v>
      </c>
      <c r="D1142" s="446" t="s">
        <v>1840</v>
      </c>
      <c r="E1142" s="39" t="s">
        <v>1841</v>
      </c>
      <c r="F1142" s="42">
        <v>7792219000607</v>
      </c>
      <c r="G1142">
        <f t="shared" si="58"/>
        <v>2500</v>
      </c>
      <c r="H1142">
        <f t="shared" si="59"/>
        <v>1</v>
      </c>
      <c r="I1142" t="str">
        <f t="shared" si="57"/>
        <v>METOTREXATO *100</v>
      </c>
    </row>
    <row r="1143" spans="1:9">
      <c r="A1143" s="141" t="s">
        <v>1846</v>
      </c>
      <c r="B1143" s="147">
        <v>2</v>
      </c>
      <c r="C1143" s="148">
        <v>0</v>
      </c>
      <c r="D1143" s="444" t="s">
        <v>26</v>
      </c>
      <c r="E1143" s="159" t="s">
        <v>1847</v>
      </c>
      <c r="F1143" s="160">
        <v>7702896001286</v>
      </c>
      <c r="G1143">
        <f t="shared" si="58"/>
        <v>30000</v>
      </c>
      <c r="H1143">
        <f t="shared" si="59"/>
        <v>1</v>
      </c>
      <c r="I1143" t="str">
        <f t="shared" si="57"/>
        <v>FLUOFTAL 0,1% / FLUOROMETALONA GOTAS</v>
      </c>
    </row>
    <row r="1144" spans="1:9">
      <c r="A1144" s="28" t="s">
        <v>1857</v>
      </c>
      <c r="B1144" s="30">
        <v>1</v>
      </c>
      <c r="C1144" s="31">
        <v>0</v>
      </c>
      <c r="D1144" s="447" t="s">
        <v>1858</v>
      </c>
      <c r="E1144" s="7" t="s">
        <v>1859</v>
      </c>
      <c r="F1144" s="63">
        <v>8427030008936</v>
      </c>
      <c r="G1144">
        <f t="shared" si="58"/>
        <v>84000</v>
      </c>
      <c r="H1144">
        <f t="shared" si="59"/>
        <v>10</v>
      </c>
      <c r="I1144" t="str">
        <f t="shared" si="57"/>
        <v>GLUCERNA *400GR</v>
      </c>
    </row>
    <row r="1145" spans="1:9">
      <c r="A1145" s="24" t="s">
        <v>1860</v>
      </c>
      <c r="B1145" s="30">
        <v>1</v>
      </c>
      <c r="C1145" s="128">
        <v>0</v>
      </c>
      <c r="D1145" s="480" t="s">
        <v>1861</v>
      </c>
      <c r="E1145" s="7" t="s">
        <v>1859</v>
      </c>
      <c r="F1145" s="63">
        <v>8427030008592</v>
      </c>
      <c r="G1145">
        <f t="shared" si="58"/>
        <v>77000</v>
      </c>
      <c r="H1145">
        <f t="shared" si="59"/>
        <v>1</v>
      </c>
      <c r="I1145" t="str">
        <f t="shared" si="57"/>
        <v>ENSURE ADVANCE *400GR VAINILLA</v>
      </c>
    </row>
    <row r="1146" spans="1:9">
      <c r="A1146" s="69" t="s">
        <v>1862</v>
      </c>
      <c r="B1146" s="14">
        <v>1</v>
      </c>
      <c r="C1146" s="105">
        <v>0</v>
      </c>
      <c r="D1146" s="308" t="s">
        <v>1863</v>
      </c>
      <c r="E1146" s="13" t="s">
        <v>1864</v>
      </c>
      <c r="F1146" s="61">
        <v>8427030008943</v>
      </c>
      <c r="G1146">
        <f t="shared" si="58"/>
        <v>140000</v>
      </c>
      <c r="H1146">
        <f t="shared" si="59"/>
        <v>1</v>
      </c>
      <c r="I1146" t="str">
        <f t="shared" si="57"/>
        <v>GLUCERNA *850GR</v>
      </c>
    </row>
    <row r="1147" spans="1:9">
      <c r="A1147" s="13" t="s">
        <v>1865</v>
      </c>
      <c r="B1147" s="14">
        <v>1</v>
      </c>
      <c r="C1147" s="136">
        <v>0</v>
      </c>
      <c r="D1147" s="469" t="s">
        <v>1866</v>
      </c>
      <c r="E1147" s="13" t="s">
        <v>1864</v>
      </c>
      <c r="F1147" s="61">
        <v>8427030008608</v>
      </c>
      <c r="G1147">
        <f t="shared" si="58"/>
        <v>140000</v>
      </c>
      <c r="H1147">
        <f t="shared" si="59"/>
        <v>0.01</v>
      </c>
      <c r="I1147" t="str">
        <f t="shared" si="57"/>
        <v>ENSURE ADVANCE *850GR VAINILLA</v>
      </c>
    </row>
    <row r="1148" spans="1:9">
      <c r="A1148" s="22" t="s">
        <v>1867</v>
      </c>
      <c r="B1148" s="23">
        <v>3</v>
      </c>
      <c r="C1148" s="51">
        <v>0</v>
      </c>
      <c r="D1148" s="446" t="s">
        <v>1777</v>
      </c>
      <c r="E1148" s="39" t="s">
        <v>1868</v>
      </c>
      <c r="F1148" s="42">
        <v>7702057717346</v>
      </c>
      <c r="G1148">
        <f t="shared" si="58"/>
        <v>21000</v>
      </c>
      <c r="H1148">
        <f t="shared" si="59"/>
        <v>30</v>
      </c>
      <c r="I1148" t="str">
        <f t="shared" si="57"/>
        <v>LEVOTIROXINA 25MG - MK</v>
      </c>
    </row>
    <row r="1149" spans="1:9" ht="13.5" customHeight="1">
      <c r="A1149" s="22" t="s">
        <v>1875</v>
      </c>
      <c r="B1149" s="23">
        <v>1</v>
      </c>
      <c r="C1149" s="51">
        <v>0</v>
      </c>
      <c r="D1149" s="446" t="s">
        <v>1779</v>
      </c>
      <c r="E1149" s="39" t="s">
        <v>1876</v>
      </c>
      <c r="F1149" s="42">
        <v>7703153031299</v>
      </c>
      <c r="G1149">
        <f t="shared" si="58"/>
        <v>21000</v>
      </c>
      <c r="H1149">
        <f t="shared" si="59"/>
        <v>10</v>
      </c>
      <c r="I1149" t="str">
        <f t="shared" si="57"/>
        <v>PLENIV X60 CAPS / DOXILAMINA SUCCINATO + PIRIDOXINA CLORHIDRATO 10/10MG</v>
      </c>
    </row>
    <row r="1150" spans="1:9" ht="15">
      <c r="A1150" s="43" t="s">
        <v>1877</v>
      </c>
      <c r="B1150" s="37">
        <v>2</v>
      </c>
      <c r="C1150" s="37">
        <v>0</v>
      </c>
      <c r="D1150" s="376" t="s">
        <v>497</v>
      </c>
      <c r="E1150" s="112" t="s">
        <v>1878</v>
      </c>
      <c r="F1150" s="115">
        <v>7703153036201</v>
      </c>
      <c r="G1150">
        <f t="shared" si="58"/>
        <v>29000</v>
      </c>
      <c r="H1150">
        <f t="shared" si="59"/>
        <v>1</v>
      </c>
      <c r="I1150" t="str">
        <f t="shared" si="57"/>
        <v>DIGESTA GOTAS X20ML / DIMETILPOLISILOXANO 66,6MG</v>
      </c>
    </row>
    <row r="1151" spans="1:9">
      <c r="A1151" s="41" t="s">
        <v>1879</v>
      </c>
      <c r="B1151" s="23">
        <v>1</v>
      </c>
      <c r="C1151" s="107">
        <v>0</v>
      </c>
      <c r="D1151" s="482" t="s">
        <v>1880</v>
      </c>
      <c r="E1151" s="39" t="s">
        <v>1881</v>
      </c>
      <c r="F1151" s="42">
        <v>7702132008307</v>
      </c>
      <c r="G1151">
        <f t="shared" si="58"/>
        <v>18500</v>
      </c>
      <c r="H1151">
        <f t="shared" si="59"/>
        <v>3</v>
      </c>
      <c r="I1151" t="str">
        <f t="shared" si="57"/>
        <v>TODAY CAJA X 3 - LONG ACTION</v>
      </c>
    </row>
    <row r="1152" spans="1:9" ht="15">
      <c r="A1152" s="19" t="s">
        <v>1884</v>
      </c>
      <c r="B1152" s="37">
        <v>1</v>
      </c>
      <c r="C1152" s="37">
        <v>0</v>
      </c>
      <c r="D1152" s="376" t="s">
        <v>366</v>
      </c>
      <c r="E1152" s="117" t="s">
        <v>1885</v>
      </c>
      <c r="F1152" s="115">
        <v>7707236126728</v>
      </c>
      <c r="G1152">
        <f t="shared" si="58"/>
        <v>5000</v>
      </c>
      <c r="H1152">
        <f t="shared" si="59"/>
        <v>1</v>
      </c>
      <c r="I1152" t="str">
        <f t="shared" si="57"/>
        <v>TRAMADOL 100MG AMPOLLA X10</v>
      </c>
    </row>
    <row r="1153" spans="1:9">
      <c r="A1153" s="22" t="s">
        <v>1890</v>
      </c>
      <c r="B1153" s="23">
        <v>1</v>
      </c>
      <c r="C1153" s="51">
        <v>0</v>
      </c>
      <c r="D1153" s="446" t="s">
        <v>1891</v>
      </c>
      <c r="E1153" s="41" t="s">
        <v>1892</v>
      </c>
      <c r="F1153" s="42">
        <v>7702057012410</v>
      </c>
      <c r="G1153">
        <f t="shared" si="58"/>
        <v>4500</v>
      </c>
      <c r="H1153">
        <f t="shared" si="59"/>
        <v>2</v>
      </c>
      <c r="I1153" t="str">
        <f t="shared" si="57"/>
        <v>BENZIRIN VERDE TABLETAS X100 / BENCIDAMINA HCI 3MG</v>
      </c>
    </row>
    <row r="1154" spans="1:9">
      <c r="A1154" s="22" t="s">
        <v>1893</v>
      </c>
      <c r="B1154" s="11">
        <v>50</v>
      </c>
      <c r="C1154" s="166">
        <v>0.19</v>
      </c>
      <c r="D1154" s="483" t="s">
        <v>384</v>
      </c>
      <c r="E1154" s="41" t="s">
        <v>1894</v>
      </c>
      <c r="F1154" s="273">
        <v>7707353306263</v>
      </c>
      <c r="G1154">
        <f t="shared" si="58"/>
        <v>1000</v>
      </c>
      <c r="H1154">
        <f t="shared" si="59"/>
        <v>1</v>
      </c>
      <c r="I1154" t="str">
        <f t="shared" si="57"/>
        <v>PIEDRA ALUMBRE PROMARQUIN SOBRE X15GR - BOLSA X25</v>
      </c>
    </row>
    <row r="1155" spans="1:9">
      <c r="A1155" s="22" t="s">
        <v>1895</v>
      </c>
      <c r="B1155" s="11">
        <v>3</v>
      </c>
      <c r="C1155" s="194">
        <v>0.19</v>
      </c>
      <c r="D1155" s="446" t="s">
        <v>59</v>
      </c>
      <c r="E1155" s="41" t="s">
        <v>1896</v>
      </c>
      <c r="F1155" s="273">
        <v>7707353306294</v>
      </c>
      <c r="G1155">
        <f t="shared" si="58"/>
        <v>3000</v>
      </c>
      <c r="H1155">
        <f t="shared" si="59"/>
        <v>1</v>
      </c>
      <c r="I1155" t="str">
        <f t="shared" ref="I1155:I1218" si="60">TRIM(A1155)</f>
        <v>PIEDRA ALUMBRE X200GR - PROMARQUIM</v>
      </c>
    </row>
    <row r="1156" spans="1:9" ht="15">
      <c r="A1156" s="19" t="s">
        <v>1905</v>
      </c>
      <c r="B1156" s="37">
        <v>1</v>
      </c>
      <c r="C1156" s="423">
        <v>0</v>
      </c>
      <c r="D1156" s="376" t="s">
        <v>59</v>
      </c>
      <c r="E1156" s="112" t="s">
        <v>1906</v>
      </c>
      <c r="F1156" s="115">
        <v>7702057211417</v>
      </c>
      <c r="G1156">
        <f t="shared" si="58"/>
        <v>3000</v>
      </c>
      <c r="H1156">
        <f t="shared" si="59"/>
        <v>1</v>
      </c>
      <c r="I1156" t="str">
        <f t="shared" si="60"/>
        <v>NORAVER GRIPA DIA X12</v>
      </c>
    </row>
    <row r="1157" spans="1:9" ht="15">
      <c r="A1157" s="19" t="s">
        <v>1908</v>
      </c>
      <c r="B1157" s="37">
        <v>3</v>
      </c>
      <c r="C1157" s="37">
        <v>0</v>
      </c>
      <c r="D1157" s="376" t="s">
        <v>109</v>
      </c>
      <c r="E1157" s="112" t="s">
        <v>1909</v>
      </c>
      <c r="F1157" s="115">
        <v>7707346260329</v>
      </c>
      <c r="G1157">
        <f t="shared" si="58"/>
        <v>10000</v>
      </c>
      <c r="H1157">
        <f t="shared" si="59"/>
        <v>1</v>
      </c>
      <c r="I1157" t="str">
        <f t="shared" si="60"/>
        <v>INHALOCAMARA PEDIATRICA / BIOXIGENO</v>
      </c>
    </row>
    <row r="1158" spans="1:9" ht="15">
      <c r="A1158" s="19" t="s">
        <v>1910</v>
      </c>
      <c r="B1158" s="37">
        <v>10</v>
      </c>
      <c r="C1158" s="37">
        <v>0</v>
      </c>
      <c r="D1158" s="376" t="s">
        <v>1911</v>
      </c>
      <c r="E1158" s="112" t="s">
        <v>107</v>
      </c>
      <c r="F1158" s="115">
        <v>7730979097970</v>
      </c>
      <c r="G1158">
        <f t="shared" si="58"/>
        <v>67000</v>
      </c>
      <c r="H1158">
        <f t="shared" si="59"/>
        <v>30</v>
      </c>
      <c r="I1158" t="str">
        <f t="shared" si="60"/>
        <v>VEDIPAL 1,000 MG / DISOMINA + HISPERIDINA</v>
      </c>
    </row>
    <row r="1159" spans="1:9">
      <c r="A1159" t="s">
        <v>1913</v>
      </c>
      <c r="B1159" s="23">
        <v>8</v>
      </c>
      <c r="C1159" s="23">
        <v>0</v>
      </c>
      <c r="D1159" s="446" t="s">
        <v>1914</v>
      </c>
      <c r="E1159" s="39" t="s">
        <v>1915</v>
      </c>
      <c r="F1159" s="42">
        <v>7707019340204</v>
      </c>
      <c r="G1159">
        <f t="shared" si="58"/>
        <v>6000</v>
      </c>
      <c r="H1159">
        <f t="shared" si="59"/>
        <v>4</v>
      </c>
      <c r="I1159" t="str">
        <f t="shared" si="60"/>
        <v>SEAMIB 500MG - SECNIDAZOL X4</v>
      </c>
    </row>
    <row r="1160" spans="1:9">
      <c r="A1160" s="13" t="s">
        <v>141</v>
      </c>
      <c r="B1160" s="14">
        <v>1</v>
      </c>
      <c r="C1160" s="14">
        <v>0</v>
      </c>
      <c r="D1160" s="308" t="s">
        <v>142</v>
      </c>
      <c r="E1160" s="13" t="s">
        <v>143</v>
      </c>
      <c r="F1160" s="61">
        <v>7803510002396</v>
      </c>
      <c r="G1160">
        <f t="shared" si="58"/>
        <v>1300</v>
      </c>
      <c r="H1160">
        <f t="shared" si="59"/>
        <v>1</v>
      </c>
      <c r="I1160" t="str">
        <f t="shared" si="60"/>
        <v>CIRUELAX FORTE *60 COMPRIMIDOS</v>
      </c>
    </row>
    <row r="1161" spans="1:9" ht="15">
      <c r="A1161" s="19" t="s">
        <v>289</v>
      </c>
      <c r="B1161" s="37">
        <v>20</v>
      </c>
      <c r="C1161" s="37">
        <v>0</v>
      </c>
      <c r="D1161" s="376" t="s">
        <v>238</v>
      </c>
      <c r="E1161" s="117" t="s">
        <v>291</v>
      </c>
      <c r="F1161" s="115">
        <v>6916119062652</v>
      </c>
      <c r="G1161">
        <f t="shared" si="58"/>
        <v>6000</v>
      </c>
      <c r="H1161">
        <f t="shared" si="59"/>
        <v>3</v>
      </c>
      <c r="I1161" t="str">
        <f t="shared" si="60"/>
        <v>AZITROMICINA TABS X3 600MG / DELTAZITROM</v>
      </c>
    </row>
    <row r="1162" spans="1:9" ht="15">
      <c r="A1162" s="43" t="s">
        <v>1918</v>
      </c>
      <c r="B1162" s="37">
        <v>2</v>
      </c>
      <c r="C1162" s="37">
        <v>0</v>
      </c>
      <c r="D1162" s="376" t="s">
        <v>29</v>
      </c>
      <c r="E1162" s="112" t="s">
        <v>985</v>
      </c>
      <c r="F1162" s="115">
        <v>7703546378734</v>
      </c>
      <c r="G1162">
        <f t="shared" si="58"/>
        <v>15000</v>
      </c>
      <c r="H1162">
        <f t="shared" si="59"/>
        <v>10</v>
      </c>
      <c r="I1162" t="str">
        <f t="shared" si="60"/>
        <v>ESOMEPRAZOL 40MG - NOVAMED X10 TABS RECUBIERTA</v>
      </c>
    </row>
    <row r="1163" spans="1:9">
      <c r="A1163" s="69" t="s">
        <v>1921</v>
      </c>
      <c r="B1163" s="14">
        <v>1</v>
      </c>
      <c r="C1163" s="14">
        <v>0</v>
      </c>
      <c r="D1163" s="308" t="s">
        <v>262</v>
      </c>
      <c r="E1163" s="13" t="s">
        <v>1553</v>
      </c>
      <c r="F1163" s="61">
        <v>7706849113316</v>
      </c>
      <c r="G1163">
        <f t="shared" si="58"/>
        <v>7000</v>
      </c>
      <c r="H1163">
        <f t="shared" si="59"/>
        <v>10</v>
      </c>
      <c r="I1163" t="str">
        <f t="shared" si="60"/>
        <v>CASTAÑO DE INDIAS *100 CAP FUNAT</v>
      </c>
    </row>
    <row r="1164" spans="1:9">
      <c r="A1164" s="13" t="s">
        <v>1922</v>
      </c>
      <c r="B1164" s="14">
        <v>1</v>
      </c>
      <c r="C1164" s="105">
        <v>0</v>
      </c>
      <c r="D1164" s="308" t="s">
        <v>88</v>
      </c>
      <c r="E1164" s="13" t="s">
        <v>1923</v>
      </c>
      <c r="F1164" s="61">
        <v>77011121</v>
      </c>
      <c r="G1164">
        <f t="shared" si="58"/>
        <v>18000</v>
      </c>
      <c r="H1164">
        <f t="shared" si="59"/>
        <v>1</v>
      </c>
      <c r="I1164" t="str">
        <f t="shared" si="60"/>
        <v>LUZ-ZUL GOTAS</v>
      </c>
    </row>
    <row r="1165" spans="1:9">
      <c r="A1165" s="22" t="s">
        <v>1924</v>
      </c>
      <c r="B1165" s="23">
        <v>1</v>
      </c>
      <c r="C1165" s="51">
        <v>0</v>
      </c>
      <c r="D1165" s="446" t="s">
        <v>1925</v>
      </c>
      <c r="E1165" s="39" t="s">
        <v>1926</v>
      </c>
      <c r="F1165" s="42">
        <v>7501142900065</v>
      </c>
      <c r="G1165">
        <f t="shared" si="58"/>
        <v>25000</v>
      </c>
      <c r="H1165">
        <f t="shared" si="59"/>
        <v>28</v>
      </c>
      <c r="I1165" t="str">
        <f t="shared" si="60"/>
        <v>PROVERA 10MG TABS X28 / ACETATO MEDROXIPROGESTERONA</v>
      </c>
    </row>
    <row r="1166" spans="1:9" ht="15">
      <c r="A1166" s="19" t="s">
        <v>303</v>
      </c>
      <c r="B1166" s="37">
        <v>1</v>
      </c>
      <c r="C1166" s="37">
        <v>0</v>
      </c>
      <c r="D1166" s="376" t="s">
        <v>1261</v>
      </c>
      <c r="E1166" s="117" t="s">
        <v>305</v>
      </c>
      <c r="F1166" s="115">
        <v>7707350411069</v>
      </c>
      <c r="G1166">
        <f t="shared" si="58"/>
        <v>64000</v>
      </c>
      <c r="H1166">
        <f t="shared" si="59"/>
        <v>14</v>
      </c>
      <c r="I1166" t="str">
        <f t="shared" si="60"/>
        <v>VAGILAC - LACTOBACIULLUS X14</v>
      </c>
    </row>
    <row r="1167" spans="1:9" ht="30">
      <c r="A1167" s="19" t="s">
        <v>1927</v>
      </c>
      <c r="B1167" s="37">
        <v>3</v>
      </c>
      <c r="C1167" s="37">
        <v>0</v>
      </c>
      <c r="D1167" s="376" t="s">
        <v>1928</v>
      </c>
      <c r="E1167" s="112" t="s">
        <v>1929</v>
      </c>
      <c r="F1167" s="115">
        <v>7704588000331</v>
      </c>
      <c r="G1167">
        <f t="shared" si="58"/>
        <v>40000</v>
      </c>
      <c r="H1167">
        <f t="shared" si="59"/>
        <v>1</v>
      </c>
      <c r="I1167" t="str">
        <f t="shared" si="60"/>
        <v>ROXICAINA 2% SIMPLE ROPSOHN INYECTABLE X50ML</v>
      </c>
    </row>
    <row r="1168" spans="1:9" ht="15">
      <c r="A1168" s="19" t="s">
        <v>1932</v>
      </c>
      <c r="B1168" s="37">
        <v>3</v>
      </c>
      <c r="C1168" s="37">
        <v>0</v>
      </c>
      <c r="D1168" s="376" t="s">
        <v>408</v>
      </c>
      <c r="E1168" s="112" t="s">
        <v>107</v>
      </c>
      <c r="F1168" s="115">
        <v>7702184014189</v>
      </c>
      <c r="G1168">
        <f t="shared" si="58"/>
        <v>9000</v>
      </c>
      <c r="H1168">
        <f t="shared" si="59"/>
        <v>10</v>
      </c>
      <c r="I1168" t="str">
        <f t="shared" si="60"/>
        <v>ATORVASTATINA 40MG ECAR X30</v>
      </c>
    </row>
    <row r="1169" spans="1:9" ht="15">
      <c r="A1169" s="19" t="s">
        <v>947</v>
      </c>
      <c r="B1169" s="37">
        <v>1</v>
      </c>
      <c r="C1169" s="37">
        <v>0</v>
      </c>
      <c r="D1169" s="376" t="s">
        <v>948</v>
      </c>
      <c r="E1169" s="112" t="s">
        <v>949</v>
      </c>
      <c r="F1169" s="115">
        <v>7703153043322</v>
      </c>
      <c r="G1169">
        <f t="shared" si="58"/>
        <v>6500</v>
      </c>
      <c r="H1169">
        <f t="shared" si="59"/>
        <v>1</v>
      </c>
      <c r="I1169" t="str">
        <f t="shared" si="60"/>
        <v>COMPLEJO B AMPOLLA X3 / 2ML C/U</v>
      </c>
    </row>
    <row r="1170" spans="1:9">
      <c r="A1170" t="s">
        <v>1935</v>
      </c>
      <c r="B1170" s="23">
        <v>1</v>
      </c>
      <c r="C1170" s="51">
        <v>0</v>
      </c>
      <c r="D1170" s="446" t="s">
        <v>156</v>
      </c>
      <c r="E1170" s="41" t="s">
        <v>422</v>
      </c>
      <c r="F1170" s="42">
        <v>7702184010181</v>
      </c>
      <c r="G1170">
        <f t="shared" si="58"/>
        <v>3000</v>
      </c>
      <c r="H1170">
        <f t="shared" si="59"/>
        <v>10</v>
      </c>
      <c r="I1170" t="str">
        <f t="shared" si="60"/>
        <v>METRONIDAZOL TAB- ECAR</v>
      </c>
    </row>
    <row r="1171" spans="1:9">
      <c r="A1171" t="s">
        <v>1938</v>
      </c>
      <c r="B1171" s="23">
        <v>1</v>
      </c>
      <c r="C1171" s="238">
        <v>0</v>
      </c>
      <c r="D1171" s="446" t="s">
        <v>1126</v>
      </c>
      <c r="E1171" s="39" t="s">
        <v>1939</v>
      </c>
      <c r="F1171" s="42">
        <v>3594455600115</v>
      </c>
      <c r="G1171">
        <f t="shared" si="58"/>
        <v>25000</v>
      </c>
      <c r="H1171">
        <f t="shared" si="59"/>
        <v>10</v>
      </c>
      <c r="I1171" t="str">
        <f t="shared" si="60"/>
        <v>DAFLON 1000</v>
      </c>
    </row>
    <row r="1172" spans="1:9">
      <c r="A1172" s="39" t="s">
        <v>1940</v>
      </c>
      <c r="B1172" s="23">
        <v>7</v>
      </c>
      <c r="C1172" s="23">
        <v>0</v>
      </c>
      <c r="D1172" s="446" t="s">
        <v>585</v>
      </c>
      <c r="E1172" s="39" t="s">
        <v>1941</v>
      </c>
      <c r="F1172" s="42">
        <v>7704412175075</v>
      </c>
      <c r="G1172">
        <f t="shared" si="58"/>
        <v>6000</v>
      </c>
      <c r="H1172">
        <f t="shared" si="59"/>
        <v>10</v>
      </c>
      <c r="I1172" t="str">
        <f t="shared" si="60"/>
        <v>FLUNARIZINA 10MG TABS - X20 MEMPHIS</v>
      </c>
    </row>
    <row r="1173" spans="1:9">
      <c r="A1173" s="22" t="s">
        <v>1942</v>
      </c>
      <c r="B1173" s="11">
        <v>1</v>
      </c>
      <c r="C1173" s="194">
        <v>0</v>
      </c>
      <c r="D1173" s="446" t="s">
        <v>585</v>
      </c>
      <c r="E1173" s="41" t="s">
        <v>1943</v>
      </c>
      <c r="F1173" s="273">
        <v>7707035580950</v>
      </c>
      <c r="G1173">
        <f t="shared" si="58"/>
        <v>6000</v>
      </c>
      <c r="H1173">
        <f t="shared" si="59"/>
        <v>10</v>
      </c>
      <c r="I1173" t="str">
        <f t="shared" si="60"/>
        <v>DIFENHIDRAMINA CLORHIDRATO 50MG - OPHALAC X250 CAPS</v>
      </c>
    </row>
    <row r="1174" spans="1:9" ht="15">
      <c r="A1174" s="19" t="s">
        <v>1944</v>
      </c>
      <c r="B1174" s="37">
        <v>2</v>
      </c>
      <c r="C1174" s="37">
        <v>0</v>
      </c>
      <c r="D1174" s="376" t="s">
        <v>1366</v>
      </c>
      <c r="E1174" s="112" t="s">
        <v>1945</v>
      </c>
      <c r="F1174" s="115">
        <v>7709195054555</v>
      </c>
      <c r="G1174">
        <f t="shared" si="58"/>
        <v>19000</v>
      </c>
      <c r="H1174">
        <f t="shared" si="59"/>
        <v>1</v>
      </c>
      <c r="I1174" t="str">
        <f t="shared" si="60"/>
        <v>CLOBETASOL LOCION / DERPROSOL X60ML</v>
      </c>
    </row>
    <row r="1175" spans="1:9" ht="15.75" customHeight="1">
      <c r="A1175" s="22" t="s">
        <v>1235</v>
      </c>
      <c r="B1175" s="23">
        <v>1</v>
      </c>
      <c r="C1175" s="51">
        <v>0</v>
      </c>
      <c r="D1175" s="446" t="s">
        <v>1236</v>
      </c>
      <c r="E1175" s="39" t="s">
        <v>1237</v>
      </c>
      <c r="F1175" s="42">
        <v>7702027044090</v>
      </c>
      <c r="G1175">
        <f t="shared" si="58"/>
        <v>20000</v>
      </c>
      <c r="H1175">
        <f t="shared" si="59"/>
        <v>80</v>
      </c>
      <c r="I1175" t="str">
        <f t="shared" si="60"/>
        <v>PROTECTORES DAIRIOS LARGOS MAYOR PROTECCIÓN NOSOTRAS X80 UNIDADES</v>
      </c>
    </row>
    <row r="1176" spans="1:9" ht="28.5">
      <c r="A1176" s="39" t="s">
        <v>1954</v>
      </c>
      <c r="B1176" s="23">
        <v>1</v>
      </c>
      <c r="C1176" s="23">
        <v>0</v>
      </c>
      <c r="D1176" s="446" t="s">
        <v>1955</v>
      </c>
      <c r="E1176" s="41" t="s">
        <v>1956</v>
      </c>
      <c r="F1176" s="42">
        <v>2005722</v>
      </c>
      <c r="G1176">
        <f t="shared" si="58"/>
        <v>3600</v>
      </c>
      <c r="H1176">
        <f t="shared" si="59"/>
        <v>1</v>
      </c>
      <c r="I1176" t="str">
        <f t="shared" si="60"/>
        <v>BIOCROS X30</v>
      </c>
    </row>
    <row r="1177" spans="1:9" ht="15">
      <c r="A1177" s="43" t="s">
        <v>1968</v>
      </c>
      <c r="B1177" s="37">
        <v>2</v>
      </c>
      <c r="C1177" s="429">
        <v>0.19</v>
      </c>
      <c r="D1177" s="376" t="s">
        <v>7</v>
      </c>
      <c r="E1177" s="112" t="s">
        <v>1969</v>
      </c>
      <c r="F1177" s="115">
        <v>7708682913320</v>
      </c>
      <c r="G1177">
        <f t="shared" si="58"/>
        <v>7000</v>
      </c>
      <c r="H1177">
        <f t="shared" si="59"/>
        <v>1</v>
      </c>
      <c r="I1177" t="str">
        <f t="shared" si="60"/>
        <v>CREMA DENTAL ORAL-PLUS CHICLE CON FLUOR X30 GR + CEPILLO</v>
      </c>
    </row>
    <row r="1178" spans="1:9" ht="15">
      <c r="A1178" s="43" t="s">
        <v>1970</v>
      </c>
      <c r="B1178" s="37">
        <v>2</v>
      </c>
      <c r="C1178" s="429">
        <v>0.19</v>
      </c>
      <c r="D1178" s="376" t="s">
        <v>378</v>
      </c>
      <c r="E1178" s="112" t="s">
        <v>1971</v>
      </c>
      <c r="F1178" s="115">
        <v>7704631904760</v>
      </c>
      <c r="G1178">
        <f t="shared" si="58"/>
        <v>9500</v>
      </c>
      <c r="H1178">
        <f t="shared" si="59"/>
        <v>1</v>
      </c>
      <c r="I1178" t="str">
        <f t="shared" si="60"/>
        <v>CREMA DENTAL ORAL-PLUS CHICLE SIN FLUOR X70GR + CEPILLO</v>
      </c>
    </row>
    <row r="1179" spans="1:9" ht="15">
      <c r="A1179" s="19" t="s">
        <v>1972</v>
      </c>
      <c r="B1179" s="37">
        <v>1</v>
      </c>
      <c r="C1179" s="429">
        <v>0.19</v>
      </c>
      <c r="D1179" s="376" t="s">
        <v>676</v>
      </c>
      <c r="E1179" s="112" t="s">
        <v>513</v>
      </c>
      <c r="F1179" s="115">
        <v>7703712014602</v>
      </c>
      <c r="G1179">
        <f t="shared" si="58"/>
        <v>21000</v>
      </c>
      <c r="H1179">
        <f t="shared" si="59"/>
        <v>1</v>
      </c>
      <c r="I1179" t="str">
        <f t="shared" si="60"/>
        <v>NELIND CREMA NATURAL / CALÉNDULA X40GR</v>
      </c>
    </row>
    <row r="1180" spans="1:9">
      <c r="A1180" s="8" t="s">
        <v>433</v>
      </c>
      <c r="B1180" s="30">
        <v>1</v>
      </c>
      <c r="C1180" s="31">
        <v>0.19</v>
      </c>
      <c r="D1180" s="447" t="s">
        <v>74</v>
      </c>
      <c r="E1180" s="8" t="s">
        <v>434</v>
      </c>
      <c r="F1180" s="63">
        <v>4005808850839</v>
      </c>
      <c r="G1180">
        <f t="shared" si="58"/>
        <v>20000</v>
      </c>
      <c r="H1180">
        <f t="shared" si="59"/>
        <v>1</v>
      </c>
      <c r="I1180" t="str">
        <f t="shared" si="60"/>
        <v>NIVEA LIP CARE FRESA</v>
      </c>
    </row>
    <row r="1181" spans="1:9">
      <c r="A1181" s="12" t="s">
        <v>76</v>
      </c>
      <c r="B1181" s="14">
        <v>1</v>
      </c>
      <c r="C1181" s="105">
        <v>0</v>
      </c>
      <c r="D1181" s="308" t="s">
        <v>435</v>
      </c>
      <c r="E1181" s="12" t="s">
        <v>78</v>
      </c>
      <c r="F1181" s="61">
        <v>7460536554324</v>
      </c>
      <c r="G1181">
        <f t="shared" si="58"/>
        <v>59500</v>
      </c>
      <c r="H1181">
        <f t="shared" si="59"/>
        <v>1</v>
      </c>
      <c r="I1181" t="str">
        <f t="shared" si="60"/>
        <v>UMQUAN GOTAS X20ML</v>
      </c>
    </row>
    <row r="1182" spans="1:9" ht="15">
      <c r="A1182" s="32" t="s">
        <v>452</v>
      </c>
      <c r="B1182" s="17">
        <v>1</v>
      </c>
      <c r="C1182" s="124">
        <v>0.19</v>
      </c>
      <c r="D1182" s="321" t="s">
        <v>453</v>
      </c>
      <c r="E1182" s="32" t="s">
        <v>454</v>
      </c>
      <c r="F1182" s="20">
        <v>7709990384987</v>
      </c>
      <c r="G1182">
        <f t="shared" si="58"/>
        <v>42000</v>
      </c>
      <c r="H1182">
        <f t="shared" si="59"/>
        <v>30</v>
      </c>
      <c r="I1182" t="str">
        <f t="shared" si="60"/>
        <v>SHOT B CAPSULA</v>
      </c>
    </row>
    <row r="1183" spans="1:9">
      <c r="A1183" s="8" t="s">
        <v>111</v>
      </c>
      <c r="B1183" s="30">
        <v>2</v>
      </c>
      <c r="C1183" s="31">
        <v>0</v>
      </c>
      <c r="D1183" s="447" t="s">
        <v>112</v>
      </c>
      <c r="E1183" s="8" t="s">
        <v>113</v>
      </c>
      <c r="F1183" s="63">
        <v>7703445050014</v>
      </c>
      <c r="G1183">
        <f t="shared" ref="G1183:G1246" si="61">IFERROR(VALUE(SUBSTITUTE(LEFT(LOWER(D1183),FIND("x",LOWER(D1183))-1),",","")),VALUE(SUBSTITUTE(D1183,",","")))</f>
        <v>26000</v>
      </c>
      <c r="H1183">
        <f t="shared" ref="H1183:H1246" si="62">IFERROR(VALUE(MID(LOWER(D1183),FIND("x",LOWER(D1183))+1,20)),1)</f>
        <v>1</v>
      </c>
      <c r="I1183" t="str">
        <f t="shared" si="60"/>
        <v>PANOTIL B GOTAS - POLIMIXINA, NEOMICINA, BETAMETASONA, LIDOCAINA</v>
      </c>
    </row>
    <row r="1184" spans="1:9">
      <c r="A1184" s="39" t="s">
        <v>470</v>
      </c>
      <c r="B1184" s="23">
        <v>2</v>
      </c>
      <c r="C1184" s="51">
        <v>0</v>
      </c>
      <c r="D1184" s="446" t="s">
        <v>471</v>
      </c>
      <c r="E1184" s="39" t="s">
        <v>472</v>
      </c>
      <c r="F1184" s="42">
        <v>7706127004183</v>
      </c>
      <c r="G1184">
        <f t="shared" si="61"/>
        <v>9000</v>
      </c>
      <c r="H1184">
        <f t="shared" si="62"/>
        <v>1</v>
      </c>
      <c r="I1184" t="str">
        <f t="shared" si="60"/>
        <v>CLINDAMIZOL OVULOS / CLINDAMICINA 100MG + KETOCONAZOL 400MG</v>
      </c>
    </row>
    <row r="1185" spans="1:9">
      <c r="A1185" s="39" t="s">
        <v>482</v>
      </c>
      <c r="B1185" s="23">
        <v>2</v>
      </c>
      <c r="C1185" s="51">
        <v>0</v>
      </c>
      <c r="D1185" s="446" t="s">
        <v>38</v>
      </c>
      <c r="E1185" s="39" t="s">
        <v>483</v>
      </c>
      <c r="F1185" s="42">
        <v>7702560006395</v>
      </c>
      <c r="G1185">
        <f t="shared" si="61"/>
        <v>9000</v>
      </c>
      <c r="H1185">
        <f t="shared" si="62"/>
        <v>1</v>
      </c>
      <c r="I1185" t="str">
        <f t="shared" si="60"/>
        <v>ALGODN X125GR - JGB</v>
      </c>
    </row>
    <row r="1186" spans="1:9">
      <c r="A1186" s="8" t="s">
        <v>490</v>
      </c>
      <c r="B1186" s="30">
        <v>1</v>
      </c>
      <c r="C1186" s="31">
        <v>0</v>
      </c>
      <c r="D1186" s="447" t="s">
        <v>491</v>
      </c>
      <c r="E1186" s="8" t="s">
        <v>492</v>
      </c>
      <c r="F1186" s="63">
        <v>77014542</v>
      </c>
      <c r="G1186">
        <f t="shared" si="61"/>
        <v>24000</v>
      </c>
      <c r="H1186">
        <f t="shared" si="62"/>
        <v>1</v>
      </c>
      <c r="I1186" t="str">
        <f t="shared" si="60"/>
        <v>CALADRYL - ROSADO</v>
      </c>
    </row>
    <row r="1187" spans="1:9" ht="15">
      <c r="A1187" s="96" t="s">
        <v>493</v>
      </c>
      <c r="B1187" s="153">
        <v>1</v>
      </c>
      <c r="C1187" s="153">
        <v>0</v>
      </c>
      <c r="D1187" s="375" t="s">
        <v>494</v>
      </c>
      <c r="E1187" s="96" t="s">
        <v>495</v>
      </c>
      <c r="F1187" s="155">
        <v>7795320051254</v>
      </c>
      <c r="G1187">
        <f t="shared" si="61"/>
        <v>43000</v>
      </c>
      <c r="H1187">
        <f t="shared" si="62"/>
        <v>28</v>
      </c>
      <c r="I1187" t="str">
        <f t="shared" si="60"/>
        <v>QLAIRA *28</v>
      </c>
    </row>
    <row r="1188" spans="1:9">
      <c r="A1188" s="58" t="s">
        <v>508</v>
      </c>
      <c r="B1188" s="14">
        <v>50</v>
      </c>
      <c r="C1188" s="105">
        <v>0</v>
      </c>
      <c r="D1188" s="308" t="s">
        <v>509</v>
      </c>
      <c r="E1188" s="12" t="s">
        <v>280</v>
      </c>
      <c r="F1188" s="61">
        <v>7702195116964</v>
      </c>
      <c r="G1188">
        <f t="shared" si="61"/>
        <v>12000</v>
      </c>
      <c r="H1188">
        <f t="shared" si="62"/>
        <v>10</v>
      </c>
      <c r="I1188" t="str">
        <f t="shared" si="60"/>
        <v>ZOPICLONA X30 RECIPE</v>
      </c>
    </row>
    <row r="1189" spans="1:9" ht="15">
      <c r="A1189" s="117" t="s">
        <v>529</v>
      </c>
      <c r="B1189" s="37">
        <v>6</v>
      </c>
      <c r="C1189" s="37">
        <v>0</v>
      </c>
      <c r="D1189" s="376" t="s">
        <v>530</v>
      </c>
      <c r="E1189" s="117" t="s">
        <v>513</v>
      </c>
      <c r="F1189" s="115">
        <v>7703038065685</v>
      </c>
      <c r="G1189">
        <f t="shared" si="61"/>
        <v>6000</v>
      </c>
      <c r="H1189">
        <f t="shared" si="62"/>
        <v>1</v>
      </c>
      <c r="I1189" t="str">
        <f t="shared" si="60"/>
        <v>CLOTRIMAZOL 1% - TÓPICA X40GR</v>
      </c>
    </row>
    <row r="1190" spans="1:9" ht="15">
      <c r="A1190" s="117" t="s">
        <v>543</v>
      </c>
      <c r="B1190" s="37">
        <v>1</v>
      </c>
      <c r="C1190" s="37">
        <v>0</v>
      </c>
      <c r="D1190" s="376" t="s">
        <v>544</v>
      </c>
      <c r="E1190" s="117" t="s">
        <v>107</v>
      </c>
      <c r="F1190" s="115">
        <v>7704163000855</v>
      </c>
      <c r="G1190">
        <f t="shared" si="61"/>
        <v>60000</v>
      </c>
      <c r="H1190">
        <f t="shared" si="62"/>
        <v>30</v>
      </c>
      <c r="I1190" t="str">
        <f t="shared" si="60"/>
        <v>MINOXITEN / MINOXIDIL 10MG TABS</v>
      </c>
    </row>
    <row r="1191" spans="1:9">
      <c r="A1191" s="39" t="s">
        <v>545</v>
      </c>
      <c r="B1191" s="23">
        <v>2</v>
      </c>
      <c r="C1191" s="51">
        <v>0.19</v>
      </c>
      <c r="D1191" s="446" t="s">
        <v>546</v>
      </c>
      <c r="E1191" s="39" t="s">
        <v>547</v>
      </c>
      <c r="F1191" s="42">
        <v>7501035911376</v>
      </c>
      <c r="G1191">
        <f t="shared" si="61"/>
        <v>31000</v>
      </c>
      <c r="H1191">
        <f t="shared" si="62"/>
        <v>1</v>
      </c>
      <c r="I1191" t="str">
        <f t="shared" si="60"/>
        <v>COLGATE TOTAL 12 - CLEAN MINT X150ML</v>
      </c>
    </row>
    <row r="1192" spans="1:9" ht="15">
      <c r="A1192" s="117" t="s">
        <v>548</v>
      </c>
      <c r="B1192" s="37">
        <v>2</v>
      </c>
      <c r="C1192" s="429">
        <v>0.19</v>
      </c>
      <c r="D1192" s="376" t="s">
        <v>74</v>
      </c>
      <c r="E1192" s="117" t="s">
        <v>549</v>
      </c>
      <c r="F1192" s="115">
        <v>7509546653532</v>
      </c>
      <c r="G1192">
        <f t="shared" si="61"/>
        <v>20000</v>
      </c>
      <c r="H1192">
        <f t="shared" si="62"/>
        <v>1</v>
      </c>
      <c r="I1192" t="str">
        <f t="shared" si="60"/>
        <v>COLGATE TOTAL PREVENCION ACTIVA ANTISARRO</v>
      </c>
    </row>
    <row r="1193" spans="1:9">
      <c r="A1193" s="12" t="s">
        <v>561</v>
      </c>
      <c r="B1193" s="14">
        <v>2</v>
      </c>
      <c r="C1193" s="105">
        <v>0</v>
      </c>
      <c r="D1193" s="308" t="s">
        <v>23</v>
      </c>
      <c r="E1193" s="12" t="s">
        <v>562</v>
      </c>
      <c r="F1193" s="61">
        <v>8710428018670</v>
      </c>
      <c r="G1193">
        <f t="shared" si="61"/>
        <v>15000</v>
      </c>
      <c r="H1193">
        <f t="shared" si="62"/>
        <v>1</v>
      </c>
      <c r="I1193" t="str">
        <f t="shared" si="60"/>
        <v>ENSURE ADVANCE LIQUIDO - VAINILLA</v>
      </c>
    </row>
    <row r="1194" spans="1:9" ht="15">
      <c r="A1194" s="117" t="s">
        <v>563</v>
      </c>
      <c r="B1194" s="37">
        <v>2</v>
      </c>
      <c r="C1194" s="37">
        <v>0</v>
      </c>
      <c r="D1194" s="376" t="s">
        <v>564</v>
      </c>
      <c r="E1194" s="12" t="s">
        <v>562</v>
      </c>
      <c r="F1194" s="115">
        <v>8710428019561</v>
      </c>
      <c r="G1194">
        <f t="shared" si="61"/>
        <v>14500</v>
      </c>
      <c r="H1194">
        <f t="shared" si="62"/>
        <v>1</v>
      </c>
      <c r="I1194" t="str">
        <f t="shared" si="60"/>
        <v>ENSURE TRADICIONAL LIQUIDO - VAINILLA</v>
      </c>
    </row>
    <row r="1195" spans="1:9" ht="15">
      <c r="A1195" s="117" t="s">
        <v>565</v>
      </c>
      <c r="B1195" s="37">
        <v>1</v>
      </c>
      <c r="C1195" s="37">
        <v>0</v>
      </c>
      <c r="D1195" s="376" t="s">
        <v>91</v>
      </c>
      <c r="E1195" s="12" t="s">
        <v>562</v>
      </c>
      <c r="F1195" s="115">
        <v>7703186031433</v>
      </c>
      <c r="G1195">
        <f t="shared" si="61"/>
        <v>16000</v>
      </c>
      <c r="H1195">
        <f t="shared" si="62"/>
        <v>1</v>
      </c>
      <c r="I1195" t="str">
        <f t="shared" si="60"/>
        <v>ENSURE CLINICAL LIQUIDO - VAINILLA</v>
      </c>
    </row>
    <row r="1196" spans="1:9" ht="15">
      <c r="A1196" s="117" t="s">
        <v>571</v>
      </c>
      <c r="B1196" s="37">
        <v>2</v>
      </c>
      <c r="C1196" s="37">
        <v>0</v>
      </c>
      <c r="D1196" s="376" t="s">
        <v>572</v>
      </c>
      <c r="E1196" s="117" t="s">
        <v>573</v>
      </c>
      <c r="F1196" s="115">
        <v>7702057074487</v>
      </c>
      <c r="G1196">
        <f t="shared" si="61"/>
        <v>10000</v>
      </c>
      <c r="H1196">
        <f t="shared" si="62"/>
        <v>14</v>
      </c>
      <c r="I1196" t="str">
        <f t="shared" si="60"/>
        <v>NORFLOXACINO / NORFLOXACINA 400MG X14</v>
      </c>
    </row>
    <row r="1197" spans="1:9">
      <c r="A1197" s="12" t="s">
        <v>591</v>
      </c>
      <c r="B1197" s="14">
        <v>1</v>
      </c>
      <c r="C1197" s="105">
        <v>0</v>
      </c>
      <c r="D1197" s="308" t="s">
        <v>592</v>
      </c>
      <c r="E1197" s="12" t="s">
        <v>454</v>
      </c>
      <c r="F1197" s="61">
        <v>7703153011468</v>
      </c>
      <c r="G1197">
        <f t="shared" si="61"/>
        <v>28500</v>
      </c>
      <c r="H1197">
        <f t="shared" si="62"/>
        <v>10</v>
      </c>
      <c r="I1197" t="str">
        <f t="shared" si="60"/>
        <v>CALCITRIOL 0,25MG *30- COLMED</v>
      </c>
    </row>
    <row r="1198" spans="1:9">
      <c r="A1198" s="8" t="s">
        <v>602</v>
      </c>
      <c r="B1198" s="30">
        <v>1</v>
      </c>
      <c r="C1198" s="31">
        <v>0.19</v>
      </c>
      <c r="D1198" s="447" t="s">
        <v>603</v>
      </c>
      <c r="E1198" s="8" t="s">
        <v>604</v>
      </c>
      <c r="F1198" s="63">
        <v>7702123012108</v>
      </c>
      <c r="G1198">
        <f t="shared" si="61"/>
        <v>17000</v>
      </c>
      <c r="H1198">
        <f t="shared" si="62"/>
        <v>10</v>
      </c>
      <c r="I1198" t="str">
        <f t="shared" si="60"/>
        <v>REDOXON EFERVECENTE *20 COMPRIMIDOS</v>
      </c>
    </row>
    <row r="1199" spans="1:9" ht="15">
      <c r="A1199" s="117" t="s">
        <v>621</v>
      </c>
      <c r="B1199" s="37">
        <v>1</v>
      </c>
      <c r="C1199" s="429">
        <v>0.19</v>
      </c>
      <c r="D1199" s="376" t="s">
        <v>622</v>
      </c>
      <c r="E1199" s="117" t="s">
        <v>623</v>
      </c>
      <c r="F1199" s="115">
        <v>8411135009684</v>
      </c>
      <c r="G1199">
        <f t="shared" si="61"/>
        <v>51500</v>
      </c>
      <c r="H1199">
        <f t="shared" si="62"/>
        <v>1</v>
      </c>
      <c r="I1199" t="str">
        <f t="shared" si="60"/>
        <v>LACTOVIT LECHE CORPORAL X1 LT</v>
      </c>
    </row>
    <row r="1200" spans="1:9">
      <c r="A1200" s="168" t="s">
        <v>637</v>
      </c>
      <c r="B1200" s="147">
        <v>1</v>
      </c>
      <c r="C1200" s="105">
        <v>0</v>
      </c>
      <c r="D1200" s="308" t="s">
        <v>638</v>
      </c>
      <c r="E1200" s="168" t="s">
        <v>639</v>
      </c>
      <c r="F1200" s="160">
        <v>7701684000135</v>
      </c>
      <c r="G1200">
        <f t="shared" si="61"/>
        <v>65000</v>
      </c>
      <c r="H1200">
        <f t="shared" si="62"/>
        <v>1</v>
      </c>
      <c r="I1200" t="str">
        <f t="shared" si="60"/>
        <v>ALMIPRO UNGÜENTO *500GR</v>
      </c>
    </row>
    <row r="1201" spans="1:9">
      <c r="A1201" s="8" t="s">
        <v>642</v>
      </c>
      <c r="B1201" s="30">
        <v>3</v>
      </c>
      <c r="C1201" s="173">
        <v>0</v>
      </c>
      <c r="D1201" s="447" t="s">
        <v>7</v>
      </c>
      <c r="E1201" s="8" t="s">
        <v>643</v>
      </c>
      <c r="F1201" s="42">
        <v>7707364802198</v>
      </c>
      <c r="G1201">
        <f t="shared" si="61"/>
        <v>7000</v>
      </c>
      <c r="H1201">
        <f t="shared" si="62"/>
        <v>1</v>
      </c>
      <c r="I1201" t="str">
        <f t="shared" si="60"/>
        <v>VENDA ELÁSTICA 6"*5 YDS MEDICAL SUPPLIES</v>
      </c>
    </row>
    <row r="1202" spans="1:9">
      <c r="A1202" s="168" t="s">
        <v>644</v>
      </c>
      <c r="B1202" s="147">
        <v>2</v>
      </c>
      <c r="C1202" s="148">
        <v>0.19</v>
      </c>
      <c r="D1202" s="444" t="s">
        <v>645</v>
      </c>
      <c r="E1202" s="168" t="s">
        <v>646</v>
      </c>
      <c r="F1202" s="160">
        <v>650240033902</v>
      </c>
      <c r="G1202">
        <f t="shared" si="61"/>
        <v>60000</v>
      </c>
      <c r="H1202">
        <f t="shared" si="62"/>
        <v>2</v>
      </c>
      <c r="I1202" t="str">
        <f t="shared" si="60"/>
        <v>MEDICASP SHAMPOO *100ML X2 FRASCOS</v>
      </c>
    </row>
    <row r="1203" spans="1:9" ht="15">
      <c r="A1203" s="32" t="s">
        <v>647</v>
      </c>
      <c r="B1203" s="17">
        <v>3</v>
      </c>
      <c r="C1203" s="124">
        <v>0</v>
      </c>
      <c r="D1203" s="321" t="s">
        <v>38</v>
      </c>
      <c r="E1203" s="32" t="s">
        <v>648</v>
      </c>
      <c r="F1203" s="20">
        <v>7702560009525</v>
      </c>
      <c r="G1203">
        <f t="shared" si="61"/>
        <v>9000</v>
      </c>
      <c r="H1203">
        <f t="shared" si="62"/>
        <v>1</v>
      </c>
      <c r="I1203" t="str">
        <f t="shared" si="60"/>
        <v>ALCOHOL *700ML JGB</v>
      </c>
    </row>
    <row r="1204" spans="1:9" ht="15">
      <c r="A1204" s="32" t="s">
        <v>649</v>
      </c>
      <c r="B1204" s="17">
        <v>1</v>
      </c>
      <c r="C1204" s="124">
        <v>0</v>
      </c>
      <c r="D1204" s="321" t="s">
        <v>59</v>
      </c>
      <c r="E1204" s="8" t="s">
        <v>650</v>
      </c>
      <c r="F1204" s="20">
        <v>7707232097220</v>
      </c>
      <c r="G1204">
        <f t="shared" si="61"/>
        <v>3000</v>
      </c>
      <c r="H1204">
        <f t="shared" si="62"/>
        <v>1</v>
      </c>
      <c r="I1204" t="str">
        <f t="shared" si="60"/>
        <v>MIELTERTOS GRIPA NOCHE - BOMBONERA X25 SOBRES</v>
      </c>
    </row>
    <row r="1205" spans="1:9" ht="15">
      <c r="A1205" s="117" t="s">
        <v>651</v>
      </c>
      <c r="B1205" s="37">
        <v>1</v>
      </c>
      <c r="C1205" s="37">
        <v>0</v>
      </c>
      <c r="D1205" s="376" t="s">
        <v>652</v>
      </c>
      <c r="E1205" s="117" t="s">
        <v>653</v>
      </c>
      <c r="F1205" s="115">
        <v>7703763002184</v>
      </c>
      <c r="G1205">
        <f t="shared" si="61"/>
        <v>14000</v>
      </c>
      <c r="H1205">
        <f t="shared" si="62"/>
        <v>10</v>
      </c>
      <c r="I1205" t="str">
        <f t="shared" si="60"/>
        <v>AMPICILINA 1000MG LA SANTÉ X100</v>
      </c>
    </row>
    <row r="1206" spans="1:9">
      <c r="A1206" s="8" t="s">
        <v>663</v>
      </c>
      <c r="B1206" s="30">
        <v>6</v>
      </c>
      <c r="C1206" s="173">
        <v>0</v>
      </c>
      <c r="D1206" s="447" t="s">
        <v>664</v>
      </c>
      <c r="E1206" s="8" t="s">
        <v>665</v>
      </c>
      <c r="F1206" s="63">
        <v>7703712032309</v>
      </c>
      <c r="G1206">
        <f t="shared" si="61"/>
        <v>13000</v>
      </c>
      <c r="H1206">
        <f t="shared" si="62"/>
        <v>8</v>
      </c>
      <c r="I1206" t="str">
        <f t="shared" si="60"/>
        <v>CEFRADINA 500MG - 24 TABLETAS COASPHARMA</v>
      </c>
    </row>
    <row r="1207" spans="1:9" ht="15">
      <c r="A1207" s="117" t="s">
        <v>666</v>
      </c>
      <c r="B1207" s="37">
        <v>4</v>
      </c>
      <c r="C1207" s="37">
        <v>0</v>
      </c>
      <c r="D1207" s="376" t="s">
        <v>519</v>
      </c>
      <c r="E1207" s="117" t="s">
        <v>667</v>
      </c>
      <c r="F1207" s="115">
        <v>7707355052243</v>
      </c>
      <c r="G1207">
        <f t="shared" si="61"/>
        <v>4500</v>
      </c>
      <c r="H1207">
        <f t="shared" si="62"/>
        <v>1</v>
      </c>
      <c r="I1207" t="str">
        <f t="shared" si="60"/>
        <v>GYNOFLOR OVULOS - CLOTRIMAZOL + METRONIDAZOL X10</v>
      </c>
    </row>
    <row r="1208" spans="1:9" ht="15">
      <c r="A1208" s="8" t="s">
        <v>668</v>
      </c>
      <c r="B1208" s="30">
        <v>3</v>
      </c>
      <c r="C1208" s="31">
        <v>0</v>
      </c>
      <c r="D1208" s="447" t="s">
        <v>38</v>
      </c>
      <c r="E1208" s="32" t="s">
        <v>121</v>
      </c>
      <c r="F1208" s="63">
        <v>7501125176456</v>
      </c>
      <c r="G1208">
        <f t="shared" si="61"/>
        <v>9000</v>
      </c>
      <c r="H1208">
        <f t="shared" si="62"/>
        <v>1</v>
      </c>
      <c r="I1208" t="str">
        <f t="shared" si="60"/>
        <v>ELECTROLIT COCO</v>
      </c>
    </row>
    <row r="1209" spans="1:9">
      <c r="A1209" s="8" t="s">
        <v>671</v>
      </c>
      <c r="B1209" s="30">
        <v>1</v>
      </c>
      <c r="C1209" s="31">
        <v>0</v>
      </c>
      <c r="D1209" s="447" t="s">
        <v>188</v>
      </c>
      <c r="E1209" s="8" t="s">
        <v>672</v>
      </c>
      <c r="F1209" s="63">
        <v>7707062800625</v>
      </c>
      <c r="G1209">
        <f t="shared" si="61"/>
        <v>32000</v>
      </c>
      <c r="H1209">
        <f t="shared" si="62"/>
        <v>1</v>
      </c>
      <c r="I1209" t="str">
        <f t="shared" si="60"/>
        <v>FITOBREMG - TRITICUM VULGARE VILL</v>
      </c>
    </row>
    <row r="1210" spans="1:9" ht="15">
      <c r="A1210" s="74" t="s">
        <v>566</v>
      </c>
      <c r="B1210" s="36">
        <v>3</v>
      </c>
      <c r="C1210" s="164">
        <v>0</v>
      </c>
      <c r="D1210" s="378" t="s">
        <v>567</v>
      </c>
      <c r="E1210" s="117" t="s">
        <v>615</v>
      </c>
      <c r="F1210" s="46">
        <v>7702057070205</v>
      </c>
      <c r="G1210">
        <f t="shared" si="61"/>
        <v>18000</v>
      </c>
      <c r="H1210">
        <f t="shared" si="62"/>
        <v>30</v>
      </c>
      <c r="I1210" t="str">
        <f t="shared" si="60"/>
        <v>GABAPENTIN 400MG - MK X30</v>
      </c>
    </row>
    <row r="1211" spans="1:9" ht="15">
      <c r="A1211" s="117" t="s">
        <v>673</v>
      </c>
      <c r="B1211" s="37">
        <v>2</v>
      </c>
      <c r="C1211" s="37">
        <v>0</v>
      </c>
      <c r="D1211" s="376" t="s">
        <v>674</v>
      </c>
      <c r="E1211" s="117" t="s">
        <v>615</v>
      </c>
      <c r="F1211" s="115">
        <v>7702057074784</v>
      </c>
      <c r="G1211">
        <f t="shared" si="61"/>
        <v>38000</v>
      </c>
      <c r="H1211">
        <f t="shared" si="62"/>
        <v>30</v>
      </c>
      <c r="I1211" t="str">
        <f t="shared" si="60"/>
        <v>PIRACETAM 800MG TABLETAS X30</v>
      </c>
    </row>
    <row r="1212" spans="1:9">
      <c r="A1212" s="28" t="s">
        <v>675</v>
      </c>
      <c r="B1212" s="30">
        <v>1</v>
      </c>
      <c r="C1212" s="31">
        <v>0</v>
      </c>
      <c r="D1212" s="447" t="s">
        <v>676</v>
      </c>
      <c r="E1212" s="7" t="s">
        <v>677</v>
      </c>
      <c r="F1212" s="129">
        <v>7707035580233</v>
      </c>
      <c r="G1212">
        <f t="shared" si="61"/>
        <v>21000</v>
      </c>
      <c r="H1212">
        <f t="shared" si="62"/>
        <v>1</v>
      </c>
      <c r="I1212" t="str">
        <f t="shared" si="60"/>
        <v>CHAMPÚ SORIDERM *250ML</v>
      </c>
    </row>
    <row r="1213" spans="1:9">
      <c r="A1213" s="141" t="s">
        <v>680</v>
      </c>
      <c r="B1213" s="147">
        <v>2</v>
      </c>
      <c r="C1213" s="148">
        <v>0.19</v>
      </c>
      <c r="D1213" s="444" t="s">
        <v>681</v>
      </c>
      <c r="E1213" s="159" t="s">
        <v>682</v>
      </c>
      <c r="F1213" s="160">
        <v>650240029158</v>
      </c>
      <c r="G1213">
        <f t="shared" si="61"/>
        <v>30000</v>
      </c>
      <c r="H1213">
        <f t="shared" si="62"/>
        <v>1</v>
      </c>
      <c r="I1213" t="str">
        <f t="shared" si="60"/>
        <v>MEDICASP SHAMPOO *100ML</v>
      </c>
    </row>
    <row r="1214" spans="1:9">
      <c r="A1214" s="12" t="s">
        <v>683</v>
      </c>
      <c r="B1214" s="14">
        <v>1</v>
      </c>
      <c r="C1214" s="105">
        <v>0</v>
      </c>
      <c r="D1214" s="308" t="s">
        <v>684</v>
      </c>
      <c r="E1214" s="13" t="s">
        <v>685</v>
      </c>
      <c r="F1214" s="61">
        <v>7703038066996</v>
      </c>
      <c r="G1214">
        <f t="shared" si="61"/>
        <v>7000</v>
      </c>
      <c r="H1214">
        <f t="shared" si="62"/>
        <v>4</v>
      </c>
      <c r="I1214" t="str">
        <f t="shared" si="60"/>
        <v>FLUCONAZOL 200MG LAPORFF *100CAPS</v>
      </c>
    </row>
    <row r="1215" spans="1:9" ht="13.5" customHeight="1">
      <c r="A1215" s="22" t="s">
        <v>696</v>
      </c>
      <c r="B1215" s="23">
        <v>1</v>
      </c>
      <c r="C1215" s="51">
        <v>0</v>
      </c>
      <c r="D1215" s="446" t="s">
        <v>697</v>
      </c>
      <c r="E1215" s="41" t="s">
        <v>698</v>
      </c>
      <c r="F1215" s="42">
        <v>7707397792510</v>
      </c>
      <c r="G1215">
        <f t="shared" si="61"/>
        <v>2500</v>
      </c>
      <c r="H1215">
        <f t="shared" si="62"/>
        <v>1</v>
      </c>
      <c r="I1215" t="str">
        <f t="shared" si="60"/>
        <v>ADVIL GRIPA MAX / IBUPROFENO + DEXTROMETORFANO + FENILEFRINA + CLORFERINAMINA</v>
      </c>
    </row>
    <row r="1216" spans="1:9">
      <c r="A1216" s="22" t="s">
        <v>703</v>
      </c>
      <c r="B1216" s="23">
        <v>1</v>
      </c>
      <c r="C1216" s="23">
        <v>0</v>
      </c>
      <c r="D1216" s="446" t="s">
        <v>704</v>
      </c>
      <c r="E1216" s="41" t="s">
        <v>705</v>
      </c>
      <c r="F1216" s="42">
        <v>7500435204569</v>
      </c>
      <c r="G1216">
        <f t="shared" si="61"/>
        <v>4500</v>
      </c>
      <c r="H1216">
        <f t="shared" si="62"/>
        <v>2</v>
      </c>
      <c r="I1216" t="str">
        <f t="shared" si="60"/>
        <v>FORT-9 VICK CAPSULAS X36 / ACETA + FENILEFR+ CLORFERI</v>
      </c>
    </row>
    <row r="1217" spans="1:9">
      <c r="A1217" s="22" t="s">
        <v>717</v>
      </c>
      <c r="B1217" s="11">
        <v>3</v>
      </c>
      <c r="C1217" s="194">
        <v>0</v>
      </c>
      <c r="D1217" s="483" t="s">
        <v>718</v>
      </c>
      <c r="E1217" s="41" t="s">
        <v>63</v>
      </c>
      <c r="F1217" s="42">
        <v>7704412376328</v>
      </c>
      <c r="G1217">
        <f t="shared" si="61"/>
        <v>8000</v>
      </c>
      <c r="H1217">
        <f t="shared" si="62"/>
        <v>30</v>
      </c>
      <c r="I1217" t="str">
        <f t="shared" si="60"/>
        <v>CARVEDILOL 6,25MG - MEMPHIS</v>
      </c>
    </row>
    <row r="1218" spans="1:9">
      <c r="A1218" s="22" t="s">
        <v>719</v>
      </c>
      <c r="B1218" s="23">
        <v>2</v>
      </c>
      <c r="C1218" s="23">
        <v>0</v>
      </c>
      <c r="D1218" s="446" t="s">
        <v>720</v>
      </c>
      <c r="E1218" s="39" t="s">
        <v>721</v>
      </c>
      <c r="F1218" s="42">
        <v>7703432258102</v>
      </c>
      <c r="G1218">
        <f t="shared" si="61"/>
        <v>30000</v>
      </c>
      <c r="H1218">
        <f t="shared" si="62"/>
        <v>30</v>
      </c>
      <c r="I1218" t="str">
        <f t="shared" si="60"/>
        <v>LOSARTAN + HIDROCLOTROTIZA 50MG/12,5MG EXPOFARMA</v>
      </c>
    </row>
    <row r="1219" spans="1:9">
      <c r="A1219" t="s">
        <v>725</v>
      </c>
      <c r="B1219" s="23">
        <v>1</v>
      </c>
      <c r="C1219" s="23">
        <v>0</v>
      </c>
      <c r="D1219" s="446" t="s">
        <v>250</v>
      </c>
      <c r="E1219" s="41" t="s">
        <v>726</v>
      </c>
      <c r="F1219" s="42">
        <v>7703153040468</v>
      </c>
      <c r="G1219">
        <f t="shared" si="61"/>
        <v>3500</v>
      </c>
      <c r="H1219">
        <f t="shared" si="62"/>
        <v>1</v>
      </c>
      <c r="I1219" t="str">
        <f t="shared" ref="I1219:I1282" si="63">TRIM(A1219)</f>
        <v>BETAHISTINA 16MG COLMED X21</v>
      </c>
    </row>
    <row r="1220" spans="1:9" ht="15">
      <c r="A1220" s="24" t="s">
        <v>742</v>
      </c>
      <c r="B1220" s="121">
        <v>2</v>
      </c>
      <c r="C1220" s="55">
        <v>0</v>
      </c>
      <c r="D1220" s="375" t="s">
        <v>14</v>
      </c>
      <c r="E1220" s="7" t="s">
        <v>743</v>
      </c>
      <c r="F1220" s="129">
        <v>7703763334018</v>
      </c>
      <c r="G1220">
        <f t="shared" si="61"/>
        <v>17000</v>
      </c>
      <c r="H1220">
        <f t="shared" si="62"/>
        <v>1</v>
      </c>
      <c r="I1220" t="str">
        <f t="shared" si="63"/>
        <v>OXIMETAZOLINA LA SANTE 0,05% ADULTO</v>
      </c>
    </row>
    <row r="1221" spans="1:9" ht="15">
      <c r="A1221" s="195" t="s">
        <v>749</v>
      </c>
      <c r="B1221" s="197">
        <v>1</v>
      </c>
      <c r="C1221" s="198">
        <v>0</v>
      </c>
      <c r="D1221" s="382" t="s">
        <v>750</v>
      </c>
      <c r="E1221" s="195" t="s">
        <v>751</v>
      </c>
      <c r="F1221" s="451">
        <v>7709770902318</v>
      </c>
      <c r="G1221">
        <f t="shared" si="61"/>
        <v>34000</v>
      </c>
      <c r="H1221">
        <f t="shared" si="62"/>
        <v>1</v>
      </c>
      <c r="I1221" t="str">
        <f t="shared" si="63"/>
        <v>FUROATO DE MOMETASONA - RHINOSPRAY</v>
      </c>
    </row>
    <row r="1222" spans="1:9">
      <c r="A1222" s="146" t="s">
        <v>755</v>
      </c>
      <c r="B1222" s="147">
        <v>1</v>
      </c>
      <c r="C1222" s="147">
        <v>0</v>
      </c>
      <c r="D1222" s="444" t="s">
        <v>756</v>
      </c>
      <c r="E1222" s="159" t="s">
        <v>757</v>
      </c>
      <c r="F1222" s="160">
        <v>7706263200388</v>
      </c>
      <c r="G1222">
        <f t="shared" si="61"/>
        <v>5000</v>
      </c>
      <c r="H1222">
        <f t="shared" si="62"/>
        <v>2</v>
      </c>
      <c r="I1222" t="str">
        <f t="shared" si="63"/>
        <v>CALMIDOL MAX X48 / IBUPROFENO +CAFEINA</v>
      </c>
    </row>
    <row r="1223" spans="1:9" ht="15">
      <c r="A1223" s="53" t="s">
        <v>761</v>
      </c>
      <c r="B1223" s="153">
        <v>3</v>
      </c>
      <c r="C1223" s="55">
        <v>0</v>
      </c>
      <c r="D1223" s="321" t="s">
        <v>38</v>
      </c>
      <c r="E1223" s="112" t="s">
        <v>121</v>
      </c>
      <c r="F1223" s="155">
        <v>7501125176487</v>
      </c>
      <c r="G1223">
        <f t="shared" si="61"/>
        <v>9000</v>
      </c>
      <c r="H1223">
        <f t="shared" si="62"/>
        <v>1</v>
      </c>
      <c r="I1223" t="str">
        <f t="shared" si="63"/>
        <v>ELECTROLIT LIMA-LIMON</v>
      </c>
    </row>
    <row r="1224" spans="1:9" ht="15">
      <c r="A1224" s="18" t="s">
        <v>765</v>
      </c>
      <c r="B1224" s="17">
        <v>3</v>
      </c>
      <c r="C1224" s="17">
        <v>0</v>
      </c>
      <c r="D1224" s="321" t="s">
        <v>38</v>
      </c>
      <c r="E1224" s="73" t="s">
        <v>255</v>
      </c>
      <c r="F1224" s="20">
        <v>7501125176500</v>
      </c>
      <c r="G1224">
        <f t="shared" si="61"/>
        <v>9000</v>
      </c>
      <c r="H1224">
        <f t="shared" si="62"/>
        <v>1</v>
      </c>
      <c r="I1224" t="str">
        <f t="shared" si="63"/>
        <v>ELECTROLIT NARANJA- MANDARINA</v>
      </c>
    </row>
    <row r="1225" spans="1:9">
      <c r="A1225" s="22" t="s">
        <v>784</v>
      </c>
      <c r="B1225" s="23">
        <v>6</v>
      </c>
      <c r="C1225" s="51">
        <v>0</v>
      </c>
      <c r="D1225" s="446" t="s">
        <v>697</v>
      </c>
      <c r="E1225" s="39" t="s">
        <v>785</v>
      </c>
      <c r="F1225" s="42">
        <v>7708528899030</v>
      </c>
      <c r="G1225">
        <f t="shared" si="61"/>
        <v>2500</v>
      </c>
      <c r="H1225">
        <f t="shared" si="62"/>
        <v>1</v>
      </c>
      <c r="I1225" t="str">
        <f t="shared" si="63"/>
        <v>CATETER INTRAVENOSO No.16G - BEGUT</v>
      </c>
    </row>
    <row r="1226" spans="1:9">
      <c r="A1226" t="s">
        <v>792</v>
      </c>
      <c r="B1226" s="23">
        <v>3</v>
      </c>
      <c r="C1226" s="23">
        <v>0</v>
      </c>
      <c r="D1226" s="446" t="s">
        <v>156</v>
      </c>
      <c r="E1226" s="41" t="s">
        <v>204</v>
      </c>
      <c r="F1226" s="42">
        <v>7703432425214</v>
      </c>
      <c r="G1226">
        <f t="shared" si="61"/>
        <v>3000</v>
      </c>
      <c r="H1226">
        <f t="shared" si="62"/>
        <v>10</v>
      </c>
      <c r="I1226" t="str">
        <f t="shared" si="63"/>
        <v>TRAZODONA TABLETAS X50 TABS</v>
      </c>
    </row>
    <row r="1227" spans="1:9">
      <c r="A1227" s="22" t="s">
        <v>796</v>
      </c>
      <c r="B1227" s="11">
        <v>2</v>
      </c>
      <c r="C1227" s="194">
        <v>0</v>
      </c>
      <c r="D1227" s="483" t="s">
        <v>222</v>
      </c>
      <c r="E1227" s="41" t="s">
        <v>797</v>
      </c>
      <c r="F1227" s="42">
        <v>7707019413816</v>
      </c>
      <c r="G1227">
        <f t="shared" si="61"/>
        <v>1500</v>
      </c>
      <c r="H1227">
        <f t="shared" si="62"/>
        <v>1</v>
      </c>
      <c r="I1227" t="str">
        <f t="shared" si="63"/>
        <v>CLINBAC 300MG- *24 - CLINDAMICINA</v>
      </c>
    </row>
    <row r="1228" spans="1:9">
      <c r="A1228" t="s">
        <v>798</v>
      </c>
      <c r="B1228" s="23">
        <v>1</v>
      </c>
      <c r="C1228" s="51">
        <v>0.19</v>
      </c>
      <c r="D1228" s="446" t="s">
        <v>799</v>
      </c>
      <c r="E1228" s="41" t="s">
        <v>800</v>
      </c>
      <c r="F1228" s="42">
        <v>7707232096186</v>
      </c>
      <c r="G1228">
        <f t="shared" si="61"/>
        <v>26000</v>
      </c>
      <c r="H1228">
        <f t="shared" si="62"/>
        <v>50</v>
      </c>
      <c r="I1228" t="str">
        <f t="shared" si="63"/>
        <v>CLORURO MAGNESIO - NATURAL FRESHLY</v>
      </c>
    </row>
    <row r="1229" spans="1:9">
      <c r="A1229" s="24" t="s">
        <v>801</v>
      </c>
      <c r="B1229" s="30">
        <v>1</v>
      </c>
      <c r="C1229" s="31">
        <v>0.19</v>
      </c>
      <c r="D1229" s="447" t="s">
        <v>802</v>
      </c>
      <c r="E1229" s="8" t="s">
        <v>803</v>
      </c>
      <c r="F1229" s="63">
        <v>7706849113460</v>
      </c>
      <c r="G1229">
        <f t="shared" si="61"/>
        <v>35000</v>
      </c>
      <c r="H1229">
        <f t="shared" si="62"/>
        <v>60</v>
      </c>
      <c r="I1229" t="str">
        <f t="shared" si="63"/>
        <v>CLORURO MAGNESIO *60 TAB - FUNAT</v>
      </c>
    </row>
    <row r="1230" spans="1:9">
      <c r="A1230" s="28" t="s">
        <v>804</v>
      </c>
      <c r="B1230" s="30">
        <v>1</v>
      </c>
      <c r="C1230" s="31">
        <v>0</v>
      </c>
      <c r="D1230" s="447" t="s">
        <v>805</v>
      </c>
      <c r="E1230" s="8" t="s">
        <v>806</v>
      </c>
      <c r="F1230" s="63">
        <v>7707355050393</v>
      </c>
      <c r="G1230">
        <f t="shared" si="61"/>
        <v>62500</v>
      </c>
      <c r="H1230">
        <f t="shared" si="62"/>
        <v>1</v>
      </c>
      <c r="I1230" t="str">
        <f t="shared" si="63"/>
        <v>DESONIDA EMULSION X120ML - SIEGFRIED</v>
      </c>
    </row>
    <row r="1231" spans="1:9">
      <c r="A1231" s="22" t="s">
        <v>807</v>
      </c>
      <c r="B1231" s="23">
        <v>3</v>
      </c>
      <c r="C1231" s="238">
        <v>0</v>
      </c>
      <c r="D1231" s="446" t="s">
        <v>808</v>
      </c>
      <c r="E1231" s="39" t="s">
        <v>809</v>
      </c>
      <c r="F1231" s="42">
        <v>8901175025558</v>
      </c>
      <c r="G1231">
        <f t="shared" si="61"/>
        <v>13000</v>
      </c>
      <c r="H1231">
        <f t="shared" si="62"/>
        <v>10</v>
      </c>
      <c r="I1231" t="str">
        <f t="shared" si="63"/>
        <v>TAMSULOSINA CLORHIDRATO 0,4 MG / OD-TAM 0,4</v>
      </c>
    </row>
    <row r="1232" spans="1:9">
      <c r="A1232" s="69" t="s">
        <v>821</v>
      </c>
      <c r="B1232" s="14">
        <v>4</v>
      </c>
      <c r="C1232" s="136">
        <v>0</v>
      </c>
      <c r="D1232" s="469" t="s">
        <v>250</v>
      </c>
      <c r="E1232" s="13" t="s">
        <v>822</v>
      </c>
      <c r="F1232" s="61">
        <v>7501125132117</v>
      </c>
      <c r="G1232">
        <f t="shared" si="61"/>
        <v>3500</v>
      </c>
      <c r="H1232">
        <f t="shared" si="62"/>
        <v>1</v>
      </c>
      <c r="I1232" t="str">
        <f t="shared" si="63"/>
        <v>SUERO FISIOLÓGICO/ CLORURO SODIO PiSA 100ML/CC</v>
      </c>
    </row>
    <row r="1233" spans="1:9" ht="15" customHeight="1">
      <c r="A1233" t="s">
        <v>823</v>
      </c>
      <c r="B1233" s="23">
        <v>1</v>
      </c>
      <c r="C1233" s="23">
        <v>19</v>
      </c>
      <c r="D1233" s="446" t="s">
        <v>384</v>
      </c>
      <c r="E1233" s="41" t="s">
        <v>824</v>
      </c>
      <c r="F1233" s="42">
        <v>7707336092268</v>
      </c>
      <c r="G1233">
        <f t="shared" si="61"/>
        <v>1000</v>
      </c>
      <c r="H1233">
        <f t="shared" si="62"/>
        <v>1</v>
      </c>
      <c r="I1233" t="str">
        <f t="shared" si="63"/>
        <v>JERINGA 10ML - ZIBOJECT X100</v>
      </c>
    </row>
    <row r="1234" spans="1:9" ht="15">
      <c r="A1234" s="19" t="s">
        <v>833</v>
      </c>
      <c r="B1234" s="37">
        <v>3</v>
      </c>
      <c r="C1234" s="37">
        <v>0</v>
      </c>
      <c r="D1234" s="376" t="s">
        <v>834</v>
      </c>
      <c r="E1234" s="117" t="s">
        <v>835</v>
      </c>
      <c r="F1234" s="115">
        <v>7707019352757</v>
      </c>
      <c r="G1234">
        <f t="shared" si="61"/>
        <v>11000</v>
      </c>
      <c r="H1234">
        <f t="shared" si="62"/>
        <v>14</v>
      </c>
      <c r="I1234" t="str">
        <f t="shared" si="63"/>
        <v>DIZMOPRAZ - LANSOPRAZOL 30MG X28</v>
      </c>
    </row>
    <row r="1235" spans="1:9">
      <c r="A1235" s="452" t="s">
        <v>840</v>
      </c>
      <c r="B1235" s="280">
        <v>2</v>
      </c>
      <c r="C1235" s="281">
        <v>0</v>
      </c>
      <c r="D1235" s="491" t="s">
        <v>509</v>
      </c>
      <c r="E1235" s="452" t="s">
        <v>294</v>
      </c>
      <c r="F1235" s="471">
        <v>7704412169104</v>
      </c>
      <c r="G1235">
        <f t="shared" si="61"/>
        <v>12000</v>
      </c>
      <c r="H1235">
        <f t="shared" si="62"/>
        <v>10</v>
      </c>
      <c r="I1235" t="str">
        <f t="shared" si="63"/>
        <v>ACETAMINOFEN + HIOSCINA N- BOLTIBROMURO / MEMPHIS</v>
      </c>
    </row>
    <row r="1236" spans="1:9">
      <c r="A1236" s="24" t="s">
        <v>842</v>
      </c>
      <c r="B1236" s="30">
        <v>25</v>
      </c>
      <c r="C1236" s="31">
        <v>0.19</v>
      </c>
      <c r="D1236" s="447" t="s">
        <v>384</v>
      </c>
      <c r="E1236" s="39" t="s">
        <v>843</v>
      </c>
      <c r="F1236" s="63">
        <v>7707353303514</v>
      </c>
      <c r="G1236">
        <f t="shared" si="61"/>
        <v>1000</v>
      </c>
      <c r="H1236">
        <f t="shared" si="62"/>
        <v>1</v>
      </c>
      <c r="I1236" t="str">
        <f t="shared" si="63"/>
        <v>ACIDO BORICO *15GR- PROMARQUIN</v>
      </c>
    </row>
    <row r="1237" spans="1:9">
      <c r="A1237" s="24" t="s">
        <v>846</v>
      </c>
      <c r="B1237" s="14">
        <v>1</v>
      </c>
      <c r="C1237" s="105">
        <v>0</v>
      </c>
      <c r="D1237" s="308" t="s">
        <v>847</v>
      </c>
      <c r="E1237" s="8" t="s">
        <v>848</v>
      </c>
      <c r="F1237" s="63">
        <v>7702870071427</v>
      </c>
      <c r="G1237">
        <f t="shared" si="61"/>
        <v>16000</v>
      </c>
      <c r="H1237">
        <f t="shared" si="62"/>
        <v>2</v>
      </c>
      <c r="I1237" t="str">
        <f t="shared" si="63"/>
        <v>POST DAY *8 TAB</v>
      </c>
    </row>
    <row r="1238" spans="1:9">
      <c r="A1238" s="22" t="s">
        <v>855</v>
      </c>
      <c r="B1238" s="23">
        <v>1</v>
      </c>
      <c r="C1238" s="23">
        <v>0</v>
      </c>
      <c r="D1238" s="446" t="s">
        <v>856</v>
      </c>
      <c r="E1238" s="41" t="s">
        <v>857</v>
      </c>
      <c r="F1238" s="42">
        <v>751273776474</v>
      </c>
      <c r="G1238">
        <f t="shared" si="61"/>
        <v>84000</v>
      </c>
      <c r="H1238">
        <f t="shared" si="62"/>
        <v>60</v>
      </c>
      <c r="I1238" t="str">
        <f t="shared" si="63"/>
        <v>GLUCOSAMINA + CONDROITINA x60 tabletas HEALTHY AMERICA</v>
      </c>
    </row>
    <row r="1239" spans="1:9">
      <c r="A1239" t="s">
        <v>864</v>
      </c>
      <c r="B1239" s="23">
        <v>25</v>
      </c>
      <c r="C1239" s="51">
        <v>0.19</v>
      </c>
      <c r="D1239" s="446" t="s">
        <v>384</v>
      </c>
      <c r="E1239" s="41" t="s">
        <v>865</v>
      </c>
      <c r="F1239" s="42">
        <v>7707353305815</v>
      </c>
      <c r="G1239">
        <f t="shared" si="61"/>
        <v>1000</v>
      </c>
      <c r="H1239">
        <f t="shared" si="62"/>
        <v>1</v>
      </c>
      <c r="I1239" t="str">
        <f t="shared" si="63"/>
        <v>MANTECA CACAO CUBO X10GR PROMARQUIM</v>
      </c>
    </row>
    <row r="1240" spans="1:9">
      <c r="A1240" s="22" t="s">
        <v>867</v>
      </c>
      <c r="B1240" s="23">
        <v>1</v>
      </c>
      <c r="C1240" s="23">
        <v>0</v>
      </c>
      <c r="D1240" s="446" t="s">
        <v>59</v>
      </c>
      <c r="E1240" s="39" t="s">
        <v>868</v>
      </c>
      <c r="F1240" s="42">
        <v>7703153024345</v>
      </c>
      <c r="G1240">
        <f t="shared" si="61"/>
        <v>3000</v>
      </c>
      <c r="H1240">
        <f t="shared" si="62"/>
        <v>1</v>
      </c>
      <c r="I1240" t="str">
        <f t="shared" si="63"/>
        <v>TRAMADOL CLORHIDRATO50MG - AMPOLLA X10 FARMIONI</v>
      </c>
    </row>
    <row r="1241" spans="1:9" ht="15">
      <c r="A1241" s="16" t="s">
        <v>870</v>
      </c>
      <c r="B1241" s="17">
        <v>1</v>
      </c>
      <c r="C1241" s="124">
        <v>0.19</v>
      </c>
      <c r="D1241" s="321" t="s">
        <v>871</v>
      </c>
      <c r="E1241" s="73" t="s">
        <v>872</v>
      </c>
      <c r="F1241" s="20">
        <v>7702132011048</v>
      </c>
      <c r="G1241">
        <f t="shared" si="61"/>
        <v>49000</v>
      </c>
      <c r="H1241">
        <f t="shared" si="62"/>
        <v>30</v>
      </c>
      <c r="I1241" t="str">
        <f t="shared" si="63"/>
        <v>CENTRUM SILVER +50 *30</v>
      </c>
    </row>
    <row r="1242" spans="1:9" ht="15">
      <c r="A1242" s="16" t="s">
        <v>873</v>
      </c>
      <c r="B1242" s="17">
        <v>1</v>
      </c>
      <c r="C1242" s="124">
        <v>0.19</v>
      </c>
      <c r="D1242" s="321" t="s">
        <v>874</v>
      </c>
      <c r="E1242" s="73" t="s">
        <v>872</v>
      </c>
      <c r="F1242" s="20">
        <v>7707397798260</v>
      </c>
      <c r="G1242">
        <f t="shared" si="61"/>
        <v>51500</v>
      </c>
      <c r="H1242">
        <f t="shared" si="62"/>
        <v>30</v>
      </c>
      <c r="I1242" t="str">
        <f t="shared" si="63"/>
        <v>CENTRUM WOMEN*30</v>
      </c>
    </row>
    <row r="1243" spans="1:9">
      <c r="A1243" t="s">
        <v>880</v>
      </c>
      <c r="B1243" s="11">
        <v>1</v>
      </c>
      <c r="C1243" s="11">
        <v>0</v>
      </c>
      <c r="D1243" s="483" t="s">
        <v>881</v>
      </c>
      <c r="E1243" s="41" t="s">
        <v>882</v>
      </c>
      <c r="F1243" s="273">
        <v>7803510300201</v>
      </c>
      <c r="G1243">
        <f t="shared" si="61"/>
        <v>82000</v>
      </c>
      <c r="H1243">
        <f t="shared" si="62"/>
        <v>1</v>
      </c>
      <c r="I1243" t="str">
        <f t="shared" si="63"/>
        <v>CIRUELAX JALEA *600GR</v>
      </c>
    </row>
    <row r="1244" spans="1:9">
      <c r="A1244" s="71" t="s">
        <v>885</v>
      </c>
      <c r="B1244" s="14">
        <v>1</v>
      </c>
      <c r="C1244" s="174">
        <v>0</v>
      </c>
      <c r="D1244" s="308" t="s">
        <v>293</v>
      </c>
      <c r="E1244" s="13" t="s">
        <v>886</v>
      </c>
      <c r="F1244" s="61">
        <v>7703454123761</v>
      </c>
      <c r="G1244">
        <f t="shared" si="61"/>
        <v>4000</v>
      </c>
      <c r="H1244">
        <f t="shared" si="62"/>
        <v>1</v>
      </c>
      <c r="I1244" t="str">
        <f t="shared" si="63"/>
        <v>MILPAX NF SUSPENSIÓN ORAL*12 SOBRES</v>
      </c>
    </row>
    <row r="1245" spans="1:9">
      <c r="A1245" t="s">
        <v>890</v>
      </c>
      <c r="B1245" s="11">
        <v>1</v>
      </c>
      <c r="C1245" s="194">
        <v>0</v>
      </c>
      <c r="D1245" s="483" t="s">
        <v>891</v>
      </c>
      <c r="E1245" s="41" t="s">
        <v>892</v>
      </c>
      <c r="F1245" s="42">
        <v>7703153040048</v>
      </c>
      <c r="G1245">
        <f t="shared" si="61"/>
        <v>4500</v>
      </c>
      <c r="H1245">
        <f t="shared" si="62"/>
        <v>4</v>
      </c>
      <c r="I1245" t="str">
        <f t="shared" si="63"/>
        <v>DOLOFEN GRIPA X60 / ACETAMINOFEN 500+ FENILEFRINA 5MG+ CLORFENIRAMINA MALEATO 2MG</v>
      </c>
    </row>
    <row r="1246" spans="1:9">
      <c r="A1246" t="s">
        <v>895</v>
      </c>
      <c r="B1246" s="23">
        <v>6</v>
      </c>
      <c r="C1246" s="51">
        <v>0</v>
      </c>
      <c r="D1246" s="446" t="s">
        <v>834</v>
      </c>
      <c r="E1246" s="39" t="s">
        <v>896</v>
      </c>
      <c r="F1246" s="42">
        <v>8903726266786</v>
      </c>
      <c r="G1246">
        <f t="shared" si="61"/>
        <v>11000</v>
      </c>
      <c r="H1246">
        <f t="shared" si="62"/>
        <v>14</v>
      </c>
      <c r="I1246" t="str">
        <f t="shared" si="63"/>
        <v>LANSOPRAZOL 30MG X14 - LANGENIX HETERO</v>
      </c>
    </row>
    <row r="1247" spans="1:9">
      <c r="A1247" t="s">
        <v>897</v>
      </c>
      <c r="B1247" s="23">
        <v>6</v>
      </c>
      <c r="C1247" s="23">
        <v>0</v>
      </c>
      <c r="D1247" s="446" t="s">
        <v>898</v>
      </c>
      <c r="E1247" s="39" t="s">
        <v>899</v>
      </c>
      <c r="F1247" s="42">
        <v>7703546927468</v>
      </c>
      <c r="G1247">
        <f t="shared" ref="G1247:G1310" si="64">IFERROR(VALUE(SUBSTITUTE(LEFT(LOWER(D1247),FIND("x",LOWER(D1247))-1),",","")),VALUE(SUBSTITUTE(D1247,",","")))</f>
        <v>10000</v>
      </c>
      <c r="H1247">
        <f t="shared" ref="H1247:H1310" si="65">IFERROR(VALUE(MID(LOWER(D1247),FIND("x",LOWER(D1247))+1,20)),1)</f>
        <v>4</v>
      </c>
      <c r="I1247" t="str">
        <f t="shared" si="63"/>
        <v>FLUCONAZOL 200MG X4 - NOVAMED</v>
      </c>
    </row>
    <row r="1248" spans="1:9">
      <c r="A1248" t="s">
        <v>900</v>
      </c>
      <c r="B1248" s="23">
        <v>3</v>
      </c>
      <c r="C1248" s="23">
        <v>0</v>
      </c>
      <c r="D1248" s="446" t="s">
        <v>888</v>
      </c>
      <c r="E1248" s="41" t="s">
        <v>901</v>
      </c>
      <c r="F1248" s="42">
        <v>7703546308762</v>
      </c>
      <c r="G1248">
        <f t="shared" si="64"/>
        <v>37000</v>
      </c>
      <c r="H1248">
        <f t="shared" si="65"/>
        <v>1</v>
      </c>
      <c r="I1248" t="str">
        <f t="shared" si="63"/>
        <v>ALIZAPRIDA GOTAS - SISPRAD 12MG /ML</v>
      </c>
    </row>
    <row r="1249" spans="1:9" ht="15">
      <c r="A1249" s="32" t="s">
        <v>910</v>
      </c>
      <c r="B1249" s="17">
        <v>1</v>
      </c>
      <c r="C1249" s="124">
        <v>0.19</v>
      </c>
      <c r="D1249" s="321" t="s">
        <v>911</v>
      </c>
      <c r="E1249" s="32" t="s">
        <v>912</v>
      </c>
      <c r="F1249" s="20">
        <v>7707282990328</v>
      </c>
      <c r="G1249">
        <f t="shared" si="64"/>
        <v>700</v>
      </c>
      <c r="H1249">
        <f t="shared" si="65"/>
        <v>1</v>
      </c>
      <c r="I1249" t="str">
        <f t="shared" si="63"/>
        <v>JERINGA INSULINA- TAPA GRIS BEGUT</v>
      </c>
    </row>
    <row r="1250" spans="1:9" ht="14.25" customHeight="1">
      <c r="A1250" s="22" t="s">
        <v>919</v>
      </c>
      <c r="B1250" s="11">
        <v>3</v>
      </c>
      <c r="C1250" s="194">
        <v>0</v>
      </c>
      <c r="D1250" s="483" t="s">
        <v>920</v>
      </c>
      <c r="E1250" s="41" t="s">
        <v>921</v>
      </c>
      <c r="F1250" s="273">
        <v>7709990617146</v>
      </c>
      <c r="G1250">
        <f t="shared" si="64"/>
        <v>1000</v>
      </c>
      <c r="H1250">
        <f t="shared" si="65"/>
        <v>1</v>
      </c>
      <c r="I1250" t="str">
        <f t="shared" si="63"/>
        <v>RESPIRIN GRIPA X100 CAPS / ACETAMINOFEN + CAFEINA + FENILEFRINA + CETIRIZINA</v>
      </c>
    </row>
    <row r="1251" spans="1:9" ht="15">
      <c r="A1251" s="19" t="s">
        <v>922</v>
      </c>
      <c r="B1251" s="37">
        <v>6</v>
      </c>
      <c r="C1251" s="37">
        <v>0</v>
      </c>
      <c r="D1251" s="376" t="s">
        <v>718</v>
      </c>
      <c r="E1251" s="117" t="s">
        <v>923</v>
      </c>
      <c r="F1251" s="115">
        <v>7702605352869</v>
      </c>
      <c r="G1251">
        <f t="shared" si="64"/>
        <v>8000</v>
      </c>
      <c r="H1251">
        <f t="shared" si="65"/>
        <v>30</v>
      </c>
      <c r="I1251" t="str">
        <f t="shared" si="63"/>
        <v>CARVEDILOL 6,25 MG GENFAR X30 COMPRIMIDOS</v>
      </c>
    </row>
    <row r="1252" spans="1:9">
      <c r="A1252" s="22" t="s">
        <v>929</v>
      </c>
      <c r="B1252" s="23">
        <v>1</v>
      </c>
      <c r="C1252" s="51">
        <v>0</v>
      </c>
      <c r="D1252" s="446" t="s">
        <v>23</v>
      </c>
      <c r="E1252" s="39" t="s">
        <v>930</v>
      </c>
      <c r="F1252" s="42">
        <v>7707246940055</v>
      </c>
      <c r="G1252">
        <f t="shared" si="64"/>
        <v>15000</v>
      </c>
      <c r="H1252">
        <f t="shared" si="65"/>
        <v>1</v>
      </c>
      <c r="I1252" t="str">
        <f t="shared" si="63"/>
        <v>PURPUCINA GENTAMICINA UNGUENTO OFT X 5G</v>
      </c>
    </row>
    <row r="1253" spans="1:9" ht="15">
      <c r="A1253" s="53" t="s">
        <v>931</v>
      </c>
      <c r="B1253" s="153">
        <v>1</v>
      </c>
      <c r="C1253" s="153">
        <v>0</v>
      </c>
      <c r="D1253" s="375" t="s">
        <v>348</v>
      </c>
      <c r="E1253" s="152" t="s">
        <v>932</v>
      </c>
      <c r="F1253" s="155">
        <v>7702207163948</v>
      </c>
      <c r="G1253">
        <f t="shared" si="64"/>
        <v>36000</v>
      </c>
      <c r="H1253">
        <f t="shared" si="65"/>
        <v>1</v>
      </c>
      <c r="I1253" t="str">
        <f t="shared" si="63"/>
        <v>PRIVATOS JARABE</v>
      </c>
    </row>
    <row r="1254" spans="1:9" ht="15">
      <c r="A1254" s="56" t="s">
        <v>935</v>
      </c>
      <c r="B1254" s="153">
        <v>1</v>
      </c>
      <c r="C1254" s="55">
        <v>0</v>
      </c>
      <c r="D1254" s="375" t="s">
        <v>109</v>
      </c>
      <c r="E1254" s="96" t="s">
        <v>936</v>
      </c>
      <c r="F1254" s="155">
        <v>7702896001897</v>
      </c>
      <c r="G1254">
        <f t="shared" si="64"/>
        <v>10000</v>
      </c>
      <c r="H1254">
        <f t="shared" si="65"/>
        <v>1</v>
      </c>
      <c r="I1254" t="str">
        <f t="shared" si="63"/>
        <v>TIMOLOL GOTAS- PRESTIBLOCK BLASKOV</v>
      </c>
    </row>
    <row r="1255" spans="1:9">
      <c r="A1255" s="13" t="s">
        <v>952</v>
      </c>
      <c r="B1255" s="14">
        <v>1</v>
      </c>
      <c r="C1255" s="14">
        <v>0</v>
      </c>
      <c r="D1255" s="308" t="s">
        <v>953</v>
      </c>
      <c r="E1255" s="13" t="s">
        <v>954</v>
      </c>
      <c r="F1255" s="61">
        <v>7703153024420</v>
      </c>
      <c r="G1255">
        <f t="shared" si="64"/>
        <v>8500</v>
      </c>
      <c r="H1255">
        <f t="shared" si="65"/>
        <v>5</v>
      </c>
      <c r="I1255" t="str">
        <f t="shared" si="63"/>
        <v>CITRAGEL X90 / CITRATO DE CALCIO 1500 MG + VITAMINA D3 200 U.I</v>
      </c>
    </row>
    <row r="1256" spans="1:9">
      <c r="A1256" t="s">
        <v>959</v>
      </c>
      <c r="B1256" s="23">
        <v>2</v>
      </c>
      <c r="C1256" s="51">
        <v>0.19</v>
      </c>
      <c r="D1256" s="446" t="s">
        <v>293</v>
      </c>
      <c r="E1256" s="41" t="s">
        <v>958</v>
      </c>
      <c r="F1256" s="42">
        <v>7709155772147</v>
      </c>
      <c r="G1256">
        <f t="shared" si="64"/>
        <v>4000</v>
      </c>
      <c r="H1256">
        <f t="shared" si="65"/>
        <v>1</v>
      </c>
      <c r="I1256" t="str">
        <f t="shared" si="63"/>
        <v>MANETCA CACAO GLOFARMA CHICLE</v>
      </c>
    </row>
    <row r="1257" spans="1:9">
      <c r="A1257" t="s">
        <v>960</v>
      </c>
      <c r="B1257" s="23">
        <v>2</v>
      </c>
      <c r="C1257" s="51">
        <v>0.19</v>
      </c>
      <c r="D1257" s="446" t="s">
        <v>293</v>
      </c>
      <c r="E1257" s="41" t="s">
        <v>958</v>
      </c>
      <c r="F1257" s="42">
        <v>7709433825251</v>
      </c>
      <c r="G1257">
        <f t="shared" si="64"/>
        <v>4000</v>
      </c>
      <c r="H1257">
        <f t="shared" si="65"/>
        <v>1</v>
      </c>
      <c r="I1257" t="str">
        <f t="shared" si="63"/>
        <v>MANETCA CACAO GLOFARMA UVA</v>
      </c>
    </row>
    <row r="1258" spans="1:9">
      <c r="A1258" t="s">
        <v>961</v>
      </c>
      <c r="B1258" s="23">
        <v>2</v>
      </c>
      <c r="C1258" s="51">
        <v>0.19</v>
      </c>
      <c r="D1258" s="446" t="s">
        <v>293</v>
      </c>
      <c r="E1258" s="41" t="s">
        <v>958</v>
      </c>
      <c r="F1258" s="42">
        <v>7709308069759</v>
      </c>
      <c r="G1258">
        <f t="shared" si="64"/>
        <v>4000</v>
      </c>
      <c r="H1258">
        <f t="shared" si="65"/>
        <v>1</v>
      </c>
      <c r="I1258" t="str">
        <f t="shared" si="63"/>
        <v>MANETCA CACAO GLOFARMA MENTA</v>
      </c>
    </row>
    <row r="1259" spans="1:9">
      <c r="A1259" t="s">
        <v>962</v>
      </c>
      <c r="B1259" s="23">
        <v>2</v>
      </c>
      <c r="C1259" s="51">
        <v>0.19</v>
      </c>
      <c r="D1259" s="446" t="s">
        <v>293</v>
      </c>
      <c r="E1259" s="41" t="s">
        <v>958</v>
      </c>
      <c r="F1259" s="42">
        <v>7709155772161</v>
      </c>
      <c r="G1259">
        <f t="shared" si="64"/>
        <v>4000</v>
      </c>
      <c r="H1259">
        <f t="shared" si="65"/>
        <v>1</v>
      </c>
      <c r="I1259" t="str">
        <f t="shared" si="63"/>
        <v>MANETCA CACAO GLOFARMA VAINILLA</v>
      </c>
    </row>
    <row r="1260" spans="1:9">
      <c r="A1260" t="s">
        <v>963</v>
      </c>
      <c r="B1260" s="23">
        <v>2</v>
      </c>
      <c r="C1260" s="51">
        <v>0.19</v>
      </c>
      <c r="D1260" s="446" t="s">
        <v>293</v>
      </c>
      <c r="E1260" s="41" t="s">
        <v>958</v>
      </c>
      <c r="F1260" s="42">
        <v>7709308069773</v>
      </c>
      <c r="G1260">
        <f t="shared" si="64"/>
        <v>4000</v>
      </c>
      <c r="H1260">
        <f t="shared" si="65"/>
        <v>1</v>
      </c>
      <c r="I1260" t="str">
        <f t="shared" si="63"/>
        <v>MANETCA CACAO GLOFARMA FRESA</v>
      </c>
    </row>
    <row r="1261" spans="1:9">
      <c r="A1261" t="s">
        <v>964</v>
      </c>
      <c r="B1261" s="23">
        <v>2</v>
      </c>
      <c r="C1261" s="51">
        <v>0.19</v>
      </c>
      <c r="D1261" s="446" t="s">
        <v>293</v>
      </c>
      <c r="E1261" s="41" t="s">
        <v>958</v>
      </c>
      <c r="F1261" s="42">
        <v>7709155772123</v>
      </c>
      <c r="G1261">
        <f t="shared" si="64"/>
        <v>4000</v>
      </c>
      <c r="H1261">
        <f t="shared" si="65"/>
        <v>1</v>
      </c>
      <c r="I1261" t="str">
        <f t="shared" si="63"/>
        <v>MANETCA CACAO GLOFARMA CAFÉ</v>
      </c>
    </row>
    <row r="1262" spans="1:9">
      <c r="A1262" s="22" t="s">
        <v>967</v>
      </c>
      <c r="B1262" s="23">
        <v>1</v>
      </c>
      <c r="C1262" s="51">
        <v>0.19</v>
      </c>
      <c r="D1262" s="446" t="s">
        <v>293</v>
      </c>
      <c r="E1262" s="41" t="s">
        <v>968</v>
      </c>
      <c r="F1262" s="42">
        <v>7707278000819</v>
      </c>
      <c r="G1262">
        <f t="shared" si="64"/>
        <v>4000</v>
      </c>
      <c r="H1262">
        <f t="shared" si="65"/>
        <v>1</v>
      </c>
      <c r="I1262" t="str">
        <f t="shared" si="63"/>
        <v>ARNIKA TRADICIONAL / ARNICA + CALENDULA X12 SOBRES</v>
      </c>
    </row>
    <row r="1263" spans="1:9" ht="14.25" customHeight="1">
      <c r="A1263" s="22" t="s">
        <v>972</v>
      </c>
      <c r="B1263" s="23">
        <v>2</v>
      </c>
      <c r="C1263" s="51">
        <v>0</v>
      </c>
      <c r="D1263" s="446" t="s">
        <v>14</v>
      </c>
      <c r="E1263" s="41" t="s">
        <v>970</v>
      </c>
      <c r="F1263" s="42">
        <v>7707035510087</v>
      </c>
      <c r="G1263">
        <f t="shared" si="64"/>
        <v>17000</v>
      </c>
      <c r="H1263">
        <f t="shared" si="65"/>
        <v>1</v>
      </c>
      <c r="I1263" t="str">
        <f t="shared" si="63"/>
        <v>CALYMAG SUSP GUAYABA / HIDROXIDO ALUMINO + HIDROXIDO MAGNESIO + SIMETICONA</v>
      </c>
    </row>
    <row r="1264" spans="1:9" ht="15">
      <c r="A1264" s="73" t="s">
        <v>976</v>
      </c>
      <c r="B1264" s="17">
        <v>10</v>
      </c>
      <c r="C1264" s="124">
        <v>0</v>
      </c>
      <c r="D1264" s="321" t="s">
        <v>109</v>
      </c>
      <c r="E1264" s="73" t="s">
        <v>977</v>
      </c>
      <c r="F1264" s="20">
        <v>7703712033061</v>
      </c>
      <c r="G1264">
        <f t="shared" si="64"/>
        <v>10000</v>
      </c>
      <c r="H1264">
        <f t="shared" si="65"/>
        <v>1</v>
      </c>
      <c r="I1264" t="str">
        <f t="shared" si="63"/>
        <v>METOCLOPRAMIDA - GOTAS - COASPHARMA</v>
      </c>
    </row>
    <row r="1265" spans="1:9">
      <c r="A1265" t="s">
        <v>986</v>
      </c>
      <c r="B1265" s="23">
        <v>1</v>
      </c>
      <c r="C1265" s="23">
        <v>0</v>
      </c>
      <c r="D1265" s="446" t="s">
        <v>35</v>
      </c>
      <c r="E1265" s="39" t="s">
        <v>665</v>
      </c>
      <c r="F1265" s="42">
        <v>7702870004753</v>
      </c>
      <c r="G1265">
        <f t="shared" si="64"/>
        <v>1600</v>
      </c>
      <c r="H1265">
        <f t="shared" si="65"/>
        <v>1</v>
      </c>
      <c r="I1265" t="str">
        <f t="shared" si="63"/>
        <v>LUMBAL X24 TABS / NAPROXENO + CAFEINA</v>
      </c>
    </row>
    <row r="1266" spans="1:9">
      <c r="A1266" s="22" t="s">
        <v>987</v>
      </c>
      <c r="B1266" s="23">
        <v>1</v>
      </c>
      <c r="C1266" s="51">
        <v>0</v>
      </c>
      <c r="D1266" s="446" t="s">
        <v>988</v>
      </c>
      <c r="E1266" s="41" t="s">
        <v>989</v>
      </c>
      <c r="F1266" s="42">
        <v>7703712036338</v>
      </c>
      <c r="G1266">
        <f t="shared" si="64"/>
        <v>2500</v>
      </c>
      <c r="H1266">
        <f t="shared" si="65"/>
        <v>10</v>
      </c>
      <c r="I1266" t="str">
        <f t="shared" si="63"/>
        <v>NAPROXENO250MG - X330 TABS COASPHARMA</v>
      </c>
    </row>
    <row r="1267" spans="1:9">
      <c r="A1267" s="24" t="s">
        <v>993</v>
      </c>
      <c r="B1267" s="30">
        <v>1</v>
      </c>
      <c r="C1267" s="31">
        <v>0</v>
      </c>
      <c r="D1267" s="447" t="s">
        <v>994</v>
      </c>
      <c r="E1267" s="7" t="s">
        <v>273</v>
      </c>
      <c r="F1267" s="63">
        <v>300090422073</v>
      </c>
      <c r="G1267">
        <f t="shared" si="64"/>
        <v>4400</v>
      </c>
      <c r="H1267">
        <f t="shared" si="65"/>
        <v>1</v>
      </c>
      <c r="I1267" t="str">
        <f t="shared" si="63"/>
        <v>MOTRIN 800MG</v>
      </c>
    </row>
    <row r="1268" spans="1:9">
      <c r="A1268" s="24" t="s">
        <v>998</v>
      </c>
      <c r="B1268" s="30">
        <v>2</v>
      </c>
      <c r="C1268" s="31">
        <v>0.19</v>
      </c>
      <c r="D1268" s="447" t="s">
        <v>7</v>
      </c>
      <c r="E1268" s="7" t="s">
        <v>999</v>
      </c>
      <c r="F1268" s="129">
        <v>7701684001576</v>
      </c>
      <c r="G1268">
        <f t="shared" si="64"/>
        <v>7000</v>
      </c>
      <c r="H1268">
        <f t="shared" si="65"/>
        <v>1</v>
      </c>
      <c r="I1268" t="str">
        <f t="shared" si="63"/>
        <v>JABON PILI DE CARBON</v>
      </c>
    </row>
    <row r="1269" spans="1:9">
      <c r="A1269" t="s">
        <v>1006</v>
      </c>
      <c r="B1269" s="23">
        <v>2</v>
      </c>
      <c r="C1269" s="51">
        <v>0.19</v>
      </c>
      <c r="D1269" s="446" t="s">
        <v>1007</v>
      </c>
      <c r="E1269" s="39" t="s">
        <v>1008</v>
      </c>
      <c r="F1269" s="42">
        <v>7701021144829</v>
      </c>
      <c r="G1269">
        <f t="shared" si="64"/>
        <v>23000</v>
      </c>
      <c r="H1269">
        <f t="shared" si="65"/>
        <v>30</v>
      </c>
      <c r="I1269" t="str">
        <f t="shared" si="63"/>
        <v>PAÑAL WINNY E0 *30</v>
      </c>
    </row>
    <row r="1270" spans="1:9">
      <c r="A1270" s="22" t="s">
        <v>266</v>
      </c>
      <c r="B1270" s="23">
        <v>4</v>
      </c>
      <c r="C1270" s="51">
        <v>0</v>
      </c>
      <c r="D1270" s="446" t="s">
        <v>267</v>
      </c>
      <c r="E1270" s="39" t="s">
        <v>268</v>
      </c>
      <c r="F1270" s="42">
        <v>7707186901376</v>
      </c>
      <c r="G1270">
        <f t="shared" si="64"/>
        <v>15000</v>
      </c>
      <c r="H1270">
        <f t="shared" si="65"/>
        <v>6</v>
      </c>
      <c r="I1270" t="str">
        <f t="shared" si="63"/>
        <v>TAXEN - NITAZOXANIDA TABLETAS</v>
      </c>
    </row>
    <row r="1271" spans="1:9">
      <c r="A1271" s="22" t="s">
        <v>1019</v>
      </c>
      <c r="B1271" s="23">
        <v>6</v>
      </c>
      <c r="C1271" s="23">
        <v>0</v>
      </c>
      <c r="D1271" s="446" t="s">
        <v>85</v>
      </c>
      <c r="E1271" s="39" t="s">
        <v>1020</v>
      </c>
      <c r="F1271" s="42">
        <v>7707179560054</v>
      </c>
      <c r="G1271">
        <f t="shared" si="64"/>
        <v>11000</v>
      </c>
      <c r="H1271">
        <f t="shared" si="65"/>
        <v>1</v>
      </c>
      <c r="I1271" t="str">
        <f t="shared" si="63"/>
        <v>PRUEBA EMBARAZO - TESTEMB ESFERO</v>
      </c>
    </row>
    <row r="1272" spans="1:9">
      <c r="A1272" t="s">
        <v>1021</v>
      </c>
      <c r="B1272" s="23">
        <v>1</v>
      </c>
      <c r="C1272" s="23">
        <v>0</v>
      </c>
      <c r="D1272" s="446" t="s">
        <v>1022</v>
      </c>
      <c r="E1272" s="41" t="s">
        <v>1023</v>
      </c>
      <c r="F1272" s="42">
        <v>7704039112101</v>
      </c>
      <c r="G1272">
        <f t="shared" si="64"/>
        <v>21500</v>
      </c>
      <c r="H1272">
        <f t="shared" si="65"/>
        <v>1</v>
      </c>
      <c r="I1272" t="str">
        <f t="shared" si="63"/>
        <v>PASTA GRANUGENA X60GR / OXIDO DE XINC LEGRAND</v>
      </c>
    </row>
    <row r="1273" spans="1:9" ht="15">
      <c r="A1273" s="53" t="s">
        <v>281</v>
      </c>
      <c r="B1273" s="153">
        <v>1</v>
      </c>
      <c r="C1273" s="55">
        <v>0</v>
      </c>
      <c r="D1273" s="375" t="s">
        <v>282</v>
      </c>
      <c r="E1273" s="152" t="s">
        <v>283</v>
      </c>
      <c r="F1273" s="42">
        <v>7703153040611</v>
      </c>
      <c r="G1273">
        <f t="shared" si="64"/>
        <v>7000</v>
      </c>
      <c r="H1273">
        <f t="shared" si="65"/>
        <v>15</v>
      </c>
      <c r="I1273" t="str">
        <f t="shared" si="63"/>
        <v>LEVOTIROXINA 50MG - COLMED</v>
      </c>
    </row>
    <row r="1274" spans="1:9">
      <c r="A1274" s="39" t="s">
        <v>1024</v>
      </c>
      <c r="B1274" s="23">
        <v>6</v>
      </c>
      <c r="C1274" s="51">
        <v>0</v>
      </c>
      <c r="D1274" s="446" t="s">
        <v>408</v>
      </c>
      <c r="E1274" s="39" t="s">
        <v>182</v>
      </c>
      <c r="F1274" s="42">
        <v>7707179990196</v>
      </c>
      <c r="G1274">
        <f t="shared" si="64"/>
        <v>9000</v>
      </c>
      <c r="H1274">
        <f t="shared" si="65"/>
        <v>10</v>
      </c>
      <c r="I1274" t="str">
        <f t="shared" si="63"/>
        <v>INOXICAM 15MG - MELOXICAM 15MG</v>
      </c>
    </row>
    <row r="1275" spans="1:9">
      <c r="A1275" t="s">
        <v>1039</v>
      </c>
      <c r="B1275" s="23">
        <v>4</v>
      </c>
      <c r="C1275" s="23">
        <v>0</v>
      </c>
      <c r="D1275" s="446" t="s">
        <v>1040</v>
      </c>
      <c r="E1275" s="41" t="s">
        <v>107</v>
      </c>
      <c r="F1275" s="42">
        <v>7703153022822</v>
      </c>
      <c r="G1275">
        <f t="shared" si="64"/>
        <v>13000</v>
      </c>
      <c r="H1275">
        <f t="shared" si="65"/>
        <v>30</v>
      </c>
      <c r="I1275" t="str">
        <f t="shared" si="63"/>
        <v>QUETIAPINA 25MG COLMED X30 TABS</v>
      </c>
    </row>
    <row r="1276" spans="1:9">
      <c r="A1276" s="41" t="s">
        <v>1044</v>
      </c>
      <c r="B1276" s="23">
        <v>2</v>
      </c>
      <c r="C1276" s="51">
        <v>0</v>
      </c>
      <c r="D1276" s="446" t="s">
        <v>1045</v>
      </c>
      <c r="E1276" s="41" t="s">
        <v>1046</v>
      </c>
      <c r="F1276" s="42">
        <v>7891010254780</v>
      </c>
      <c r="G1276">
        <f t="shared" si="64"/>
        <v>9500</v>
      </c>
      <c r="H1276">
        <f t="shared" si="65"/>
        <v>8</v>
      </c>
      <c r="I1276" t="str">
        <f t="shared" si="63"/>
        <v>TAMPON OB SUPER *8 UNIDADES</v>
      </c>
    </row>
    <row r="1277" spans="1:9">
      <c r="A1277" s="24" t="s">
        <v>1051</v>
      </c>
      <c r="B1277" s="30">
        <v>1</v>
      </c>
      <c r="C1277" s="31">
        <v>0</v>
      </c>
      <c r="D1277" s="447" t="s">
        <v>1052</v>
      </c>
      <c r="E1277" s="7" t="s">
        <v>1053</v>
      </c>
      <c r="F1277" s="63">
        <v>7703153022693</v>
      </c>
      <c r="G1277">
        <f t="shared" si="64"/>
        <v>105000</v>
      </c>
      <c r="H1277">
        <f t="shared" si="65"/>
        <v>30</v>
      </c>
      <c r="I1277" t="str">
        <f t="shared" si="63"/>
        <v>GESTAVIT DHA</v>
      </c>
    </row>
    <row r="1278" spans="1:9">
      <c r="A1278" t="s">
        <v>1066</v>
      </c>
      <c r="B1278" s="23">
        <v>1</v>
      </c>
      <c r="C1278" s="23">
        <v>0</v>
      </c>
      <c r="D1278" s="446" t="s">
        <v>214</v>
      </c>
      <c r="E1278" s="41" t="s">
        <v>1067</v>
      </c>
      <c r="F1278" s="42">
        <v>7706142305081</v>
      </c>
      <c r="G1278">
        <f t="shared" si="64"/>
        <v>2000</v>
      </c>
      <c r="H1278">
        <f t="shared" si="65"/>
        <v>1</v>
      </c>
      <c r="I1278" t="str">
        <f t="shared" si="63"/>
        <v>BUCOSEPTOL TABLETAS X50</v>
      </c>
    </row>
    <row r="1279" spans="1:9">
      <c r="A1279" t="s">
        <v>1068</v>
      </c>
      <c r="B1279" s="23">
        <v>4</v>
      </c>
      <c r="C1279" s="23">
        <v>0</v>
      </c>
      <c r="D1279" s="446" t="s">
        <v>7</v>
      </c>
      <c r="E1279" s="41" t="s">
        <v>1069</v>
      </c>
      <c r="F1279" s="42">
        <v>7702184020159</v>
      </c>
      <c r="G1279">
        <f t="shared" si="64"/>
        <v>7000</v>
      </c>
      <c r="H1279">
        <f t="shared" si="65"/>
        <v>1</v>
      </c>
      <c r="I1279" t="str">
        <f t="shared" si="63"/>
        <v>SALBUTAMOL JARABE ECAR</v>
      </c>
    </row>
    <row r="1280" spans="1:9">
      <c r="A1280" s="24" t="s">
        <v>1072</v>
      </c>
      <c r="B1280" s="30">
        <v>1</v>
      </c>
      <c r="C1280" s="31">
        <v>0</v>
      </c>
      <c r="D1280" s="447" t="s">
        <v>491</v>
      </c>
      <c r="E1280" s="8" t="s">
        <v>1073</v>
      </c>
      <c r="F1280" s="63">
        <v>7707288826607</v>
      </c>
      <c r="G1280">
        <f t="shared" si="64"/>
        <v>24000</v>
      </c>
      <c r="H1280">
        <f t="shared" si="65"/>
        <v>1</v>
      </c>
      <c r="I1280" t="str">
        <f t="shared" si="63"/>
        <v>FEXODINA - FEXOFENADINA SUSPENSION HUMAX</v>
      </c>
    </row>
    <row r="1281" spans="1:9">
      <c r="A1281" t="s">
        <v>1077</v>
      </c>
      <c r="B1281" s="23">
        <v>3</v>
      </c>
      <c r="C1281" s="51">
        <v>0.19</v>
      </c>
      <c r="D1281" s="446" t="s">
        <v>7</v>
      </c>
      <c r="E1281" s="41" t="s">
        <v>1078</v>
      </c>
      <c r="F1281" s="42">
        <v>7702277558187</v>
      </c>
      <c r="G1281">
        <f t="shared" si="64"/>
        <v>7000</v>
      </c>
      <c r="H1281">
        <f t="shared" si="65"/>
        <v>1</v>
      </c>
      <c r="I1281" t="str">
        <f t="shared" si="63"/>
        <v>MENTICOL AMARILLO ORIGINAL X60ML</v>
      </c>
    </row>
    <row r="1282" spans="1:9">
      <c r="A1282" t="s">
        <v>1079</v>
      </c>
      <c r="B1282" s="23">
        <v>2</v>
      </c>
      <c r="C1282" s="51">
        <v>0.19</v>
      </c>
      <c r="D1282" s="446" t="s">
        <v>1080</v>
      </c>
      <c r="E1282" s="41" t="s">
        <v>1081</v>
      </c>
      <c r="F1282" s="42">
        <v>7702277603139</v>
      </c>
      <c r="G1282">
        <f t="shared" si="64"/>
        <v>13500</v>
      </c>
      <c r="H1282">
        <f t="shared" si="65"/>
        <v>1</v>
      </c>
      <c r="I1282" t="str">
        <f t="shared" si="63"/>
        <v>MENTICOL AMARILLO ORIGINAL X130ML</v>
      </c>
    </row>
    <row r="1283" spans="1:9">
      <c r="A1283" t="s">
        <v>1082</v>
      </c>
      <c r="B1283" s="23">
        <v>1</v>
      </c>
      <c r="C1283" s="51">
        <v>0.19</v>
      </c>
      <c r="D1283" s="446" t="s">
        <v>1022</v>
      </c>
      <c r="E1283" s="41" t="s">
        <v>1083</v>
      </c>
      <c r="F1283" s="42">
        <v>7702277865766</v>
      </c>
      <c r="G1283">
        <f t="shared" si="64"/>
        <v>21500</v>
      </c>
      <c r="H1283">
        <f t="shared" si="65"/>
        <v>1</v>
      </c>
      <c r="I1283" t="str">
        <f t="shared" ref="I1283:I1337" si="66">TRIM(A1283)</f>
        <v>MENTICOL AMARILLO ORIGINAL X250ML</v>
      </c>
    </row>
    <row r="1284" spans="1:9">
      <c r="A1284" t="s">
        <v>1084</v>
      </c>
      <c r="B1284" s="23">
        <v>3</v>
      </c>
      <c r="C1284" s="23">
        <v>0</v>
      </c>
      <c r="D1284" s="446" t="s">
        <v>353</v>
      </c>
      <c r="E1284" s="41" t="s">
        <v>1085</v>
      </c>
      <c r="F1284" s="42">
        <v>7706440000695</v>
      </c>
      <c r="G1284">
        <f t="shared" si="64"/>
        <v>32000</v>
      </c>
      <c r="H1284">
        <f t="shared" si="65"/>
        <v>30</v>
      </c>
      <c r="I1284" t="str">
        <f t="shared" si="66"/>
        <v>NEURO 15 TABLETAS - X30</v>
      </c>
    </row>
    <row r="1285" spans="1:9">
      <c r="A1285" t="s">
        <v>1093</v>
      </c>
      <c r="B1285" s="23">
        <v>1</v>
      </c>
      <c r="C1285" s="23">
        <v>0</v>
      </c>
      <c r="D1285" s="446" t="s">
        <v>318</v>
      </c>
      <c r="E1285" s="41" t="s">
        <v>1094</v>
      </c>
      <c r="F1285" s="42">
        <v>7709137132273</v>
      </c>
      <c r="G1285">
        <f t="shared" si="64"/>
        <v>8500</v>
      </c>
      <c r="H1285">
        <f t="shared" si="65"/>
        <v>1</v>
      </c>
      <c r="I1285" t="str">
        <f t="shared" si="66"/>
        <v>PROCILUD 2D - LACTOBACILLUS X10</v>
      </c>
    </row>
    <row r="1286" spans="1:9">
      <c r="A1286" t="s">
        <v>1098</v>
      </c>
      <c r="B1286" s="23">
        <v>2</v>
      </c>
      <c r="C1286" s="51">
        <v>0.19</v>
      </c>
      <c r="D1286" s="446" t="s">
        <v>298</v>
      </c>
      <c r="E1286" s="41" t="s">
        <v>1099</v>
      </c>
      <c r="F1286" s="42">
        <v>16975628331939</v>
      </c>
      <c r="G1286">
        <f t="shared" si="64"/>
        <v>800</v>
      </c>
      <c r="H1286">
        <f t="shared" si="65"/>
        <v>1</v>
      </c>
      <c r="I1286" t="str">
        <f t="shared" si="66"/>
        <v>GASA NO TEJIDA ESTERIL 3X3 CM</v>
      </c>
    </row>
    <row r="1287" spans="1:9">
      <c r="A1287" s="22" t="s">
        <v>1100</v>
      </c>
      <c r="B1287" s="23">
        <v>1</v>
      </c>
      <c r="C1287" s="51">
        <v>0</v>
      </c>
      <c r="D1287" s="446" t="s">
        <v>80</v>
      </c>
      <c r="E1287" s="39" t="s">
        <v>1101</v>
      </c>
      <c r="F1287" s="42">
        <v>7705366100045</v>
      </c>
      <c r="G1287">
        <f t="shared" si="64"/>
        <v>6000</v>
      </c>
      <c r="H1287">
        <f t="shared" si="65"/>
        <v>1</v>
      </c>
      <c r="I1287" t="str">
        <f t="shared" si="66"/>
        <v>AGUA ESTERIL X500ML - CORPAUL</v>
      </c>
    </row>
    <row r="1288" spans="1:9" ht="15">
      <c r="A1288" s="43" t="s">
        <v>1105</v>
      </c>
      <c r="B1288" s="37">
        <v>20</v>
      </c>
      <c r="C1288" s="429">
        <v>0</v>
      </c>
      <c r="D1288" s="376" t="s">
        <v>1106</v>
      </c>
      <c r="E1288" s="117" t="s">
        <v>1107</v>
      </c>
      <c r="F1288" s="115">
        <v>7707019384338</v>
      </c>
      <c r="G1288">
        <f t="shared" si="64"/>
        <v>15000</v>
      </c>
      <c r="H1288">
        <f t="shared" si="65"/>
        <v>15</v>
      </c>
      <c r="I1288" t="str">
        <f t="shared" si="66"/>
        <v>ESOMEPRAZOL 40MG - DIEXSOPRAZOL X30 CAPSULAS</v>
      </c>
    </row>
    <row r="1289" spans="1:9" ht="15">
      <c r="A1289" s="130" t="s">
        <v>1110</v>
      </c>
      <c r="B1289" s="132">
        <v>3</v>
      </c>
      <c r="C1289" s="510">
        <v>0</v>
      </c>
      <c r="D1289" s="492" t="s">
        <v>1111</v>
      </c>
      <c r="E1289" s="214" t="s">
        <v>1112</v>
      </c>
      <c r="F1289" s="478">
        <v>7703038067597</v>
      </c>
      <c r="G1289">
        <f t="shared" si="64"/>
        <v>3000</v>
      </c>
      <c r="H1289">
        <f t="shared" si="65"/>
        <v>10</v>
      </c>
      <c r="I1289" t="str">
        <f t="shared" si="66"/>
        <v>ATORVASTATINA 20MG - LAPROFF X50 TABS</v>
      </c>
    </row>
    <row r="1290" spans="1:9" ht="15">
      <c r="A1290" s="53" t="s">
        <v>1123</v>
      </c>
      <c r="B1290" s="153">
        <v>2</v>
      </c>
      <c r="C1290" s="293">
        <v>0.19</v>
      </c>
      <c r="D1290" s="375" t="s">
        <v>118</v>
      </c>
      <c r="E1290" s="152" t="s">
        <v>1124</v>
      </c>
      <c r="F1290" s="155">
        <v>7702277733447</v>
      </c>
      <c r="G1290">
        <f t="shared" si="64"/>
        <v>13000</v>
      </c>
      <c r="H1290">
        <f t="shared" si="65"/>
        <v>1</v>
      </c>
      <c r="I1290" t="str">
        <f t="shared" si="66"/>
        <v>ARRURRU AZUL X60ML</v>
      </c>
    </row>
    <row r="1291" spans="1:9">
      <c r="A1291" t="s">
        <v>1134</v>
      </c>
      <c r="B1291" s="23">
        <v>3</v>
      </c>
      <c r="C1291" s="23">
        <v>0</v>
      </c>
      <c r="D1291" s="446" t="s">
        <v>366</v>
      </c>
      <c r="E1291" s="39" t="s">
        <v>1135</v>
      </c>
      <c r="F1291" s="42">
        <v>7703153040970</v>
      </c>
      <c r="G1291">
        <f t="shared" si="64"/>
        <v>5000</v>
      </c>
      <c r="H1291">
        <f t="shared" si="65"/>
        <v>1</v>
      </c>
      <c r="I1291" t="str">
        <f t="shared" si="66"/>
        <v>DEXAMETASONA 8MG /2ML AMP - X10 COLMED</v>
      </c>
    </row>
    <row r="1292" spans="1:9">
      <c r="A1292" t="s">
        <v>1137</v>
      </c>
      <c r="B1292" s="23">
        <v>1</v>
      </c>
      <c r="C1292" s="23">
        <v>0</v>
      </c>
      <c r="D1292" s="446" t="s">
        <v>1138</v>
      </c>
      <c r="E1292" s="41" t="s">
        <v>1139</v>
      </c>
      <c r="F1292" s="42">
        <v>7707288823804</v>
      </c>
      <c r="G1292">
        <f t="shared" si="64"/>
        <v>18500</v>
      </c>
      <c r="H1292">
        <f t="shared" si="65"/>
        <v>10</v>
      </c>
      <c r="I1292" t="str">
        <f t="shared" si="66"/>
        <v>IMIPRAMINA 10MG X20 - HUMAX</v>
      </c>
    </row>
    <row r="1293" spans="1:9" ht="15">
      <c r="A1293" s="53" t="s">
        <v>295</v>
      </c>
      <c r="B1293" s="153">
        <v>1</v>
      </c>
      <c r="C1293" s="55">
        <v>0</v>
      </c>
      <c r="D1293" s="375" t="s">
        <v>227</v>
      </c>
      <c r="E1293" s="152" t="s">
        <v>296</v>
      </c>
      <c r="F1293" s="155">
        <v>7706569000439</v>
      </c>
      <c r="G1293">
        <f t="shared" si="64"/>
        <v>8000</v>
      </c>
      <c r="H1293">
        <f t="shared" si="65"/>
        <v>10</v>
      </c>
      <c r="I1293" t="str">
        <f t="shared" si="66"/>
        <v>DICLOXACILINA 500MG - AG X50 CAPS</v>
      </c>
    </row>
    <row r="1294" spans="1:9">
      <c r="A1294" t="s">
        <v>1158</v>
      </c>
      <c r="B1294" s="23">
        <v>1</v>
      </c>
      <c r="C1294" s="51">
        <v>0.19</v>
      </c>
      <c r="D1294" s="446" t="s">
        <v>1159</v>
      </c>
      <c r="E1294" s="41" t="s">
        <v>1160</v>
      </c>
      <c r="F1294" s="42">
        <v>7707056202015</v>
      </c>
      <c r="G1294">
        <f t="shared" si="64"/>
        <v>54000</v>
      </c>
      <c r="H1294">
        <f t="shared" si="65"/>
        <v>30</v>
      </c>
      <c r="I1294" t="str">
        <f t="shared" si="66"/>
        <v>VITACEREBRINA *30 TABS</v>
      </c>
    </row>
    <row r="1295" spans="1:9">
      <c r="A1295" s="22" t="s">
        <v>1161</v>
      </c>
      <c r="B1295" s="23">
        <v>1</v>
      </c>
      <c r="C1295" s="51">
        <v>0.19</v>
      </c>
      <c r="D1295" s="446" t="s">
        <v>68</v>
      </c>
      <c r="E1295" s="39" t="s">
        <v>1162</v>
      </c>
      <c r="F1295" s="42">
        <v>650240011832</v>
      </c>
      <c r="G1295">
        <f t="shared" si="64"/>
        <v>39000</v>
      </c>
      <c r="H1295">
        <f t="shared" si="65"/>
        <v>1</v>
      </c>
      <c r="I1295" t="str">
        <f t="shared" si="66"/>
        <v>TIO NACHO ACLARANTE / JALEA REAL + MANZANILLA X415ML</v>
      </c>
    </row>
    <row r="1296" spans="1:9">
      <c r="A1296" t="s">
        <v>1167</v>
      </c>
      <c r="B1296" s="23">
        <v>1</v>
      </c>
      <c r="C1296" s="238">
        <v>0</v>
      </c>
      <c r="D1296" s="446" t="s">
        <v>353</v>
      </c>
      <c r="E1296" s="41" t="s">
        <v>1168</v>
      </c>
      <c r="F1296" s="42">
        <v>7705959140014</v>
      </c>
      <c r="G1296">
        <f t="shared" si="64"/>
        <v>32000</v>
      </c>
      <c r="H1296">
        <f t="shared" si="65"/>
        <v>30</v>
      </c>
      <c r="I1296" t="str">
        <f t="shared" si="66"/>
        <v>CARVEDILOL 25MG- GENFAR</v>
      </c>
    </row>
    <row r="1297" spans="1:9">
      <c r="A1297" s="141" t="s">
        <v>387</v>
      </c>
      <c r="B1297" s="147">
        <v>2</v>
      </c>
      <c r="C1297" s="234">
        <v>0</v>
      </c>
      <c r="D1297" s="485" t="s">
        <v>355</v>
      </c>
      <c r="E1297" s="159" t="s">
        <v>1178</v>
      </c>
      <c r="F1297" s="42">
        <v>7702026149567</v>
      </c>
      <c r="G1297">
        <f t="shared" si="64"/>
        <v>10000</v>
      </c>
      <c r="H1297">
        <f t="shared" si="65"/>
        <v>10</v>
      </c>
      <c r="I1297" t="str">
        <f t="shared" si="66"/>
        <v>TOALLAS NOSOTRAS BUENAS NOCHES X10</v>
      </c>
    </row>
    <row r="1298" spans="1:9" ht="15">
      <c r="A1298" s="117" t="s">
        <v>1179</v>
      </c>
      <c r="B1298" s="37">
        <v>10</v>
      </c>
      <c r="C1298" s="37">
        <v>0</v>
      </c>
      <c r="D1298" s="376" t="s">
        <v>1180</v>
      </c>
      <c r="E1298" s="112" t="s">
        <v>1181</v>
      </c>
      <c r="F1298" s="115">
        <v>7707019337112</v>
      </c>
      <c r="G1298">
        <f t="shared" si="64"/>
        <v>6500</v>
      </c>
      <c r="H1298">
        <f t="shared" si="65"/>
        <v>10</v>
      </c>
      <c r="I1298" t="str">
        <f t="shared" si="66"/>
        <v>MELOXICAM 15MG / MEXICAM X10 TABS</v>
      </c>
    </row>
    <row r="1299" spans="1:9">
      <c r="A1299" s="28" t="s">
        <v>1200</v>
      </c>
      <c r="B1299" s="30">
        <v>2</v>
      </c>
      <c r="C1299" s="31">
        <v>0</v>
      </c>
      <c r="D1299" s="447" t="s">
        <v>109</v>
      </c>
      <c r="E1299" s="8" t="s">
        <v>1201</v>
      </c>
      <c r="F1299" s="63">
        <v>7702184020333</v>
      </c>
      <c r="G1299">
        <f t="shared" si="64"/>
        <v>10000</v>
      </c>
      <c r="H1299">
        <f t="shared" si="65"/>
        <v>1</v>
      </c>
      <c r="I1299" t="str">
        <f t="shared" si="66"/>
        <v>BACTRODERM BUCOFARINGEO - YODO POVIDONA BUCAL</v>
      </c>
    </row>
    <row r="1300" spans="1:9">
      <c r="A1300" t="s">
        <v>1214</v>
      </c>
      <c r="B1300" s="23">
        <v>1</v>
      </c>
      <c r="C1300" s="51">
        <v>0</v>
      </c>
      <c r="D1300" s="446" t="s">
        <v>652</v>
      </c>
      <c r="E1300" s="41" t="s">
        <v>653</v>
      </c>
      <c r="F1300" s="42">
        <v>7703038873167</v>
      </c>
      <c r="G1300">
        <f t="shared" si="64"/>
        <v>14000</v>
      </c>
      <c r="H1300">
        <f t="shared" si="65"/>
        <v>10</v>
      </c>
      <c r="I1300" t="str">
        <f t="shared" si="66"/>
        <v>ESOMEPRAZOL 40MG LAPROFF X100 TABLETAS ORALES</v>
      </c>
    </row>
    <row r="1301" spans="1:9" ht="28.5">
      <c r="A1301" t="s">
        <v>1217</v>
      </c>
      <c r="B1301" s="23">
        <v>1</v>
      </c>
      <c r="C1301" s="23">
        <v>0</v>
      </c>
      <c r="D1301" s="446" t="s">
        <v>80</v>
      </c>
      <c r="E1301" s="41" t="s">
        <v>1218</v>
      </c>
      <c r="F1301" s="42">
        <v>7506339350890</v>
      </c>
      <c r="G1301">
        <f t="shared" si="64"/>
        <v>6000</v>
      </c>
      <c r="H1301">
        <f t="shared" si="65"/>
        <v>1</v>
      </c>
      <c r="I1301" t="str">
        <f t="shared" si="66"/>
        <v>METAMUCIL POLVO SOBRES X10</v>
      </c>
    </row>
    <row r="1302" spans="1:9">
      <c r="A1302" t="s">
        <v>1219</v>
      </c>
      <c r="B1302" s="23">
        <v>1</v>
      </c>
      <c r="C1302" s="23">
        <v>0</v>
      </c>
      <c r="D1302" s="446" t="s">
        <v>59</v>
      </c>
      <c r="E1302" s="41" t="s">
        <v>573</v>
      </c>
      <c r="F1302" s="42">
        <v>7702184012093</v>
      </c>
      <c r="G1302">
        <f t="shared" si="64"/>
        <v>3000</v>
      </c>
      <c r="H1302">
        <f t="shared" si="65"/>
        <v>1</v>
      </c>
      <c r="I1302" t="str">
        <f t="shared" si="66"/>
        <v>RIFAXIMINA 200MG X14 TABLETAS</v>
      </c>
    </row>
    <row r="1303" spans="1:9">
      <c r="A1303" t="s">
        <v>1238</v>
      </c>
      <c r="B1303" s="23">
        <v>1</v>
      </c>
      <c r="C1303" s="51">
        <v>0.19</v>
      </c>
      <c r="D1303" s="446" t="s">
        <v>348</v>
      </c>
      <c r="E1303" s="41" t="s">
        <v>1162</v>
      </c>
      <c r="F1303" s="42">
        <v>650240062063</v>
      </c>
      <c r="G1303">
        <f t="shared" si="64"/>
        <v>36000</v>
      </c>
      <c r="H1303">
        <f t="shared" si="65"/>
        <v>1</v>
      </c>
      <c r="I1303" t="str">
        <f t="shared" si="66"/>
        <v>TIO NACHO SHAMPOO ANTICANAS - HENA EGIPCIA</v>
      </c>
    </row>
    <row r="1304" spans="1:9">
      <c r="A1304" t="s">
        <v>1245</v>
      </c>
      <c r="B1304" s="23">
        <v>1</v>
      </c>
      <c r="C1304" s="23">
        <v>0</v>
      </c>
      <c r="D1304" s="446" t="s">
        <v>10</v>
      </c>
      <c r="E1304" s="41" t="s">
        <v>107</v>
      </c>
      <c r="F1304" s="42">
        <v>7703258113340</v>
      </c>
      <c r="G1304">
        <f t="shared" si="64"/>
        <v>8000</v>
      </c>
      <c r="H1304">
        <f t="shared" si="65"/>
        <v>1</v>
      </c>
      <c r="I1304" t="str">
        <f t="shared" si="66"/>
        <v>SINALGEN MAX TABLETAS</v>
      </c>
    </row>
    <row r="1305" spans="1:9">
      <c r="A1305" s="12" t="s">
        <v>1249</v>
      </c>
      <c r="B1305" s="14">
        <v>1</v>
      </c>
      <c r="C1305" s="14">
        <v>0</v>
      </c>
      <c r="D1305" s="308" t="s">
        <v>32</v>
      </c>
      <c r="E1305" s="12" t="s">
        <v>639</v>
      </c>
      <c r="F1305" s="61">
        <v>7701684000715</v>
      </c>
      <c r="G1305">
        <f t="shared" si="64"/>
        <v>12000</v>
      </c>
      <c r="H1305">
        <f t="shared" si="65"/>
        <v>1</v>
      </c>
      <c r="I1305" t="str">
        <f t="shared" si="66"/>
        <v>ALMIPRO UNGÜENTO *30GR</v>
      </c>
    </row>
    <row r="1306" spans="1:9">
      <c r="A1306" s="24" t="s">
        <v>1266</v>
      </c>
      <c r="B1306" s="30">
        <v>1</v>
      </c>
      <c r="C1306" s="105">
        <v>0.19</v>
      </c>
      <c r="D1306" s="447" t="s">
        <v>1267</v>
      </c>
      <c r="E1306" s="7" t="s">
        <v>1268</v>
      </c>
      <c r="F1306" s="63">
        <v>7707280395095</v>
      </c>
      <c r="G1306">
        <f t="shared" si="64"/>
        <v>6000</v>
      </c>
      <c r="H1306">
        <f t="shared" si="65"/>
        <v>1</v>
      </c>
      <c r="I1306" t="str">
        <f t="shared" si="66"/>
        <v>CERA PARA BRACKETS ZEN DENT X15 PACKS</v>
      </c>
    </row>
    <row r="1307" spans="1:9" ht="15">
      <c r="A1307" s="53" t="s">
        <v>37</v>
      </c>
      <c r="B1307" s="153">
        <v>1</v>
      </c>
      <c r="C1307" s="55">
        <v>0.19</v>
      </c>
      <c r="D1307" s="375" t="s">
        <v>38</v>
      </c>
      <c r="E1307" s="152" t="s">
        <v>39</v>
      </c>
      <c r="F1307" s="155">
        <v>7702277244271</v>
      </c>
      <c r="G1307">
        <f t="shared" si="64"/>
        <v>9000</v>
      </c>
      <c r="H1307">
        <f t="shared" si="65"/>
        <v>1</v>
      </c>
      <c r="I1307" t="str">
        <f t="shared" si="66"/>
        <v>ARRURRU ROSADA 30ML</v>
      </c>
    </row>
    <row r="1308" spans="1:9">
      <c r="A1308" t="s">
        <v>49</v>
      </c>
      <c r="B1308" s="23">
        <v>3</v>
      </c>
      <c r="C1308" s="23">
        <v>0</v>
      </c>
      <c r="D1308" s="446" t="s">
        <v>50</v>
      </c>
      <c r="E1308" s="39" t="s">
        <v>51</v>
      </c>
      <c r="F1308" s="42">
        <v>7707019365436</v>
      </c>
      <c r="G1308">
        <f t="shared" si="64"/>
        <v>29000</v>
      </c>
      <c r="H1308">
        <f t="shared" si="65"/>
        <v>15</v>
      </c>
      <c r="I1308" t="str">
        <f t="shared" si="66"/>
        <v>ETORICOXIB 20MG X15 TABLETAS - BIOQUIFAR</v>
      </c>
    </row>
    <row r="1309" spans="1:9">
      <c r="A1309" t="s">
        <v>82</v>
      </c>
      <c r="B1309" s="23">
        <v>1</v>
      </c>
      <c r="C1309" s="23">
        <v>0</v>
      </c>
      <c r="D1309" s="446" t="s">
        <v>29</v>
      </c>
      <c r="E1309" s="41" t="s">
        <v>83</v>
      </c>
      <c r="F1309" s="42">
        <v>7709798683312</v>
      </c>
      <c r="G1309">
        <f t="shared" si="64"/>
        <v>15000</v>
      </c>
      <c r="H1309">
        <f t="shared" si="65"/>
        <v>10</v>
      </c>
      <c r="I1309" t="str">
        <f t="shared" si="66"/>
        <v>BALANCE FORTE / ACETAMINOFEN + CAFEINA 325/65MG</v>
      </c>
    </row>
    <row r="1310" spans="1:9" ht="15">
      <c r="A1310" s="43" t="s">
        <v>108</v>
      </c>
      <c r="B1310" s="37">
        <v>4</v>
      </c>
      <c r="C1310" s="37">
        <v>0</v>
      </c>
      <c r="D1310" s="376" t="s">
        <v>109</v>
      </c>
      <c r="E1310" s="112" t="s">
        <v>110</v>
      </c>
      <c r="F1310" s="115">
        <v>7703712036529</v>
      </c>
      <c r="G1310">
        <f t="shared" si="64"/>
        <v>10000</v>
      </c>
      <c r="H1310">
        <f t="shared" si="65"/>
        <v>1</v>
      </c>
      <c r="I1310" t="str">
        <f t="shared" si="66"/>
        <v>BETAMETASONA CREMA 0,05% CREMA X40GR - COASPHARMA</v>
      </c>
    </row>
    <row r="1311" spans="1:9">
      <c r="A1311" s="22" t="s">
        <v>135</v>
      </c>
      <c r="B1311" s="23">
        <v>2</v>
      </c>
      <c r="C1311" s="51">
        <v>0.19</v>
      </c>
      <c r="D1311" s="446" t="s">
        <v>38</v>
      </c>
      <c r="E1311" s="41" t="s">
        <v>136</v>
      </c>
      <c r="F1311" s="42">
        <v>7707346260398</v>
      </c>
      <c r="G1311">
        <f t="shared" ref="G1311:G1337" si="67">IFERROR(VALUE(SUBSTITUTE(LEFT(LOWER(D1311),FIND("x",LOWER(D1311))-1),",","")),VALUE(SUBSTITUTE(D1311,",","")))</f>
        <v>9000</v>
      </c>
      <c r="H1311">
        <f t="shared" ref="H1311:H1337" si="68">IFERROR(VALUE(MID(LOWER(D1311),FIND("x",LOWER(D1311))+1,20)),1)</f>
        <v>1</v>
      </c>
      <c r="I1311" t="str">
        <f t="shared" si="66"/>
        <v>INHALOCAMARA ADULTO- RESPIRANDO MEJOR</v>
      </c>
    </row>
    <row r="1312" spans="1:9">
      <c r="A1312" s="22" t="s">
        <v>157</v>
      </c>
      <c r="B1312" s="23">
        <v>2</v>
      </c>
      <c r="C1312" s="51">
        <v>0</v>
      </c>
      <c r="D1312" s="446" t="s">
        <v>158</v>
      </c>
      <c r="E1312" s="39" t="s">
        <v>159</v>
      </c>
      <c r="F1312" s="42">
        <v>7707263003986</v>
      </c>
      <c r="G1312">
        <f t="shared" si="67"/>
        <v>22000</v>
      </c>
      <c r="H1312">
        <f t="shared" si="68"/>
        <v>10</v>
      </c>
      <c r="I1312" t="str">
        <f t="shared" si="66"/>
        <v>O.K.A.P - TRAMADOL CLORHIDRATO 37,5MG + ACETAMINOFEN 325MG</v>
      </c>
    </row>
    <row r="1313" spans="1:9" ht="15">
      <c r="A1313" s="19" t="s">
        <v>166</v>
      </c>
      <c r="B1313" s="37">
        <v>2</v>
      </c>
      <c r="C1313" s="114">
        <v>0</v>
      </c>
      <c r="D1313" s="489" t="s">
        <v>167</v>
      </c>
      <c r="E1313" s="112" t="s">
        <v>168</v>
      </c>
      <c r="F1313" s="115">
        <v>7702057011994</v>
      </c>
      <c r="G1313">
        <f t="shared" si="67"/>
        <v>275000</v>
      </c>
      <c r="H1313">
        <f t="shared" si="68"/>
        <v>1</v>
      </c>
      <c r="I1313" t="str">
        <f t="shared" si="66"/>
        <v>TRAVAD TECNOQUIMICAS - RECTAL X133ML</v>
      </c>
    </row>
    <row r="1314" spans="1:9">
      <c r="A1314" s="64" t="s">
        <v>176</v>
      </c>
      <c r="B1314" s="102">
        <v>1</v>
      </c>
      <c r="C1314" s="101">
        <v>0.19</v>
      </c>
      <c r="D1314" s="443" t="s">
        <v>68</v>
      </c>
      <c r="E1314" s="64" t="s">
        <v>177</v>
      </c>
      <c r="F1314" s="103">
        <v>7891024179925</v>
      </c>
      <c r="G1314">
        <f t="shared" si="67"/>
        <v>39000</v>
      </c>
      <c r="H1314">
        <f t="shared" si="68"/>
        <v>1</v>
      </c>
      <c r="I1314" t="str">
        <f t="shared" si="66"/>
        <v>PERIOGARD ENJUAGUE COLGATE</v>
      </c>
    </row>
    <row r="1315" spans="1:9">
      <c r="A1315" s="22" t="s">
        <v>195</v>
      </c>
      <c r="B1315" s="23">
        <v>2</v>
      </c>
      <c r="C1315" s="51">
        <v>0</v>
      </c>
      <c r="D1315" s="446" t="s">
        <v>26</v>
      </c>
      <c r="E1315" s="39" t="s">
        <v>196</v>
      </c>
      <c r="F1315" s="42">
        <v>7707019457247</v>
      </c>
      <c r="G1315">
        <f t="shared" si="67"/>
        <v>30000</v>
      </c>
      <c r="H1315">
        <f t="shared" si="68"/>
        <v>1</v>
      </c>
      <c r="I1315" t="str">
        <f t="shared" si="66"/>
        <v>ALGINACID SUSP</v>
      </c>
    </row>
    <row r="1316" spans="1:9" ht="15">
      <c r="A1316" s="49" t="s">
        <v>215</v>
      </c>
      <c r="B1316" s="409">
        <v>2</v>
      </c>
      <c r="C1316" s="410">
        <v>0</v>
      </c>
      <c r="D1316" s="474" t="s">
        <v>10</v>
      </c>
      <c r="E1316" s="92" t="s">
        <v>216</v>
      </c>
      <c r="F1316" s="490">
        <v>7702605101825</v>
      </c>
      <c r="G1316">
        <f t="shared" si="67"/>
        <v>8000</v>
      </c>
      <c r="H1316">
        <f t="shared" si="68"/>
        <v>1</v>
      </c>
      <c r="I1316" t="str">
        <f t="shared" si="66"/>
        <v>KETOPROFENO X6 AMPOLLAS - GENFAR</v>
      </c>
    </row>
    <row r="1317" spans="1:9">
      <c r="A1317" t="s">
        <v>219</v>
      </c>
      <c r="B1317" s="23">
        <v>2</v>
      </c>
      <c r="C1317" s="23">
        <v>0</v>
      </c>
      <c r="D1317" s="446" t="s">
        <v>123</v>
      </c>
      <c r="E1317" s="39" t="s">
        <v>220</v>
      </c>
      <c r="F1317" s="42">
        <v>7703153020286</v>
      </c>
      <c r="G1317">
        <f t="shared" si="67"/>
        <v>16000</v>
      </c>
      <c r="H1317">
        <f t="shared" si="68"/>
        <v>10</v>
      </c>
      <c r="I1317" t="str">
        <f t="shared" si="66"/>
        <v>DICLOFENACO + HIDROXIDO ALUMINIO CAPS X10</v>
      </c>
    </row>
    <row r="1318" spans="1:9" ht="15">
      <c r="A1318" s="76" t="s">
        <v>237</v>
      </c>
      <c r="B1318" s="36">
        <v>1</v>
      </c>
      <c r="C1318" s="164">
        <v>0</v>
      </c>
      <c r="D1318" s="378" t="s">
        <v>238</v>
      </c>
      <c r="E1318" s="76" t="s">
        <v>239</v>
      </c>
      <c r="F1318" s="46">
        <v>7703038754541</v>
      </c>
      <c r="G1318">
        <f t="shared" si="67"/>
        <v>6000</v>
      </c>
      <c r="H1318">
        <f t="shared" si="68"/>
        <v>3</v>
      </c>
      <c r="I1318" t="str">
        <f t="shared" si="66"/>
        <v>AZITROMICINA LAPROFF X30 TABLETAS</v>
      </c>
    </row>
    <row r="1319" spans="1:9">
      <c r="A1319" t="s">
        <v>274</v>
      </c>
      <c r="B1319" s="23">
        <v>3</v>
      </c>
      <c r="C1319" s="23">
        <v>0</v>
      </c>
      <c r="D1319" s="446" t="s">
        <v>53</v>
      </c>
      <c r="E1319" s="41" t="s">
        <v>107</v>
      </c>
      <c r="F1319" s="42">
        <v>7703712030855</v>
      </c>
      <c r="G1319">
        <f t="shared" si="67"/>
        <v>1500</v>
      </c>
      <c r="H1319">
        <f t="shared" si="68"/>
        <v>10</v>
      </c>
      <c r="I1319" t="str">
        <f t="shared" si="66"/>
        <v>GLIBENCLAMIDA TABLETAS X30</v>
      </c>
    </row>
    <row r="1320" spans="1:9">
      <c r="A1320" t="s">
        <v>300</v>
      </c>
      <c r="B1320" s="23">
        <v>1</v>
      </c>
      <c r="C1320" s="23">
        <v>0</v>
      </c>
      <c r="D1320" s="446" t="s">
        <v>301</v>
      </c>
      <c r="E1320" s="41" t="s">
        <v>302</v>
      </c>
      <c r="F1320" s="42">
        <v>7612797029909</v>
      </c>
      <c r="G1320">
        <f t="shared" si="67"/>
        <v>51000</v>
      </c>
      <c r="H1320">
        <f t="shared" si="68"/>
        <v>14</v>
      </c>
      <c r="I1320" t="str">
        <f t="shared" si="66"/>
        <v>DIOVAN - VALSARTAN 320 MG X14</v>
      </c>
    </row>
    <row r="1321" spans="1:9">
      <c r="A1321" s="24" t="s">
        <v>309</v>
      </c>
      <c r="B1321" s="30">
        <v>1</v>
      </c>
      <c r="C1321" s="31">
        <v>0.19</v>
      </c>
      <c r="D1321" s="447" t="s">
        <v>310</v>
      </c>
      <c r="E1321" s="7" t="s">
        <v>311</v>
      </c>
      <c r="F1321" s="63">
        <v>7794640171710</v>
      </c>
      <c r="G1321">
        <f t="shared" si="67"/>
        <v>27000</v>
      </c>
      <c r="H1321">
        <f t="shared" si="68"/>
        <v>1</v>
      </c>
      <c r="I1321" t="str">
        <f t="shared" si="66"/>
        <v>COREGA MENTA *20GR</v>
      </c>
    </row>
    <row r="1322" spans="1:9">
      <c r="A1322" s="24" t="s">
        <v>312</v>
      </c>
      <c r="B1322" s="30">
        <v>2</v>
      </c>
      <c r="C1322" s="31">
        <v>0.19</v>
      </c>
      <c r="D1322" s="447" t="s">
        <v>313</v>
      </c>
      <c r="E1322" s="7" t="s">
        <v>311</v>
      </c>
      <c r="F1322" s="63">
        <v>7794640171734</v>
      </c>
      <c r="G1322">
        <f t="shared" si="67"/>
        <v>23500</v>
      </c>
      <c r="H1322">
        <f t="shared" si="68"/>
        <v>1</v>
      </c>
      <c r="I1322" t="str">
        <f t="shared" si="66"/>
        <v>COREGA SIN SABOR *20GR</v>
      </c>
    </row>
    <row r="1323" spans="1:9">
      <c r="A1323" s="28" t="s">
        <v>323</v>
      </c>
      <c r="B1323" s="30">
        <v>2</v>
      </c>
      <c r="C1323" s="31">
        <v>0</v>
      </c>
      <c r="D1323" s="447" t="s">
        <v>91</v>
      </c>
      <c r="E1323" s="8" t="s">
        <v>324</v>
      </c>
      <c r="F1323" s="63">
        <v>7703186030283</v>
      </c>
      <c r="G1323">
        <f t="shared" si="67"/>
        <v>16000</v>
      </c>
      <c r="H1323">
        <f t="shared" si="68"/>
        <v>1</v>
      </c>
      <c r="I1323" t="str">
        <f t="shared" si="66"/>
        <v>GLUCERNA LIQUIDA VAINILLA</v>
      </c>
    </row>
    <row r="1324" spans="1:9">
      <c r="A1324" s="24" t="s">
        <v>327</v>
      </c>
      <c r="B1324" s="30">
        <v>2</v>
      </c>
      <c r="C1324" s="31">
        <v>0</v>
      </c>
      <c r="D1324" s="447" t="s">
        <v>328</v>
      </c>
      <c r="E1324" s="7" t="s">
        <v>329</v>
      </c>
      <c r="F1324" s="63">
        <v>7708943944476</v>
      </c>
      <c r="G1324">
        <f t="shared" si="67"/>
        <v>9000</v>
      </c>
      <c r="H1324">
        <f t="shared" si="68"/>
        <v>15</v>
      </c>
      <c r="I1324" t="str">
        <f t="shared" si="66"/>
        <v>ESOMEPRAZOL 20MG- CHINOIN TAKEDA X15</v>
      </c>
    </row>
    <row r="1325" spans="1:9">
      <c r="A1325" s="28" t="s">
        <v>330</v>
      </c>
      <c r="B1325" s="23">
        <v>3</v>
      </c>
      <c r="C1325" s="51">
        <v>0</v>
      </c>
      <c r="D1325" s="446" t="s">
        <v>331</v>
      </c>
      <c r="E1325" s="7" t="s">
        <v>332</v>
      </c>
      <c r="F1325" s="63">
        <v>7702057075057</v>
      </c>
      <c r="G1325">
        <f t="shared" si="67"/>
        <v>4000</v>
      </c>
      <c r="H1325">
        <f t="shared" si="68"/>
        <v>1</v>
      </c>
      <c r="I1325" t="str">
        <f t="shared" si="66"/>
        <v>ALCOHOL *120ML- MK</v>
      </c>
    </row>
    <row r="1326" spans="1:9" ht="15">
      <c r="A1326" s="16" t="s">
        <v>333</v>
      </c>
      <c r="B1326" s="17">
        <v>1</v>
      </c>
      <c r="C1326" s="124">
        <v>0</v>
      </c>
      <c r="D1326" s="321" t="s">
        <v>276</v>
      </c>
      <c r="E1326" s="73" t="s">
        <v>334</v>
      </c>
      <c r="F1326" s="20">
        <v>7702195004681</v>
      </c>
      <c r="G1326">
        <f t="shared" si="67"/>
        <v>22000</v>
      </c>
      <c r="H1326">
        <f t="shared" si="68"/>
        <v>1</v>
      </c>
      <c r="I1326" t="str">
        <f t="shared" si="66"/>
        <v>OTICAINA GOTAS</v>
      </c>
    </row>
    <row r="1327" spans="1:9">
      <c r="A1327" s="7" t="s">
        <v>337</v>
      </c>
      <c r="B1327" s="30">
        <v>2</v>
      </c>
      <c r="C1327" s="31">
        <v>0</v>
      </c>
      <c r="D1327" s="447" t="s">
        <v>338</v>
      </c>
      <c r="E1327" s="7" t="s">
        <v>339</v>
      </c>
      <c r="F1327" s="63">
        <v>7702057102203</v>
      </c>
      <c r="G1327">
        <f t="shared" si="67"/>
        <v>13500</v>
      </c>
      <c r="H1327">
        <f t="shared" si="68"/>
        <v>1</v>
      </c>
      <c r="I1327" t="str">
        <f t="shared" si="66"/>
        <v>UNGÜENTO MENTOL No.2 X20GR</v>
      </c>
    </row>
    <row r="1328" spans="1:9" ht="12.75" customHeight="1">
      <c r="A1328" s="24" t="s">
        <v>340</v>
      </c>
      <c r="B1328" s="30">
        <v>1</v>
      </c>
      <c r="C1328" s="31">
        <v>0</v>
      </c>
      <c r="D1328" s="447" t="s">
        <v>214</v>
      </c>
      <c r="E1328" s="7" t="s">
        <v>341</v>
      </c>
      <c r="F1328" s="63">
        <v>7702870070611</v>
      </c>
      <c r="G1328">
        <f t="shared" si="67"/>
        <v>2000</v>
      </c>
      <c r="H1328">
        <f t="shared" si="68"/>
        <v>1</v>
      </c>
      <c r="I1328" t="str">
        <f t="shared" si="66"/>
        <v>COLIK FORTE - NAPROXENO 220 MG - ACETAMINOFEN 250 MG - CAFEINA 65 MG / X40 TABLETAS</v>
      </c>
    </row>
    <row r="1329" spans="1:9">
      <c r="A1329" s="24" t="s">
        <v>342</v>
      </c>
      <c r="B1329" s="30">
        <v>1</v>
      </c>
      <c r="C1329" s="31">
        <v>0.19</v>
      </c>
      <c r="D1329" s="447" t="s">
        <v>343</v>
      </c>
      <c r="E1329" s="7" t="s">
        <v>344</v>
      </c>
      <c r="F1329" s="63">
        <v>7705028809194</v>
      </c>
      <c r="G1329">
        <f t="shared" si="67"/>
        <v>44000</v>
      </c>
      <c r="H1329">
        <f t="shared" si="68"/>
        <v>1</v>
      </c>
      <c r="I1329" t="str">
        <f t="shared" si="66"/>
        <v>DOLNIK GEL NF / CITRATO POTASIO + FLUOR</v>
      </c>
    </row>
    <row r="1330" spans="1:9" ht="15">
      <c r="A1330" s="32" t="s">
        <v>347</v>
      </c>
      <c r="B1330" s="17">
        <v>1</v>
      </c>
      <c r="C1330" s="124">
        <v>0</v>
      </c>
      <c r="D1330" s="321" t="s">
        <v>348</v>
      </c>
      <c r="E1330" s="73" t="s">
        <v>349</v>
      </c>
      <c r="F1330" s="20">
        <v>650240067884</v>
      </c>
      <c r="G1330">
        <f t="shared" si="67"/>
        <v>36000</v>
      </c>
      <c r="H1330">
        <f t="shared" si="68"/>
        <v>1</v>
      </c>
      <c r="I1330" t="str">
        <f t="shared" si="66"/>
        <v>TUKOL-D / BROMHEXINA + GUAYACOLATO</v>
      </c>
    </row>
    <row r="1331" spans="1:9">
      <c r="A1331" t="s">
        <v>374</v>
      </c>
      <c r="B1331" s="23">
        <v>6</v>
      </c>
      <c r="C1331" s="51">
        <v>0.19</v>
      </c>
      <c r="D1331" s="446" t="s">
        <v>375</v>
      </c>
      <c r="E1331" s="41" t="s">
        <v>376</v>
      </c>
      <c r="F1331" s="42">
        <v>7707271202531</v>
      </c>
      <c r="G1331">
        <f t="shared" si="67"/>
        <v>2500</v>
      </c>
      <c r="H1331">
        <f t="shared" si="68"/>
        <v>1</v>
      </c>
      <c r="I1331" t="str">
        <f t="shared" si="66"/>
        <v>FORMOL 20 CC - YOMA</v>
      </c>
    </row>
    <row r="1332" spans="1:9">
      <c r="A1332" t="s">
        <v>377</v>
      </c>
      <c r="B1332" s="23">
        <v>3</v>
      </c>
      <c r="C1332" s="107">
        <v>0</v>
      </c>
      <c r="D1332" s="482" t="s">
        <v>378</v>
      </c>
      <c r="E1332" s="39" t="s">
        <v>379</v>
      </c>
      <c r="F1332" s="42">
        <v>7704412118898</v>
      </c>
      <c r="G1332">
        <f t="shared" si="67"/>
        <v>9500</v>
      </c>
      <c r="H1332">
        <f t="shared" si="68"/>
        <v>1</v>
      </c>
      <c r="I1332" t="str">
        <f t="shared" si="66"/>
        <v>CETIRIZINA GOTAS - MEMPHIS</v>
      </c>
    </row>
    <row r="1333" spans="1:9">
      <c r="A1333" t="s">
        <v>383</v>
      </c>
      <c r="B1333" s="23">
        <v>1</v>
      </c>
      <c r="C1333" s="23">
        <v>0</v>
      </c>
      <c r="D1333" s="446" t="s">
        <v>384</v>
      </c>
      <c r="E1333" s="39" t="s">
        <v>385</v>
      </c>
      <c r="F1333" s="42">
        <v>7707336091346</v>
      </c>
      <c r="G1333">
        <f t="shared" si="67"/>
        <v>1000</v>
      </c>
      <c r="H1333">
        <f t="shared" si="68"/>
        <v>1</v>
      </c>
      <c r="I1333" t="str">
        <f t="shared" si="66"/>
        <v>PARCHE OCULAR - APOSITO OCULAR NIÑO</v>
      </c>
    </row>
    <row r="1334" spans="1:9">
      <c r="A1334" s="141" t="s">
        <v>387</v>
      </c>
      <c r="B1334" s="147">
        <v>2</v>
      </c>
      <c r="C1334" s="234">
        <v>0</v>
      </c>
      <c r="D1334" s="485" t="s">
        <v>388</v>
      </c>
      <c r="E1334" s="159" t="s">
        <v>389</v>
      </c>
      <c r="F1334" s="42">
        <v>7702026183271</v>
      </c>
      <c r="G1334">
        <f t="shared" si="67"/>
        <v>17000</v>
      </c>
      <c r="H1334">
        <f t="shared" si="68"/>
        <v>14</v>
      </c>
      <c r="I1334" t="str">
        <f t="shared" si="66"/>
        <v>TOALLAS NOSOTRAS BUENAS NOCHES X10</v>
      </c>
    </row>
    <row r="1335" spans="1:9">
      <c r="A1335" t="s">
        <v>390</v>
      </c>
      <c r="B1335" s="23">
        <v>2</v>
      </c>
      <c r="C1335" s="23">
        <v>0</v>
      </c>
      <c r="D1335" s="446" t="s">
        <v>29</v>
      </c>
      <c r="E1335" s="39" t="s">
        <v>391</v>
      </c>
      <c r="F1335" s="42">
        <v>7707035565834</v>
      </c>
      <c r="G1335">
        <f t="shared" si="67"/>
        <v>15000</v>
      </c>
      <c r="H1335">
        <f t="shared" si="68"/>
        <v>10</v>
      </c>
      <c r="I1335" t="str">
        <f t="shared" si="66"/>
        <v>BILSYL - SILIMARINA X20 CAPSULAS</v>
      </c>
    </row>
    <row r="1336" spans="1:9">
      <c r="A1336" t="s">
        <v>392</v>
      </c>
      <c r="B1336" s="23">
        <v>2</v>
      </c>
      <c r="C1336" s="23">
        <v>0</v>
      </c>
      <c r="D1336" s="446" t="s">
        <v>393</v>
      </c>
      <c r="E1336" s="41" t="s">
        <v>394</v>
      </c>
      <c r="F1336" s="42">
        <v>7706569000231</v>
      </c>
      <c r="G1336">
        <f t="shared" si="67"/>
        <v>8000</v>
      </c>
      <c r="H1336">
        <f t="shared" si="68"/>
        <v>7</v>
      </c>
      <c r="I1336" t="str">
        <f t="shared" si="66"/>
        <v>NORFLOXACINO X14 - AG</v>
      </c>
    </row>
    <row r="1337" spans="1:9">
      <c r="A1337" s="22" t="s">
        <v>416</v>
      </c>
      <c r="B1337" s="23">
        <v>2</v>
      </c>
      <c r="C1337" s="51">
        <v>0</v>
      </c>
      <c r="D1337" s="446" t="s">
        <v>112</v>
      </c>
      <c r="E1337" s="41" t="s">
        <v>417</v>
      </c>
      <c r="F1337" s="42">
        <v>7702560000102</v>
      </c>
      <c r="G1337">
        <f t="shared" si="67"/>
        <v>26000</v>
      </c>
      <c r="H1337">
        <f t="shared" si="68"/>
        <v>1</v>
      </c>
      <c r="I1337" t="str">
        <f t="shared" si="66"/>
        <v>CITROMEL JGB</v>
      </c>
    </row>
    <row r="1338" spans="1:9">
      <c r="F1338" s="23"/>
    </row>
    <row r="1339" spans="1:9">
      <c r="F1339" s="23"/>
    </row>
    <row r="1340" spans="1:9">
      <c r="F1340" s="23"/>
    </row>
    <row r="1341" spans="1:9">
      <c r="F1341" s="23"/>
    </row>
    <row r="1342" spans="1:9">
      <c r="F1342" s="23"/>
    </row>
    <row r="1343" spans="1:9">
      <c r="F1343" s="23"/>
    </row>
    <row r="1344" spans="1:9">
      <c r="F1344" s="23"/>
    </row>
    <row r="1345" spans="6:6">
      <c r="F1345" s="23"/>
    </row>
    <row r="1346" spans="6:6">
      <c r="F1346" s="23"/>
    </row>
    <row r="1347" spans="6:6">
      <c r="F1347" s="23"/>
    </row>
    <row r="1348" spans="6:6">
      <c r="F1348" s="23"/>
    </row>
    <row r="1349" spans="6:6">
      <c r="F1349" s="23"/>
    </row>
    <row r="1350" spans="6:6">
      <c r="F1350" s="23"/>
    </row>
    <row r="1351" spans="6:6">
      <c r="F1351" s="23"/>
    </row>
    <row r="1352" spans="6:6">
      <c r="F1352" s="23"/>
    </row>
    <row r="1353" spans="6:6">
      <c r="F1353" s="23"/>
    </row>
    <row r="1354" spans="6:6">
      <c r="F1354" s="23"/>
    </row>
    <row r="1355" spans="6:6">
      <c r="F1355" s="23"/>
    </row>
    <row r="1356" spans="6:6">
      <c r="F1356" s="23"/>
    </row>
    <row r="1357" spans="6:6">
      <c r="F1357" s="23"/>
    </row>
    <row r="1358" spans="6:6">
      <c r="F1358" s="23"/>
    </row>
    <row r="1359" spans="6:6">
      <c r="F1359" s="23"/>
    </row>
    <row r="1360" spans="6:6">
      <c r="F1360" s="23"/>
    </row>
    <row r="1361" spans="6:6">
      <c r="F1361" s="23"/>
    </row>
    <row r="1362" spans="6:6">
      <c r="F1362" s="23"/>
    </row>
    <row r="1363" spans="6:6">
      <c r="F1363" s="23"/>
    </row>
    <row r="1364" spans="6:6">
      <c r="F1364" s="23"/>
    </row>
    <row r="1365" spans="6:6">
      <c r="F1365" s="23"/>
    </row>
    <row r="1366" spans="6:6">
      <c r="F1366" s="23"/>
    </row>
    <row r="1367" spans="6:6">
      <c r="F1367" s="23"/>
    </row>
    <row r="1368" spans="6:6">
      <c r="F1368" s="23"/>
    </row>
    <row r="1369" spans="6:6">
      <c r="F1369" s="23"/>
    </row>
    <row r="1370" spans="6:6">
      <c r="F1370" s="23"/>
    </row>
    <row r="1371" spans="6:6">
      <c r="F1371" s="23"/>
    </row>
    <row r="1372" spans="6:6">
      <c r="F1372" s="23"/>
    </row>
    <row r="1373" spans="6:6">
      <c r="F1373" s="23"/>
    </row>
    <row r="1374" spans="6:6">
      <c r="F1374" s="23"/>
    </row>
    <row r="1375" spans="6:6">
      <c r="F1375" s="23"/>
    </row>
    <row r="1376" spans="6:6">
      <c r="F1376" s="23"/>
    </row>
    <row r="1377" spans="6:6">
      <c r="F1377" s="23"/>
    </row>
    <row r="1378" spans="6:6">
      <c r="F1378" s="23"/>
    </row>
    <row r="1379" spans="6:6">
      <c r="F1379" s="23"/>
    </row>
    <row r="1380" spans="6:6">
      <c r="F1380" s="23"/>
    </row>
    <row r="1381" spans="6:6">
      <c r="F1381" s="23"/>
    </row>
    <row r="1382" spans="6:6">
      <c r="F1382" s="23"/>
    </row>
    <row r="1383" spans="6:6">
      <c r="F1383" s="23"/>
    </row>
    <row r="1384" spans="6:6">
      <c r="F1384" s="23"/>
    </row>
    <row r="1385" spans="6:6">
      <c r="F1385" s="23"/>
    </row>
    <row r="1386" spans="6:6">
      <c r="F1386" s="23"/>
    </row>
    <row r="1387" spans="6:6">
      <c r="F1387" s="23"/>
    </row>
    <row r="1388" spans="6:6">
      <c r="F1388" s="23"/>
    </row>
    <row r="1389" spans="6:6">
      <c r="F1389" s="23"/>
    </row>
    <row r="1390" spans="6:6">
      <c r="F1390" s="23"/>
    </row>
    <row r="1391" spans="6:6">
      <c r="F1391" s="23"/>
    </row>
    <row r="1392" spans="6:6">
      <c r="F1392" s="23"/>
    </row>
    <row r="1393" spans="6:6">
      <c r="F1393" s="23"/>
    </row>
    <row r="1394" spans="6:6">
      <c r="F1394" s="23"/>
    </row>
    <row r="1395" spans="6:6">
      <c r="F1395" s="23"/>
    </row>
    <row r="1396" spans="6:6">
      <c r="F1396" s="23"/>
    </row>
    <row r="1397" spans="6:6">
      <c r="F1397" s="23"/>
    </row>
    <row r="1398" spans="6:6">
      <c r="F1398" s="23"/>
    </row>
    <row r="1399" spans="6:6">
      <c r="F1399" s="23"/>
    </row>
    <row r="1400" spans="6:6">
      <c r="F1400" s="23"/>
    </row>
    <row r="1401" spans="6:6">
      <c r="F1401" s="23"/>
    </row>
    <row r="1402" spans="6:6">
      <c r="F1402" s="23"/>
    </row>
    <row r="1403" spans="6:6">
      <c r="F1403" s="23"/>
    </row>
    <row r="1404" spans="6:6">
      <c r="F1404" s="23"/>
    </row>
    <row r="1405" spans="6:6">
      <c r="F1405" s="23"/>
    </row>
    <row r="1406" spans="6:6">
      <c r="F1406" s="23"/>
    </row>
    <row r="1407" spans="6:6">
      <c r="F1407" s="23"/>
    </row>
    <row r="1408" spans="6:6">
      <c r="F1408" s="23"/>
    </row>
    <row r="1409" spans="6:6">
      <c r="F1409" s="23"/>
    </row>
    <row r="1410" spans="6:6">
      <c r="F1410" s="23"/>
    </row>
    <row r="1411" spans="6:6">
      <c r="F1411" s="23"/>
    </row>
    <row r="1412" spans="6:6">
      <c r="F1412" s="23"/>
    </row>
    <row r="1413" spans="6:6">
      <c r="F1413" s="23"/>
    </row>
    <row r="1414" spans="6:6">
      <c r="F1414" s="23"/>
    </row>
    <row r="1415" spans="6:6">
      <c r="F1415" s="23"/>
    </row>
    <row r="1416" spans="6:6">
      <c r="F1416" s="23"/>
    </row>
    <row r="1417" spans="6:6">
      <c r="F1417" s="23"/>
    </row>
    <row r="1418" spans="6:6">
      <c r="F1418" s="23"/>
    </row>
    <row r="1419" spans="6:6">
      <c r="F1419" s="23"/>
    </row>
    <row r="1420" spans="6:6">
      <c r="F1420" s="23"/>
    </row>
    <row r="1421" spans="6:6">
      <c r="F1421" s="23"/>
    </row>
    <row r="1422" spans="6:6">
      <c r="F1422" s="23"/>
    </row>
    <row r="1423" spans="6:6">
      <c r="F1423" s="23"/>
    </row>
    <row r="1424" spans="6:6">
      <c r="F1424" s="23"/>
    </row>
    <row r="1425" spans="6:6">
      <c r="F1425" s="23"/>
    </row>
    <row r="1426" spans="6:6">
      <c r="F1426" s="23"/>
    </row>
    <row r="1427" spans="6:6">
      <c r="F1427" s="23"/>
    </row>
    <row r="1428" spans="6:6">
      <c r="F1428" s="23"/>
    </row>
    <row r="1429" spans="6:6">
      <c r="F1429" s="23"/>
    </row>
    <row r="1430" spans="6:6">
      <c r="F1430" s="23"/>
    </row>
    <row r="1431" spans="6:6">
      <c r="F1431" s="23"/>
    </row>
    <row r="1432" spans="6:6">
      <c r="F1432" s="23"/>
    </row>
    <row r="1433" spans="6:6">
      <c r="F1433" s="23"/>
    </row>
    <row r="1434" spans="6:6">
      <c r="F1434" s="23"/>
    </row>
    <row r="1435" spans="6:6">
      <c r="F1435" s="23"/>
    </row>
    <row r="1436" spans="6:6">
      <c r="F1436" s="23"/>
    </row>
    <row r="1437" spans="6:6">
      <c r="F1437" s="23"/>
    </row>
    <row r="1438" spans="6:6">
      <c r="F1438" s="23"/>
    </row>
    <row r="1439" spans="6:6">
      <c r="F1439" s="23"/>
    </row>
    <row r="1440" spans="6:6">
      <c r="F1440" s="23"/>
    </row>
    <row r="1441" spans="6:6">
      <c r="F1441" s="23"/>
    </row>
    <row r="1442" spans="6:6">
      <c r="F1442" s="23"/>
    </row>
    <row r="1443" spans="6:6">
      <c r="F1443" s="23"/>
    </row>
    <row r="1444" spans="6:6">
      <c r="F1444" s="23"/>
    </row>
    <row r="1445" spans="6:6">
      <c r="F1445" s="23"/>
    </row>
    <row r="1446" spans="6:6">
      <c r="F1446" s="23"/>
    </row>
    <row r="1447" spans="6:6">
      <c r="F1447" s="23"/>
    </row>
    <row r="1448" spans="6:6">
      <c r="F1448" s="23"/>
    </row>
    <row r="1449" spans="6:6">
      <c r="F1449" s="23"/>
    </row>
    <row r="1450" spans="6:6">
      <c r="F1450" s="23"/>
    </row>
    <row r="1451" spans="6:6">
      <c r="F1451" s="23"/>
    </row>
    <row r="1452" spans="6:6">
      <c r="F1452" s="23"/>
    </row>
    <row r="1453" spans="6:6">
      <c r="F1453" s="23"/>
    </row>
    <row r="1454" spans="6:6">
      <c r="F1454" s="23"/>
    </row>
    <row r="1455" spans="6:6">
      <c r="F1455" s="23"/>
    </row>
    <row r="1456" spans="6:6">
      <c r="F1456" s="23"/>
    </row>
    <row r="1457" spans="6:6">
      <c r="F1457" s="23"/>
    </row>
    <row r="1458" spans="6:6">
      <c r="F1458" s="23"/>
    </row>
    <row r="1459" spans="6:6">
      <c r="F1459" s="23"/>
    </row>
    <row r="1460" spans="6:6">
      <c r="F1460" s="23"/>
    </row>
    <row r="1461" spans="6:6">
      <c r="F1461" s="23"/>
    </row>
    <row r="1462" spans="6:6">
      <c r="F1462" s="23"/>
    </row>
    <row r="1463" spans="6:6">
      <c r="F1463" s="23"/>
    </row>
    <row r="1464" spans="6:6">
      <c r="F1464" s="23"/>
    </row>
    <row r="1465" spans="6:6">
      <c r="F1465" s="23"/>
    </row>
    <row r="1466" spans="6:6">
      <c r="F1466" s="23"/>
    </row>
    <row r="1467" spans="6:6">
      <c r="F1467" s="23"/>
    </row>
    <row r="1468" spans="6:6">
      <c r="F1468" s="23"/>
    </row>
    <row r="1469" spans="6:6">
      <c r="F1469" s="23"/>
    </row>
    <row r="1470" spans="6:6">
      <c r="F1470" s="23"/>
    </row>
    <row r="1471" spans="6:6">
      <c r="F1471" s="23"/>
    </row>
    <row r="1472" spans="6:6">
      <c r="F1472" s="23"/>
    </row>
    <row r="1473" spans="6:6">
      <c r="F1473" s="23"/>
    </row>
    <row r="1474" spans="6:6">
      <c r="F1474" s="23"/>
    </row>
    <row r="1475" spans="6:6">
      <c r="F1475" s="23"/>
    </row>
    <row r="1476" spans="6:6">
      <c r="F1476" s="23"/>
    </row>
    <row r="1477" spans="6:6">
      <c r="F1477" s="23"/>
    </row>
    <row r="1478" spans="6:6">
      <c r="F1478" s="23"/>
    </row>
    <row r="1479" spans="6:6">
      <c r="F1479" s="23"/>
    </row>
    <row r="1480" spans="6:6">
      <c r="F1480" s="23"/>
    </row>
    <row r="1481" spans="6:6">
      <c r="F1481" s="23"/>
    </row>
    <row r="1482" spans="6:6">
      <c r="F1482" s="23"/>
    </row>
    <row r="1483" spans="6:6">
      <c r="F1483" s="23"/>
    </row>
    <row r="1484" spans="6:6">
      <c r="F1484" s="23"/>
    </row>
    <row r="1485" spans="6:6">
      <c r="F1485" s="23"/>
    </row>
    <row r="1486" spans="6:6">
      <c r="F1486" s="23"/>
    </row>
    <row r="1487" spans="6:6">
      <c r="F1487" s="23"/>
    </row>
    <row r="1488" spans="6:6">
      <c r="F1488" s="23"/>
    </row>
    <row r="1489" spans="6:6">
      <c r="F1489" s="23"/>
    </row>
    <row r="1490" spans="6:6">
      <c r="F1490" s="23"/>
    </row>
    <row r="1491" spans="6:6">
      <c r="F1491" s="23"/>
    </row>
    <row r="1492" spans="6:6">
      <c r="F1492" s="23"/>
    </row>
    <row r="1493" spans="6:6">
      <c r="F1493" s="23"/>
    </row>
    <row r="1494" spans="6:6">
      <c r="F1494" s="23"/>
    </row>
    <row r="1495" spans="6:6">
      <c r="F1495" s="23"/>
    </row>
    <row r="1496" spans="6:6">
      <c r="F1496" s="23"/>
    </row>
    <row r="1497" spans="6:6">
      <c r="F1497" s="23"/>
    </row>
    <row r="1498" spans="6:6">
      <c r="F1498" s="23"/>
    </row>
    <row r="1499" spans="6:6">
      <c r="F1499" s="23"/>
    </row>
    <row r="1500" spans="6:6">
      <c r="F1500" s="23"/>
    </row>
    <row r="1501" spans="6:6">
      <c r="F1501" s="23"/>
    </row>
    <row r="1502" spans="6:6">
      <c r="F1502" s="23"/>
    </row>
    <row r="1503" spans="6:6">
      <c r="F1503" s="23"/>
    </row>
    <row r="1504" spans="6:6">
      <c r="F1504" s="23"/>
    </row>
    <row r="1505" spans="6:6">
      <c r="F1505" s="23"/>
    </row>
    <row r="1506" spans="6:6">
      <c r="F1506" s="23"/>
    </row>
    <row r="1507" spans="6:6">
      <c r="F1507" s="23"/>
    </row>
    <row r="1508" spans="6:6">
      <c r="F1508" s="23"/>
    </row>
    <row r="1509" spans="6:6">
      <c r="F1509" s="23"/>
    </row>
    <row r="1510" spans="6:6">
      <c r="F1510" s="23"/>
    </row>
    <row r="1511" spans="6:6">
      <c r="F1511" s="23"/>
    </row>
    <row r="1512" spans="6:6">
      <c r="F1512" s="23"/>
    </row>
    <row r="1513" spans="6:6">
      <c r="F1513" s="23"/>
    </row>
    <row r="1514" spans="6:6">
      <c r="F1514" s="23"/>
    </row>
    <row r="1515" spans="6:6">
      <c r="F1515" s="23"/>
    </row>
    <row r="1516" spans="6:6">
      <c r="F1516" s="23"/>
    </row>
    <row r="1517" spans="6:6">
      <c r="F1517" s="23"/>
    </row>
    <row r="1518" spans="6:6">
      <c r="F1518" s="23"/>
    </row>
    <row r="1519" spans="6:6">
      <c r="F1519" s="23"/>
    </row>
    <row r="1520" spans="6:6">
      <c r="F1520" s="23"/>
    </row>
    <row r="1521" spans="6:6">
      <c r="F1521" s="23"/>
    </row>
    <row r="1522" spans="6:6">
      <c r="F1522" s="23"/>
    </row>
    <row r="1523" spans="6:6">
      <c r="F1523" s="23"/>
    </row>
    <row r="1524" spans="6:6">
      <c r="F1524" s="23"/>
    </row>
    <row r="1525" spans="6:6">
      <c r="F1525" s="23"/>
    </row>
    <row r="1526" spans="6:6">
      <c r="F1526" s="23"/>
    </row>
    <row r="1527" spans="6:6">
      <c r="F1527" s="23"/>
    </row>
    <row r="1528" spans="6:6">
      <c r="F1528" s="23"/>
    </row>
    <row r="1529" spans="6:6">
      <c r="F1529" s="23"/>
    </row>
    <row r="1530" spans="6:6">
      <c r="F1530" s="23"/>
    </row>
    <row r="1531" spans="6:6">
      <c r="F1531" s="23"/>
    </row>
    <row r="1532" spans="6:6">
      <c r="F1532" s="23"/>
    </row>
    <row r="1533" spans="6:6">
      <c r="F1533" s="23"/>
    </row>
    <row r="1534" spans="6:6">
      <c r="F1534" s="23"/>
    </row>
    <row r="1535" spans="6:6">
      <c r="F1535" s="23"/>
    </row>
    <row r="1536" spans="6:6">
      <c r="F1536" s="23"/>
    </row>
    <row r="1537" spans="6:6">
      <c r="F1537" s="23"/>
    </row>
    <row r="1538" spans="6:6">
      <c r="F1538" s="23"/>
    </row>
    <row r="1539" spans="6:6">
      <c r="F1539" s="23"/>
    </row>
    <row r="1540" spans="6:6">
      <c r="F1540" s="23"/>
    </row>
    <row r="1541" spans="6:6">
      <c r="F1541" s="23"/>
    </row>
    <row r="1542" spans="6:6">
      <c r="F1542" s="23"/>
    </row>
    <row r="1543" spans="6:6">
      <c r="F1543" s="23"/>
    </row>
    <row r="1544" spans="6:6">
      <c r="F1544" s="23"/>
    </row>
    <row r="1545" spans="6:6">
      <c r="F1545" s="23"/>
    </row>
    <row r="1546" spans="6:6">
      <c r="F1546" s="23"/>
    </row>
    <row r="1547" spans="6:6">
      <c r="F1547" s="23"/>
    </row>
    <row r="1548" spans="6:6">
      <c r="F1548" s="23"/>
    </row>
    <row r="1549" spans="6:6">
      <c r="F1549" s="23"/>
    </row>
    <row r="1550" spans="6:6">
      <c r="F1550" s="23"/>
    </row>
    <row r="1551" spans="6:6">
      <c r="F1551" s="23"/>
    </row>
    <row r="1552" spans="6:6">
      <c r="F1552" s="23"/>
    </row>
    <row r="1553" spans="6:6">
      <c r="F1553" s="23"/>
    </row>
    <row r="1554" spans="6:6">
      <c r="F1554" s="23"/>
    </row>
    <row r="1555" spans="6:6">
      <c r="F1555" s="23"/>
    </row>
    <row r="1556" spans="6:6">
      <c r="F1556" s="23"/>
    </row>
    <row r="1557" spans="6:6">
      <c r="F1557" s="23"/>
    </row>
    <row r="1558" spans="6:6">
      <c r="F1558" s="23"/>
    </row>
    <row r="1559" spans="6:6">
      <c r="F1559" s="23"/>
    </row>
    <row r="1560" spans="6:6">
      <c r="F1560" s="23"/>
    </row>
    <row r="1561" spans="6:6">
      <c r="F1561" s="23"/>
    </row>
    <row r="1562" spans="6:6">
      <c r="F1562" s="23"/>
    </row>
    <row r="1563" spans="6:6">
      <c r="F1563" s="23"/>
    </row>
    <row r="1564" spans="6:6">
      <c r="F1564" s="23"/>
    </row>
    <row r="1565" spans="6:6">
      <c r="F1565" s="23"/>
    </row>
    <row r="1566" spans="6:6">
      <c r="F1566" s="23"/>
    </row>
    <row r="1567" spans="6:6">
      <c r="F1567" s="23"/>
    </row>
    <row r="1568" spans="6:6">
      <c r="F1568" s="23"/>
    </row>
    <row r="1569" spans="6:6">
      <c r="F1569" s="23"/>
    </row>
    <row r="1570" spans="6:6">
      <c r="F1570" s="23"/>
    </row>
    <row r="1571" spans="6:6">
      <c r="F1571" s="23"/>
    </row>
    <row r="1572" spans="6:6">
      <c r="F1572" s="23"/>
    </row>
    <row r="1573" spans="6:6">
      <c r="F1573" s="23"/>
    </row>
    <row r="1574" spans="6:6">
      <c r="F1574" s="23"/>
    </row>
    <row r="1575" spans="6:6">
      <c r="F1575" s="23"/>
    </row>
    <row r="1576" spans="6:6">
      <c r="F1576" s="23"/>
    </row>
    <row r="1577" spans="6:6">
      <c r="F1577" s="23"/>
    </row>
    <row r="1578" spans="6:6">
      <c r="F1578" s="23"/>
    </row>
    <row r="1579" spans="6:6">
      <c r="F1579" s="23"/>
    </row>
    <row r="1580" spans="6:6">
      <c r="F1580" s="23"/>
    </row>
    <row r="1581" spans="6:6">
      <c r="F1581" s="23"/>
    </row>
    <row r="1582" spans="6:6">
      <c r="F1582" s="23"/>
    </row>
    <row r="1583" spans="6:6">
      <c r="F1583" s="23"/>
    </row>
    <row r="1584" spans="6:6">
      <c r="F1584" s="23"/>
    </row>
    <row r="1585" spans="6:6">
      <c r="F1585" s="23"/>
    </row>
    <row r="1586" spans="6:6">
      <c r="F1586" s="23"/>
    </row>
    <row r="1587" spans="6:6">
      <c r="F1587" s="23"/>
    </row>
    <row r="1588" spans="6:6">
      <c r="F1588" s="23"/>
    </row>
    <row r="1589" spans="6:6">
      <c r="F1589" s="23"/>
    </row>
    <row r="1590" spans="6:6">
      <c r="F1590" s="23"/>
    </row>
    <row r="1591" spans="6:6">
      <c r="F1591" s="23"/>
    </row>
    <row r="1592" spans="6:6">
      <c r="F1592" s="23"/>
    </row>
    <row r="1593" spans="6:6">
      <c r="F1593" s="23"/>
    </row>
    <row r="1594" spans="6:6">
      <c r="F1594" s="23"/>
    </row>
    <row r="1595" spans="6:6">
      <c r="F1595" s="23"/>
    </row>
    <row r="1596" spans="6:6">
      <c r="F1596" s="23"/>
    </row>
    <row r="1597" spans="6:6">
      <c r="F1597" s="23"/>
    </row>
    <row r="1598" spans="6:6">
      <c r="F1598" s="23"/>
    </row>
    <row r="1599" spans="6:6">
      <c r="F1599" s="23"/>
    </row>
    <row r="1600" spans="6:6">
      <c r="F1600" s="23"/>
    </row>
    <row r="1601" spans="6:6">
      <c r="F1601" s="23"/>
    </row>
    <row r="1602" spans="6:6">
      <c r="F1602" s="23"/>
    </row>
    <row r="1603" spans="6:6">
      <c r="F1603" s="23"/>
    </row>
    <row r="1604" spans="6:6">
      <c r="F1604" s="23"/>
    </row>
    <row r="1605" spans="6:6">
      <c r="F1605" s="23"/>
    </row>
    <row r="1606" spans="6:6">
      <c r="F1606" s="23"/>
    </row>
    <row r="1607" spans="6:6">
      <c r="F1607" s="23"/>
    </row>
    <row r="1608" spans="6:6">
      <c r="F1608" s="23"/>
    </row>
    <row r="1609" spans="6:6">
      <c r="F1609" s="23"/>
    </row>
    <row r="1610" spans="6:6">
      <c r="F1610" s="23"/>
    </row>
    <row r="1611" spans="6:6">
      <c r="F1611" s="23"/>
    </row>
    <row r="1612" spans="6:6">
      <c r="F1612" s="23"/>
    </row>
    <row r="1613" spans="6:6">
      <c r="F1613" s="23"/>
    </row>
    <row r="1614" spans="6:6">
      <c r="F1614" s="23"/>
    </row>
    <row r="1615" spans="6:6">
      <c r="F1615" s="23"/>
    </row>
    <row r="1616" spans="6:6">
      <c r="F1616" s="23"/>
    </row>
    <row r="1617" spans="6:6">
      <c r="F1617" s="23"/>
    </row>
    <row r="1618" spans="6:6">
      <c r="F1618" s="23"/>
    </row>
    <row r="1619" spans="6:6">
      <c r="F1619" s="23"/>
    </row>
    <row r="1620" spans="6:6">
      <c r="F1620" s="23"/>
    </row>
    <row r="1621" spans="6:6">
      <c r="F1621" s="23"/>
    </row>
    <row r="1622" spans="6:6">
      <c r="F1622" s="23"/>
    </row>
    <row r="1623" spans="6:6">
      <c r="F1623" s="23"/>
    </row>
    <row r="1624" spans="6:6">
      <c r="F1624" s="23"/>
    </row>
    <row r="1625" spans="6:6">
      <c r="F1625" s="23"/>
    </row>
    <row r="1626" spans="6:6">
      <c r="F1626" s="23"/>
    </row>
    <row r="1627" spans="6:6">
      <c r="F1627" s="23"/>
    </row>
    <row r="1628" spans="6:6">
      <c r="F1628" s="23"/>
    </row>
    <row r="1629" spans="6:6">
      <c r="F1629" s="23"/>
    </row>
    <row r="1630" spans="6:6">
      <c r="F1630" s="23"/>
    </row>
    <row r="1631" spans="6:6">
      <c r="F1631" s="23"/>
    </row>
    <row r="1632" spans="6:6">
      <c r="F1632" s="23"/>
    </row>
    <row r="1633" spans="6:6">
      <c r="F1633" s="23"/>
    </row>
    <row r="1634" spans="6:6">
      <c r="F1634" s="23"/>
    </row>
    <row r="1635" spans="6:6">
      <c r="F1635" s="23"/>
    </row>
    <row r="1636" spans="6:6">
      <c r="F1636" s="23"/>
    </row>
    <row r="1637" spans="6:6">
      <c r="F1637" s="23"/>
    </row>
    <row r="1638" spans="6:6">
      <c r="F1638" s="23"/>
    </row>
    <row r="1639" spans="6:6">
      <c r="F1639" s="23"/>
    </row>
    <row r="1640" spans="6:6">
      <c r="F1640" s="23"/>
    </row>
    <row r="1641" spans="6:6">
      <c r="F1641" s="23"/>
    </row>
    <row r="1642" spans="6:6">
      <c r="F1642" s="23"/>
    </row>
    <row r="1643" spans="6:6">
      <c r="F1643" s="23"/>
    </row>
    <row r="1644" spans="6:6">
      <c r="F1644" s="23"/>
    </row>
    <row r="1645" spans="6:6">
      <c r="F1645" s="23"/>
    </row>
    <row r="1646" spans="6:6">
      <c r="F1646" s="23"/>
    </row>
    <row r="1647" spans="6:6">
      <c r="F1647" s="23"/>
    </row>
    <row r="1648" spans="6:6">
      <c r="F1648" s="23"/>
    </row>
    <row r="1649" spans="6:6">
      <c r="F1649" s="23"/>
    </row>
    <row r="1650" spans="6:6">
      <c r="F1650" s="23"/>
    </row>
    <row r="1651" spans="6:6">
      <c r="F1651" s="23"/>
    </row>
    <row r="1652" spans="6:6">
      <c r="F1652" s="23"/>
    </row>
    <row r="1653" spans="6:6">
      <c r="F1653" s="23"/>
    </row>
    <row r="1654" spans="6:6">
      <c r="F1654" s="23"/>
    </row>
    <row r="1655" spans="6:6">
      <c r="F1655" s="23"/>
    </row>
    <row r="1656" spans="6:6">
      <c r="F1656" s="23"/>
    </row>
    <row r="1657" spans="6:6">
      <c r="F1657" s="23"/>
    </row>
    <row r="1658" spans="6:6">
      <c r="F1658" s="23"/>
    </row>
    <row r="1659" spans="6:6">
      <c r="F1659" s="23"/>
    </row>
    <row r="1660" spans="6:6">
      <c r="F1660" s="23"/>
    </row>
    <row r="1661" spans="6:6">
      <c r="F1661" s="23"/>
    </row>
    <row r="1662" spans="6:6">
      <c r="F1662" s="23"/>
    </row>
    <row r="1663" spans="6:6">
      <c r="F1663" s="23"/>
    </row>
    <row r="1664" spans="6:6">
      <c r="F1664" s="23"/>
    </row>
    <row r="1665" spans="6:6">
      <c r="F1665" s="23"/>
    </row>
    <row r="1666" spans="6:6">
      <c r="F1666" s="23"/>
    </row>
    <row r="1667" spans="6:6">
      <c r="F1667" s="23"/>
    </row>
    <row r="1668" spans="6:6">
      <c r="F1668" s="23"/>
    </row>
    <row r="1669" spans="6:6">
      <c r="F1669" s="23"/>
    </row>
    <row r="1670" spans="6:6">
      <c r="F1670" s="23"/>
    </row>
    <row r="1671" spans="6:6">
      <c r="F1671" s="23"/>
    </row>
    <row r="1672" spans="6:6">
      <c r="F1672" s="23"/>
    </row>
    <row r="1673" spans="6:6">
      <c r="F1673" s="23"/>
    </row>
    <row r="1674" spans="6:6">
      <c r="F1674" s="23"/>
    </row>
    <row r="1675" spans="6:6">
      <c r="F1675" s="23"/>
    </row>
    <row r="1676" spans="6:6">
      <c r="F1676" s="23"/>
    </row>
    <row r="1677" spans="6:6">
      <c r="F1677" s="23"/>
    </row>
    <row r="1678" spans="6:6">
      <c r="F1678" s="23"/>
    </row>
    <row r="1679" spans="6:6">
      <c r="F1679" s="23"/>
    </row>
    <row r="1680" spans="6:6">
      <c r="F1680" s="23"/>
    </row>
    <row r="1681" spans="6:6">
      <c r="F1681" s="23"/>
    </row>
    <row r="1682" spans="6:6">
      <c r="F1682" s="23"/>
    </row>
    <row r="1683" spans="6:6">
      <c r="F1683" s="23"/>
    </row>
    <row r="1684" spans="6:6">
      <c r="F1684" s="23"/>
    </row>
    <row r="1685" spans="6:6">
      <c r="F1685" s="23"/>
    </row>
    <row r="1686" spans="6:6">
      <c r="F1686" s="23"/>
    </row>
    <row r="1687" spans="6:6">
      <c r="F1687" s="23"/>
    </row>
    <row r="1688" spans="6:6">
      <c r="F1688" s="23"/>
    </row>
    <row r="1689" spans="6:6">
      <c r="F1689" s="23"/>
    </row>
    <row r="1690" spans="6:6">
      <c r="F1690" s="23"/>
    </row>
    <row r="1691" spans="6:6">
      <c r="F1691" s="23"/>
    </row>
    <row r="1692" spans="6:6">
      <c r="F1692" s="23"/>
    </row>
    <row r="1693" spans="6:6">
      <c r="F1693" s="23"/>
    </row>
    <row r="1694" spans="6:6">
      <c r="F1694" s="23"/>
    </row>
    <row r="1695" spans="6:6">
      <c r="F1695" s="23"/>
    </row>
    <row r="1696" spans="6:6">
      <c r="F1696" s="23"/>
    </row>
    <row r="1697" spans="6:6">
      <c r="F1697" s="23"/>
    </row>
    <row r="1698" spans="6:6">
      <c r="F1698" s="23"/>
    </row>
    <row r="1699" spans="6:6">
      <c r="F1699" s="23"/>
    </row>
    <row r="1700" spans="6:6">
      <c r="F1700" s="23"/>
    </row>
    <row r="1701" spans="6:6">
      <c r="F1701" s="23"/>
    </row>
    <row r="1702" spans="6:6">
      <c r="F1702" s="23"/>
    </row>
    <row r="1703" spans="6:6">
      <c r="F1703" s="23"/>
    </row>
    <row r="1704" spans="6:6">
      <c r="F1704" s="23"/>
    </row>
    <row r="1705" spans="6:6">
      <c r="F1705" s="23"/>
    </row>
    <row r="1706" spans="6:6">
      <c r="F1706" s="23"/>
    </row>
    <row r="1707" spans="6:6">
      <c r="F1707" s="23"/>
    </row>
    <row r="1708" spans="6:6">
      <c r="F1708" s="23"/>
    </row>
    <row r="1709" spans="6:6">
      <c r="F1709" s="23"/>
    </row>
    <row r="1710" spans="6:6">
      <c r="F1710" s="23"/>
    </row>
    <row r="1711" spans="6:6">
      <c r="F1711" s="23"/>
    </row>
    <row r="1712" spans="6:6">
      <c r="F1712" s="23"/>
    </row>
    <row r="1713" spans="6:6">
      <c r="F1713" s="23"/>
    </row>
    <row r="1714" spans="6:6">
      <c r="F1714" s="23"/>
    </row>
    <row r="1715" spans="6:6">
      <c r="F1715" s="23"/>
    </row>
    <row r="1716" spans="6:6">
      <c r="F1716" s="23"/>
    </row>
    <row r="1717" spans="6:6">
      <c r="F1717" s="23"/>
    </row>
    <row r="1718" spans="6:6">
      <c r="F1718" s="23"/>
    </row>
    <row r="1719" spans="6:6">
      <c r="F1719" s="23"/>
    </row>
    <row r="1720" spans="6:6">
      <c r="F1720" s="23"/>
    </row>
    <row r="1721" spans="6:6">
      <c r="F1721" s="23"/>
    </row>
    <row r="1722" spans="6:6">
      <c r="F1722" s="23"/>
    </row>
    <row r="1723" spans="6:6">
      <c r="F1723" s="23"/>
    </row>
    <row r="1724" spans="6:6">
      <c r="F1724" s="23"/>
    </row>
    <row r="1725" spans="6:6">
      <c r="F1725" s="23"/>
    </row>
    <row r="1726" spans="6:6">
      <c r="F1726" s="23"/>
    </row>
    <row r="1727" spans="6:6">
      <c r="F1727" s="23"/>
    </row>
    <row r="1728" spans="6:6">
      <c r="F1728" s="23"/>
    </row>
    <row r="1729" spans="6:6">
      <c r="F1729" s="23"/>
    </row>
    <row r="1730" spans="6:6">
      <c r="F1730" s="23"/>
    </row>
    <row r="1731" spans="6:6">
      <c r="F1731" s="23"/>
    </row>
    <row r="1732" spans="6:6">
      <c r="F1732" s="23"/>
    </row>
    <row r="1733" spans="6:6">
      <c r="F1733" s="23"/>
    </row>
    <row r="1734" spans="6:6">
      <c r="F1734" s="23"/>
    </row>
    <row r="1735" spans="6:6">
      <c r="F1735" s="23"/>
    </row>
    <row r="1736" spans="6:6">
      <c r="F1736" s="23"/>
    </row>
    <row r="1737" spans="6:6">
      <c r="F1737" s="23"/>
    </row>
    <row r="1738" spans="6:6">
      <c r="F1738" s="23"/>
    </row>
    <row r="1739" spans="6:6">
      <c r="F1739" s="23"/>
    </row>
    <row r="1740" spans="6:6">
      <c r="F1740" s="23"/>
    </row>
    <row r="1741" spans="6:6">
      <c r="F1741" s="23"/>
    </row>
    <row r="1742" spans="6:6">
      <c r="F1742" s="23"/>
    </row>
    <row r="1743" spans="6:6">
      <c r="F1743" s="23"/>
    </row>
    <row r="1744" spans="6:6">
      <c r="F1744" s="23"/>
    </row>
    <row r="1745" spans="6:6">
      <c r="F1745" s="23"/>
    </row>
    <row r="1746" spans="6:6">
      <c r="F1746" s="23"/>
    </row>
    <row r="1747" spans="6:6">
      <c r="F1747" s="23"/>
    </row>
    <row r="1748" spans="6:6">
      <c r="F1748" s="23"/>
    </row>
    <row r="1749" spans="6:6">
      <c r="F1749" s="23"/>
    </row>
    <row r="1750" spans="6:6">
      <c r="F1750" s="23"/>
    </row>
    <row r="1751" spans="6:6">
      <c r="F1751" s="23"/>
    </row>
    <row r="1752" spans="6:6">
      <c r="F1752" s="23"/>
    </row>
    <row r="1753" spans="6:6">
      <c r="F1753" s="23"/>
    </row>
    <row r="1754" spans="6:6">
      <c r="F1754" s="23"/>
    </row>
    <row r="1755" spans="6:6">
      <c r="F1755" s="23"/>
    </row>
    <row r="1756" spans="6:6">
      <c r="F1756" s="23"/>
    </row>
    <row r="1757" spans="6:6">
      <c r="F1757" s="23"/>
    </row>
    <row r="1758" spans="6:6">
      <c r="F1758" s="23"/>
    </row>
    <row r="1759" spans="6:6">
      <c r="F1759" s="23"/>
    </row>
    <row r="1760" spans="6:6">
      <c r="F1760" s="23"/>
    </row>
    <row r="1761" spans="6:6">
      <c r="F1761" s="23"/>
    </row>
    <row r="1762" spans="6:6">
      <c r="F1762" s="23"/>
    </row>
    <row r="1763" spans="6:6">
      <c r="F1763" s="23"/>
    </row>
    <row r="1764" spans="6:6">
      <c r="F1764" s="23"/>
    </row>
    <row r="1765" spans="6:6">
      <c r="F1765" s="23"/>
    </row>
    <row r="1766" spans="6:6">
      <c r="F1766" s="23"/>
    </row>
    <row r="1767" spans="6:6">
      <c r="F1767" s="23"/>
    </row>
    <row r="1768" spans="6:6">
      <c r="F1768" s="23"/>
    </row>
    <row r="1769" spans="6:6">
      <c r="F1769" s="23"/>
    </row>
    <row r="1770" spans="6:6">
      <c r="F1770" s="23"/>
    </row>
    <row r="1771" spans="6:6">
      <c r="F1771" s="23"/>
    </row>
    <row r="1772" spans="6:6">
      <c r="F1772" s="23"/>
    </row>
    <row r="1773" spans="6:6">
      <c r="F1773" s="23"/>
    </row>
    <row r="1774" spans="6:6">
      <c r="F1774" s="23"/>
    </row>
    <row r="1775" spans="6:6">
      <c r="F1775" s="23"/>
    </row>
    <row r="1776" spans="6:6">
      <c r="F1776" s="23"/>
    </row>
    <row r="1777" spans="6:6">
      <c r="F1777" s="23"/>
    </row>
    <row r="1778" spans="6:6">
      <c r="F1778" s="23"/>
    </row>
    <row r="1779" spans="6:6">
      <c r="F1779" s="23"/>
    </row>
    <row r="1780" spans="6:6">
      <c r="F1780" s="23"/>
    </row>
    <row r="1781" spans="6:6">
      <c r="F1781" s="23"/>
    </row>
    <row r="1782" spans="6:6">
      <c r="F1782" s="23"/>
    </row>
    <row r="1783" spans="6:6">
      <c r="F1783" s="23"/>
    </row>
    <row r="1784" spans="6:6">
      <c r="F1784" s="23"/>
    </row>
    <row r="1785" spans="6:6">
      <c r="F1785" s="23"/>
    </row>
    <row r="1786" spans="6:6">
      <c r="F1786" s="23"/>
    </row>
    <row r="1787" spans="6:6">
      <c r="F1787" s="23"/>
    </row>
    <row r="1788" spans="6:6">
      <c r="F1788" s="23"/>
    </row>
    <row r="1789" spans="6:6">
      <c r="F1789" s="23"/>
    </row>
    <row r="1790" spans="6:6">
      <c r="F1790" s="23"/>
    </row>
    <row r="1791" spans="6:6">
      <c r="F1791" s="23"/>
    </row>
    <row r="1792" spans="6:6">
      <c r="F1792" s="23"/>
    </row>
    <row r="1793" spans="6:6">
      <c r="F1793" s="23"/>
    </row>
    <row r="1794" spans="6:6">
      <c r="F1794" s="23"/>
    </row>
    <row r="1795" spans="6:6">
      <c r="F1795" s="23"/>
    </row>
    <row r="1796" spans="6:6">
      <c r="F1796" s="23"/>
    </row>
    <row r="1797" spans="6:6">
      <c r="F1797" s="23"/>
    </row>
    <row r="1798" spans="6:6">
      <c r="F1798" s="23"/>
    </row>
    <row r="1799" spans="6:6">
      <c r="F1799" s="23"/>
    </row>
    <row r="1800" spans="6:6">
      <c r="F1800" s="23"/>
    </row>
    <row r="1801" spans="6:6">
      <c r="F1801" s="23"/>
    </row>
    <row r="1802" spans="6:6">
      <c r="F1802" s="23"/>
    </row>
    <row r="1803" spans="6:6">
      <c r="F1803" s="23"/>
    </row>
    <row r="1804" spans="6:6">
      <c r="F1804" s="23"/>
    </row>
    <row r="1805" spans="6:6">
      <c r="F1805" s="23"/>
    </row>
    <row r="1806" spans="6:6">
      <c r="F1806" s="23"/>
    </row>
    <row r="1807" spans="6:6">
      <c r="F1807" s="23"/>
    </row>
    <row r="1808" spans="6:6">
      <c r="F1808" s="23"/>
    </row>
    <row r="1809" spans="6:6">
      <c r="F1809" s="23"/>
    </row>
    <row r="1810" spans="6:6">
      <c r="F1810" s="23"/>
    </row>
    <row r="1811" spans="6:6">
      <c r="F1811" s="23"/>
    </row>
    <row r="1812" spans="6:6">
      <c r="F1812" s="23"/>
    </row>
    <row r="1813" spans="6:6">
      <c r="F1813" s="23"/>
    </row>
    <row r="1814" spans="6:6">
      <c r="F1814" s="23"/>
    </row>
    <row r="1815" spans="6:6">
      <c r="F1815" s="23"/>
    </row>
    <row r="1816" spans="6:6">
      <c r="F1816" s="23"/>
    </row>
    <row r="1817" spans="6:6">
      <c r="F1817" s="23"/>
    </row>
    <row r="1818" spans="6:6">
      <c r="F1818" s="23"/>
    </row>
    <row r="1819" spans="6:6">
      <c r="F1819" s="23"/>
    </row>
    <row r="1820" spans="6:6">
      <c r="F1820" s="23"/>
    </row>
    <row r="1821" spans="6:6">
      <c r="F1821" s="23"/>
    </row>
    <row r="1822" spans="6:6">
      <c r="F1822" s="23"/>
    </row>
    <row r="1823" spans="6:6">
      <c r="F1823" s="23"/>
    </row>
    <row r="1824" spans="6:6">
      <c r="F1824" s="23"/>
    </row>
    <row r="1825" spans="6:6">
      <c r="F1825" s="23"/>
    </row>
    <row r="1826" spans="6:6">
      <c r="F1826" s="23"/>
    </row>
    <row r="1827" spans="6:6">
      <c r="F1827" s="23"/>
    </row>
    <row r="1828" spans="6:6">
      <c r="F1828" s="23"/>
    </row>
    <row r="1829" spans="6:6">
      <c r="F1829" s="23"/>
    </row>
    <row r="1830" spans="6:6">
      <c r="F1830" s="23"/>
    </row>
    <row r="1831" spans="6:6">
      <c r="F1831" s="23"/>
    </row>
    <row r="1832" spans="6:6">
      <c r="F1832" s="23"/>
    </row>
    <row r="1833" spans="6:6">
      <c r="F1833" s="23"/>
    </row>
    <row r="1834" spans="6:6">
      <c r="F1834" s="23"/>
    </row>
    <row r="1835" spans="6:6">
      <c r="F1835" s="23"/>
    </row>
    <row r="1836" spans="6:6">
      <c r="F1836" s="23"/>
    </row>
    <row r="1837" spans="6:6">
      <c r="F1837" s="23"/>
    </row>
    <row r="1838" spans="6:6">
      <c r="F1838" s="23"/>
    </row>
    <row r="1839" spans="6:6">
      <c r="F1839" s="23"/>
    </row>
    <row r="1840" spans="6:6">
      <c r="F1840" s="23"/>
    </row>
    <row r="1841" spans="6:6">
      <c r="F1841" s="23"/>
    </row>
    <row r="1842" spans="6:6">
      <c r="F1842" s="23"/>
    </row>
    <row r="1843" spans="6:6">
      <c r="F1843" s="23"/>
    </row>
    <row r="1844" spans="6:6">
      <c r="F1844" s="23"/>
    </row>
    <row r="1845" spans="6:6">
      <c r="F1845" s="23"/>
    </row>
    <row r="1846" spans="6:6">
      <c r="F1846" s="23"/>
    </row>
    <row r="1847" spans="6:6">
      <c r="F1847" s="23"/>
    </row>
    <row r="1848" spans="6:6">
      <c r="F1848" s="23"/>
    </row>
    <row r="1849" spans="6:6">
      <c r="F1849" s="23"/>
    </row>
    <row r="1850" spans="6:6">
      <c r="F1850" s="23"/>
    </row>
    <row r="1851" spans="6:6">
      <c r="F1851" s="23"/>
    </row>
    <row r="1852" spans="6:6">
      <c r="F1852" s="23"/>
    </row>
    <row r="1853" spans="6:6">
      <c r="F1853" s="23"/>
    </row>
    <row r="1854" spans="6:6">
      <c r="F1854" s="23"/>
    </row>
    <row r="1855" spans="6:6">
      <c r="F1855" s="23"/>
    </row>
    <row r="1856" spans="6:6">
      <c r="F1856" s="23"/>
    </row>
    <row r="1857" spans="6:6">
      <c r="F1857" s="23"/>
    </row>
    <row r="1858" spans="6:6">
      <c r="F1858" s="23"/>
    </row>
    <row r="1859" spans="6:6">
      <c r="F1859" s="23"/>
    </row>
    <row r="1860" spans="6:6">
      <c r="F1860" s="23"/>
    </row>
    <row r="1861" spans="6:6">
      <c r="F1861" s="23"/>
    </row>
    <row r="1862" spans="6:6">
      <c r="F1862" s="23"/>
    </row>
    <row r="1863" spans="6:6">
      <c r="F1863" s="23"/>
    </row>
    <row r="1864" spans="6:6">
      <c r="F1864" s="23"/>
    </row>
    <row r="1865" spans="6:6">
      <c r="F1865" s="23"/>
    </row>
    <row r="1866" spans="6:6">
      <c r="F1866" s="23"/>
    </row>
    <row r="1867" spans="6:6">
      <c r="F1867" s="23"/>
    </row>
    <row r="1868" spans="6:6">
      <c r="F1868" s="23"/>
    </row>
    <row r="1869" spans="6:6">
      <c r="F1869" s="23"/>
    </row>
    <row r="1870" spans="6:6">
      <c r="F1870" s="23"/>
    </row>
    <row r="1871" spans="6:6">
      <c r="F1871" s="23"/>
    </row>
    <row r="1872" spans="6:6">
      <c r="F1872" s="23"/>
    </row>
    <row r="1873" spans="6:6">
      <c r="F1873" s="23"/>
    </row>
    <row r="1874" spans="6:6">
      <c r="F1874" s="23"/>
    </row>
    <row r="1875" spans="6:6">
      <c r="F1875" s="23"/>
    </row>
    <row r="1876" spans="6:6">
      <c r="F1876" s="23"/>
    </row>
    <row r="1877" spans="6:6">
      <c r="F1877" s="23"/>
    </row>
    <row r="1878" spans="6:6">
      <c r="F1878" s="23"/>
    </row>
    <row r="1879" spans="6:6">
      <c r="F1879" s="23"/>
    </row>
    <row r="1880" spans="6:6">
      <c r="F1880" s="23"/>
    </row>
    <row r="1881" spans="6:6">
      <c r="F1881" s="23"/>
    </row>
    <row r="1882" spans="6:6">
      <c r="F1882" s="23"/>
    </row>
    <row r="1883" spans="6:6">
      <c r="F1883" s="23"/>
    </row>
    <row r="1884" spans="6:6">
      <c r="F1884" s="23"/>
    </row>
    <row r="1885" spans="6:6">
      <c r="F1885" s="23"/>
    </row>
    <row r="1886" spans="6:6">
      <c r="F1886" s="23"/>
    </row>
    <row r="1887" spans="6:6">
      <c r="F1887" s="23"/>
    </row>
    <row r="1888" spans="6:6">
      <c r="F1888" s="23"/>
    </row>
    <row r="1889" spans="6:6">
      <c r="F1889" s="23"/>
    </row>
    <row r="1890" spans="6:6">
      <c r="F1890" s="23"/>
    </row>
    <row r="1891" spans="6:6">
      <c r="F1891" s="23"/>
    </row>
    <row r="1892" spans="6:6">
      <c r="F1892" s="23"/>
    </row>
    <row r="1893" spans="6:6">
      <c r="F1893" s="23"/>
    </row>
    <row r="1894" spans="6:6">
      <c r="F1894" s="23"/>
    </row>
    <row r="1895" spans="6:6">
      <c r="F1895" s="23"/>
    </row>
    <row r="1896" spans="6:6">
      <c r="F1896" s="23"/>
    </row>
    <row r="1897" spans="6:6">
      <c r="F1897" s="23"/>
    </row>
    <row r="1898" spans="6:6">
      <c r="F1898" s="23"/>
    </row>
    <row r="1899" spans="6:6">
      <c r="F1899" s="23"/>
    </row>
    <row r="1900" spans="6:6">
      <c r="F1900" s="23"/>
    </row>
    <row r="1901" spans="6:6">
      <c r="F1901" s="23"/>
    </row>
    <row r="1902" spans="6:6">
      <c r="F1902" s="23"/>
    </row>
    <row r="1903" spans="6:6">
      <c r="F1903" s="23"/>
    </row>
    <row r="1904" spans="6:6">
      <c r="F1904" s="23"/>
    </row>
    <row r="1905" spans="6:6">
      <c r="F1905" s="23"/>
    </row>
    <row r="1906" spans="6:6">
      <c r="F1906" s="23"/>
    </row>
    <row r="1907" spans="6:6">
      <c r="F1907" s="23"/>
    </row>
    <row r="1908" spans="6:6">
      <c r="F1908" s="23"/>
    </row>
    <row r="1909" spans="6:6">
      <c r="F1909" s="23"/>
    </row>
    <row r="1910" spans="6:6">
      <c r="F1910" s="23"/>
    </row>
    <row r="1911" spans="6:6">
      <c r="F1911" s="23"/>
    </row>
    <row r="1912" spans="6:6">
      <c r="F1912" s="23"/>
    </row>
    <row r="1913" spans="6:6">
      <c r="F1913" s="23"/>
    </row>
    <row r="1914" spans="6:6">
      <c r="F1914" s="23"/>
    </row>
    <row r="1915" spans="6:6">
      <c r="F1915" s="23"/>
    </row>
    <row r="1916" spans="6:6">
      <c r="F1916" s="23"/>
    </row>
    <row r="1917" spans="6:6">
      <c r="F1917" s="23"/>
    </row>
    <row r="1918" spans="6:6">
      <c r="F1918" s="23"/>
    </row>
    <row r="1919" spans="6:6">
      <c r="F1919" s="23"/>
    </row>
    <row r="1920" spans="6:6">
      <c r="F1920" s="23"/>
    </row>
    <row r="1921" spans="6:6">
      <c r="F1921" s="23"/>
    </row>
    <row r="1922" spans="6:6">
      <c r="F1922" s="23"/>
    </row>
    <row r="1923" spans="6:6">
      <c r="F1923" s="23"/>
    </row>
    <row r="1924" spans="6:6">
      <c r="F1924" s="23"/>
    </row>
    <row r="1925" spans="6:6">
      <c r="F1925" s="23"/>
    </row>
    <row r="1926" spans="6:6">
      <c r="F1926" s="23"/>
    </row>
    <row r="1927" spans="6:6">
      <c r="F1927" s="23"/>
    </row>
    <row r="1928" spans="6:6">
      <c r="F1928" s="23"/>
    </row>
    <row r="1929" spans="6:6">
      <c r="F1929" s="23"/>
    </row>
    <row r="1930" spans="6:6">
      <c r="F1930" s="23"/>
    </row>
    <row r="1931" spans="6:6">
      <c r="F1931" s="23"/>
    </row>
    <row r="1932" spans="6:6">
      <c r="F1932" s="23"/>
    </row>
    <row r="1933" spans="6:6">
      <c r="F1933" s="23"/>
    </row>
    <row r="1934" spans="6:6">
      <c r="F1934" s="23"/>
    </row>
    <row r="1935" spans="6:6">
      <c r="F1935" s="23"/>
    </row>
    <row r="1936" spans="6:6">
      <c r="F1936" s="23"/>
    </row>
    <row r="1937" spans="6:6">
      <c r="F1937" s="23"/>
    </row>
    <row r="1938" spans="6:6">
      <c r="F1938" s="23"/>
    </row>
    <row r="1939" spans="6:6">
      <c r="F1939" s="23"/>
    </row>
    <row r="1940" spans="6:6">
      <c r="F1940" s="23"/>
    </row>
    <row r="1941" spans="6:6">
      <c r="F1941" s="23"/>
    </row>
    <row r="1942" spans="6:6">
      <c r="F1942" s="23"/>
    </row>
    <row r="1943" spans="6:6">
      <c r="F1943" s="23"/>
    </row>
    <row r="1944" spans="6:6">
      <c r="F1944" s="23"/>
    </row>
    <row r="1945" spans="6:6">
      <c r="F1945" s="23"/>
    </row>
    <row r="1946" spans="6:6">
      <c r="F1946" s="23"/>
    </row>
    <row r="1947" spans="6:6">
      <c r="F1947" s="23"/>
    </row>
    <row r="1948" spans="6:6">
      <c r="F1948" s="23"/>
    </row>
    <row r="1949" spans="6:6">
      <c r="F1949" s="23"/>
    </row>
    <row r="1950" spans="6:6">
      <c r="F1950" s="23"/>
    </row>
    <row r="1951" spans="6:6">
      <c r="F1951" s="23"/>
    </row>
    <row r="1952" spans="6:6">
      <c r="F1952" s="23"/>
    </row>
    <row r="1953" spans="6:6">
      <c r="F1953" s="23"/>
    </row>
    <row r="1954" spans="6:6">
      <c r="F1954" s="23"/>
    </row>
    <row r="1955" spans="6:6">
      <c r="F1955" s="23"/>
    </row>
    <row r="1956" spans="6:6">
      <c r="F1956" s="23"/>
    </row>
    <row r="1957" spans="6:6">
      <c r="F1957" s="23"/>
    </row>
    <row r="1958" spans="6:6">
      <c r="F1958" s="23"/>
    </row>
    <row r="1959" spans="6:6">
      <c r="F1959" s="23"/>
    </row>
    <row r="1960" spans="6:6">
      <c r="F1960" s="23"/>
    </row>
    <row r="1961" spans="6:6">
      <c r="F1961" s="23"/>
    </row>
    <row r="1962" spans="6:6">
      <c r="F1962" s="23"/>
    </row>
    <row r="1963" spans="6:6">
      <c r="F1963" s="23"/>
    </row>
    <row r="1964" spans="6:6">
      <c r="F1964" s="23"/>
    </row>
    <row r="1965" spans="6:6">
      <c r="F1965" s="23"/>
    </row>
    <row r="1966" spans="6:6">
      <c r="F1966" s="23"/>
    </row>
    <row r="1967" spans="6:6">
      <c r="F1967" s="23"/>
    </row>
    <row r="1968" spans="6:6">
      <c r="F1968" s="23"/>
    </row>
    <row r="1969" spans="6:6">
      <c r="F1969" s="23"/>
    </row>
    <row r="1970" spans="6:6">
      <c r="F1970" s="23"/>
    </row>
    <row r="1971" spans="6:6">
      <c r="F1971" s="23"/>
    </row>
    <row r="1972" spans="6:6">
      <c r="F1972" s="23"/>
    </row>
    <row r="1973" spans="6:6">
      <c r="F1973" s="23"/>
    </row>
    <row r="1974" spans="6:6">
      <c r="F1974" s="23"/>
    </row>
    <row r="1975" spans="6:6">
      <c r="F1975" s="23"/>
    </row>
    <row r="1976" spans="6:6">
      <c r="F1976" s="23"/>
    </row>
    <row r="1977" spans="6:6">
      <c r="F1977" s="23"/>
    </row>
    <row r="1978" spans="6:6">
      <c r="F1978" s="23"/>
    </row>
    <row r="1979" spans="6:6">
      <c r="F1979" s="23"/>
    </row>
    <row r="1980" spans="6:6">
      <c r="F1980" s="23"/>
    </row>
    <row r="1981" spans="6:6">
      <c r="F1981" s="23"/>
    </row>
    <row r="1982" spans="6:6">
      <c r="F1982" s="23"/>
    </row>
    <row r="1983" spans="6:6">
      <c r="F1983" s="23"/>
    </row>
    <row r="1984" spans="6:6">
      <c r="F1984" s="23"/>
    </row>
    <row r="1985" spans="6:6">
      <c r="F1985" s="23"/>
    </row>
    <row r="1986" spans="6:6">
      <c r="F1986" s="23"/>
    </row>
    <row r="1987" spans="6:6">
      <c r="F1987" s="23"/>
    </row>
    <row r="1988" spans="6:6">
      <c r="F1988" s="23"/>
    </row>
    <row r="1989" spans="6:6">
      <c r="F1989" s="23"/>
    </row>
    <row r="1990" spans="6:6">
      <c r="F1990" s="23"/>
    </row>
    <row r="1991" spans="6:6">
      <c r="F1991" s="23"/>
    </row>
    <row r="1992" spans="6:6">
      <c r="F1992" s="23"/>
    </row>
    <row r="1993" spans="6:6">
      <c r="F1993" s="23"/>
    </row>
    <row r="1994" spans="6:6">
      <c r="F1994" s="23"/>
    </row>
    <row r="1995" spans="6:6">
      <c r="F1995" s="23"/>
    </row>
    <row r="1996" spans="6:6">
      <c r="F1996" s="23"/>
    </row>
    <row r="1997" spans="6:6">
      <c r="F1997" s="23"/>
    </row>
    <row r="1998" spans="6:6">
      <c r="F1998" s="23"/>
    </row>
    <row r="1999" spans="6:6">
      <c r="F1999" s="23"/>
    </row>
    <row r="2000" spans="6:6">
      <c r="F2000" s="23"/>
    </row>
    <row r="2001" spans="6:6">
      <c r="F2001" s="23"/>
    </row>
    <row r="2002" spans="6:6">
      <c r="F2002" s="23"/>
    </row>
    <row r="2003" spans="6:6">
      <c r="F2003" s="23"/>
    </row>
    <row r="2004" spans="6:6">
      <c r="F2004" s="23"/>
    </row>
    <row r="2005" spans="6:6">
      <c r="F2005" s="23"/>
    </row>
    <row r="2006" spans="6:6">
      <c r="F2006" s="23"/>
    </row>
    <row r="2007" spans="6:6">
      <c r="F2007" s="23"/>
    </row>
    <row r="2008" spans="6:6">
      <c r="F2008" s="23"/>
    </row>
    <row r="2009" spans="6:6">
      <c r="F2009" s="23"/>
    </row>
    <row r="2010" spans="6:6">
      <c r="F2010" s="23"/>
    </row>
    <row r="2011" spans="6:6">
      <c r="F2011" s="23"/>
    </row>
    <row r="2012" spans="6:6">
      <c r="F2012" s="23"/>
    </row>
    <row r="2013" spans="6:6">
      <c r="F2013" s="23"/>
    </row>
    <row r="2014" spans="6:6">
      <c r="F2014" s="23"/>
    </row>
    <row r="2015" spans="6:6">
      <c r="F2015" s="23"/>
    </row>
    <row r="2016" spans="6:6">
      <c r="F2016" s="23"/>
    </row>
    <row r="2017" spans="6:6">
      <c r="F2017" s="23"/>
    </row>
    <row r="2018" spans="6:6">
      <c r="F2018" s="23"/>
    </row>
    <row r="2019" spans="6:6">
      <c r="F2019" s="23"/>
    </row>
    <row r="2020" spans="6:6">
      <c r="F2020" s="23"/>
    </row>
    <row r="2021" spans="6:6">
      <c r="F2021" s="23"/>
    </row>
    <row r="2022" spans="6:6">
      <c r="F2022" s="23"/>
    </row>
    <row r="2023" spans="6:6">
      <c r="F2023" s="23"/>
    </row>
    <row r="2024" spans="6:6">
      <c r="F2024" s="23"/>
    </row>
    <row r="2025" spans="6:6">
      <c r="F2025" s="23"/>
    </row>
    <row r="2026" spans="6:6">
      <c r="F2026" s="23"/>
    </row>
    <row r="2027" spans="6:6">
      <c r="F2027" s="23"/>
    </row>
    <row r="2028" spans="6:6">
      <c r="F2028" s="23"/>
    </row>
    <row r="2029" spans="6:6">
      <c r="F2029" s="23"/>
    </row>
    <row r="2030" spans="6:6">
      <c r="F2030" s="23"/>
    </row>
    <row r="2031" spans="6:6">
      <c r="F2031" s="23"/>
    </row>
    <row r="2032" spans="6:6">
      <c r="F2032" s="23"/>
    </row>
    <row r="2033" spans="6:6">
      <c r="F2033" s="23"/>
    </row>
    <row r="2034" spans="6:6">
      <c r="F2034" s="23"/>
    </row>
    <row r="2035" spans="6:6">
      <c r="F2035" s="23"/>
    </row>
    <row r="2036" spans="6:6">
      <c r="F2036" s="23"/>
    </row>
    <row r="2037" spans="6:6">
      <c r="F2037" s="23"/>
    </row>
    <row r="2038" spans="6:6">
      <c r="F2038" s="23"/>
    </row>
    <row r="2039" spans="6:6">
      <c r="F2039" s="23"/>
    </row>
    <row r="2040" spans="6:6">
      <c r="F2040" s="23"/>
    </row>
    <row r="2041" spans="6:6">
      <c r="F2041" s="23"/>
    </row>
    <row r="2042" spans="6:6">
      <c r="F2042" s="23"/>
    </row>
    <row r="2043" spans="6:6">
      <c r="F2043" s="23"/>
    </row>
    <row r="2044" spans="6:6">
      <c r="F2044" s="23"/>
    </row>
    <row r="2045" spans="6:6">
      <c r="F2045" s="23"/>
    </row>
    <row r="2046" spans="6:6">
      <c r="F2046" s="23"/>
    </row>
    <row r="2047" spans="6:6">
      <c r="F2047" s="23"/>
    </row>
    <row r="2048" spans="6:6">
      <c r="F2048" s="23"/>
    </row>
    <row r="2049" spans="6:6">
      <c r="F2049" s="23"/>
    </row>
    <row r="2050" spans="6:6">
      <c r="F2050" s="23"/>
    </row>
    <row r="2051" spans="6:6">
      <c r="F2051" s="23"/>
    </row>
    <row r="2052" spans="6:6">
      <c r="F2052" s="23"/>
    </row>
    <row r="2053" spans="6:6">
      <c r="F2053" s="23"/>
    </row>
    <row r="2054" spans="6:6">
      <c r="F2054" s="23"/>
    </row>
    <row r="2055" spans="6:6">
      <c r="F2055" s="23"/>
    </row>
    <row r="2056" spans="6:6">
      <c r="F2056" s="23"/>
    </row>
    <row r="2057" spans="6:6">
      <c r="F2057" s="23"/>
    </row>
    <row r="2058" spans="6:6">
      <c r="F2058" s="23"/>
    </row>
    <row r="2059" spans="6:6">
      <c r="F2059" s="23"/>
    </row>
    <row r="2060" spans="6:6">
      <c r="F2060" s="23"/>
    </row>
    <row r="2061" spans="6:6">
      <c r="F2061" s="23"/>
    </row>
    <row r="2062" spans="6:6">
      <c r="F2062" s="23"/>
    </row>
    <row r="2063" spans="6:6">
      <c r="F2063" s="23"/>
    </row>
    <row r="2064" spans="6:6">
      <c r="F2064" s="23"/>
    </row>
    <row r="2065" spans="6:6">
      <c r="F2065" s="23"/>
    </row>
    <row r="2066" spans="6:6">
      <c r="F2066" s="23"/>
    </row>
    <row r="2067" spans="6:6">
      <c r="F2067" s="23"/>
    </row>
    <row r="2068" spans="6:6">
      <c r="F2068" s="23"/>
    </row>
    <row r="2069" spans="6:6">
      <c r="F2069" s="23"/>
    </row>
    <row r="2070" spans="6:6">
      <c r="F2070" s="23"/>
    </row>
    <row r="2071" spans="6:6">
      <c r="F2071" s="23"/>
    </row>
    <row r="2072" spans="6:6">
      <c r="F2072" s="23"/>
    </row>
    <row r="2073" spans="6:6">
      <c r="F2073" s="23"/>
    </row>
    <row r="2074" spans="6:6">
      <c r="F2074" s="23"/>
    </row>
    <row r="2075" spans="6:6">
      <c r="F2075" s="23"/>
    </row>
    <row r="2076" spans="6:6">
      <c r="F2076" s="23"/>
    </row>
    <row r="2077" spans="6:6">
      <c r="F2077" s="23"/>
    </row>
    <row r="2078" spans="6:6">
      <c r="F2078" s="23"/>
    </row>
    <row r="2079" spans="6:6">
      <c r="F2079" s="23"/>
    </row>
    <row r="2080" spans="6:6">
      <c r="F2080" s="23"/>
    </row>
    <row r="2081" spans="6:6">
      <c r="F2081" s="23"/>
    </row>
    <row r="2082" spans="6:6">
      <c r="F2082" s="23"/>
    </row>
    <row r="2083" spans="6:6">
      <c r="F2083" s="23"/>
    </row>
    <row r="2084" spans="6:6">
      <c r="F2084" s="23"/>
    </row>
    <row r="2085" spans="6:6">
      <c r="F2085" s="23"/>
    </row>
    <row r="2086" spans="6:6">
      <c r="F2086" s="23"/>
    </row>
    <row r="2087" spans="6:6">
      <c r="F2087" s="23"/>
    </row>
    <row r="2088" spans="6:6">
      <c r="F2088" s="23"/>
    </row>
    <row r="2089" spans="6:6">
      <c r="F2089" s="23"/>
    </row>
    <row r="2090" spans="6:6">
      <c r="F2090" s="23"/>
    </row>
    <row r="2091" spans="6:6">
      <c r="F2091" s="23"/>
    </row>
    <row r="2092" spans="6:6">
      <c r="F2092" s="23"/>
    </row>
    <row r="2093" spans="6:6">
      <c r="F2093" s="23"/>
    </row>
    <row r="2094" spans="6:6">
      <c r="F2094" s="23"/>
    </row>
    <row r="2095" spans="6:6">
      <c r="F2095" s="23"/>
    </row>
    <row r="2096" spans="6:6">
      <c r="F2096" s="23"/>
    </row>
    <row r="2097" spans="6:6">
      <c r="F2097" s="23"/>
    </row>
    <row r="2098" spans="6:6">
      <c r="F2098" s="23"/>
    </row>
    <row r="2099" spans="6:6">
      <c r="F2099" s="23"/>
    </row>
    <row r="2100" spans="6:6">
      <c r="F2100" s="23"/>
    </row>
    <row r="2101" spans="6:6">
      <c r="F2101" s="23"/>
    </row>
    <row r="2102" spans="6:6">
      <c r="F2102" s="23"/>
    </row>
    <row r="2103" spans="6:6">
      <c r="F2103" s="23"/>
    </row>
    <row r="2104" spans="6:6">
      <c r="F2104" s="23"/>
    </row>
    <row r="2105" spans="6:6">
      <c r="F2105" s="23"/>
    </row>
    <row r="2106" spans="6:6">
      <c r="F2106" s="23"/>
    </row>
    <row r="2107" spans="6:6">
      <c r="F2107" s="23"/>
    </row>
    <row r="2108" spans="6:6">
      <c r="F2108" s="23"/>
    </row>
    <row r="2109" spans="6:6">
      <c r="F2109" s="23"/>
    </row>
    <row r="2110" spans="6:6">
      <c r="F2110" s="23"/>
    </row>
    <row r="2111" spans="6:6">
      <c r="F2111" s="23"/>
    </row>
    <row r="2112" spans="6:6">
      <c r="F2112" s="23"/>
    </row>
    <row r="2113" spans="6:6">
      <c r="F2113" s="23"/>
    </row>
    <row r="2114" spans="6:6">
      <c r="F2114" s="23"/>
    </row>
    <row r="2115" spans="6:6">
      <c r="F2115" s="23"/>
    </row>
    <row r="2116" spans="6:6">
      <c r="F2116" s="23"/>
    </row>
    <row r="2117" spans="6:6">
      <c r="F2117" s="23"/>
    </row>
    <row r="2118" spans="6:6">
      <c r="F2118" s="23"/>
    </row>
    <row r="2119" spans="6:6">
      <c r="F2119" s="23"/>
    </row>
    <row r="2120" spans="6:6">
      <c r="F2120" s="23"/>
    </row>
    <row r="2121" spans="6:6">
      <c r="F2121" s="23"/>
    </row>
    <row r="2122" spans="6:6">
      <c r="F2122" s="23"/>
    </row>
    <row r="2123" spans="6:6">
      <c r="F2123" s="23"/>
    </row>
    <row r="2124" spans="6:6">
      <c r="F2124" s="23"/>
    </row>
    <row r="2125" spans="6:6">
      <c r="F2125" s="23"/>
    </row>
    <row r="2126" spans="6:6">
      <c r="F2126" s="23"/>
    </row>
    <row r="2127" spans="6:6">
      <c r="F2127" s="23"/>
    </row>
    <row r="2128" spans="6:6">
      <c r="F2128" s="23"/>
    </row>
    <row r="2129" spans="6:6">
      <c r="F2129" s="23"/>
    </row>
    <row r="2130" spans="6:6">
      <c r="F2130" s="23"/>
    </row>
    <row r="2131" spans="6:6">
      <c r="F2131" s="23"/>
    </row>
    <row r="2132" spans="6:6">
      <c r="F2132" s="23"/>
    </row>
    <row r="2133" spans="6:6">
      <c r="F2133" s="23"/>
    </row>
    <row r="2134" spans="6:6">
      <c r="F2134" s="23"/>
    </row>
    <row r="2135" spans="6:6">
      <c r="F2135" s="23"/>
    </row>
    <row r="2136" spans="6:6">
      <c r="F2136" s="23"/>
    </row>
    <row r="2137" spans="6:6">
      <c r="F2137" s="23"/>
    </row>
    <row r="2138" spans="6:6">
      <c r="F2138" s="23"/>
    </row>
    <row r="2139" spans="6:6">
      <c r="F2139" s="23"/>
    </row>
    <row r="2140" spans="6:6">
      <c r="F2140" s="23"/>
    </row>
    <row r="2141" spans="6:6">
      <c r="F2141" s="23"/>
    </row>
    <row r="2142" spans="6:6">
      <c r="F2142" s="23"/>
    </row>
    <row r="2143" spans="6:6">
      <c r="F2143" s="23"/>
    </row>
    <row r="2144" spans="6:6">
      <c r="F2144" s="23"/>
    </row>
    <row r="2145" spans="6:6">
      <c r="F2145" s="23"/>
    </row>
    <row r="2146" spans="6:6">
      <c r="F2146" s="23"/>
    </row>
    <row r="2147" spans="6:6">
      <c r="F2147" s="23"/>
    </row>
    <row r="2148" spans="6:6">
      <c r="F2148" s="23"/>
    </row>
    <row r="2149" spans="6:6">
      <c r="F2149" s="23"/>
    </row>
    <row r="2150" spans="6:6">
      <c r="F2150" s="23"/>
    </row>
    <row r="2151" spans="6:6">
      <c r="F2151" s="23"/>
    </row>
    <row r="2152" spans="6:6">
      <c r="F2152" s="23"/>
    </row>
    <row r="2153" spans="6:6">
      <c r="F2153" s="23"/>
    </row>
    <row r="2154" spans="6:6">
      <c r="F2154" s="23"/>
    </row>
    <row r="2155" spans="6:6">
      <c r="F2155" s="23"/>
    </row>
    <row r="2156" spans="6:6">
      <c r="F2156" s="23"/>
    </row>
    <row r="2157" spans="6:6">
      <c r="F2157" s="23"/>
    </row>
    <row r="2158" spans="6:6">
      <c r="F2158" s="23"/>
    </row>
    <row r="2159" spans="6:6">
      <c r="F2159" s="23"/>
    </row>
    <row r="2160" spans="6:6">
      <c r="F2160" s="23"/>
    </row>
    <row r="2161" spans="6:6">
      <c r="F2161" s="23"/>
    </row>
    <row r="2162" spans="6:6">
      <c r="F2162" s="23"/>
    </row>
    <row r="2163" spans="6:6">
      <c r="F2163" s="23"/>
    </row>
    <row r="2164" spans="6:6">
      <c r="F2164" s="23"/>
    </row>
    <row r="2165" spans="6:6">
      <c r="F2165" s="23"/>
    </row>
    <row r="2166" spans="6:6">
      <c r="F2166" s="23"/>
    </row>
    <row r="2167" spans="6:6">
      <c r="F2167" s="23"/>
    </row>
    <row r="2168" spans="6:6">
      <c r="F2168" s="23"/>
    </row>
    <row r="2169" spans="6:6">
      <c r="F2169" s="23"/>
    </row>
    <row r="2170" spans="6:6">
      <c r="F2170" s="23"/>
    </row>
    <row r="2171" spans="6:6">
      <c r="F2171" s="23"/>
    </row>
    <row r="2172" spans="6:6">
      <c r="F2172" s="23"/>
    </row>
    <row r="2173" spans="6:6">
      <c r="F2173" s="23"/>
    </row>
    <row r="2174" spans="6:6">
      <c r="F2174" s="23"/>
    </row>
    <row r="2175" spans="6:6">
      <c r="F2175" s="23"/>
    </row>
    <row r="2176" spans="6:6">
      <c r="F2176" s="23"/>
    </row>
    <row r="2177" spans="6:6">
      <c r="F2177" s="23"/>
    </row>
    <row r="2178" spans="6:6">
      <c r="F2178" s="23"/>
    </row>
    <row r="2179" spans="6:6">
      <c r="F2179" s="23"/>
    </row>
    <row r="2180" spans="6:6">
      <c r="F2180" s="23"/>
    </row>
    <row r="2181" spans="6:6">
      <c r="F2181" s="23"/>
    </row>
    <row r="2182" spans="6:6">
      <c r="F2182" s="23"/>
    </row>
    <row r="2183" spans="6:6">
      <c r="F2183" s="23"/>
    </row>
    <row r="2184" spans="6:6">
      <c r="F2184" s="23"/>
    </row>
    <row r="2185" spans="6:6">
      <c r="F2185" s="23"/>
    </row>
    <row r="2186" spans="6:6">
      <c r="F2186" s="23"/>
    </row>
    <row r="2187" spans="6:6">
      <c r="F2187" s="23"/>
    </row>
    <row r="2188" spans="6:6">
      <c r="F2188" s="23"/>
    </row>
    <row r="2189" spans="6:6">
      <c r="F2189" s="23"/>
    </row>
    <row r="2190" spans="6:6">
      <c r="F2190" s="23"/>
    </row>
    <row r="2191" spans="6:6">
      <c r="F2191" s="23"/>
    </row>
    <row r="2192" spans="6:6">
      <c r="F2192" s="23"/>
    </row>
    <row r="2193" spans="6:6">
      <c r="F2193" s="23"/>
    </row>
    <row r="2194" spans="6:6">
      <c r="F2194" s="23"/>
    </row>
    <row r="2195" spans="6:6">
      <c r="F2195" s="23"/>
    </row>
    <row r="2196" spans="6:6">
      <c r="F2196" s="23"/>
    </row>
    <row r="2197" spans="6:6">
      <c r="F2197" s="23"/>
    </row>
    <row r="2198" spans="6:6">
      <c r="F2198" s="23"/>
    </row>
    <row r="2199" spans="6:6">
      <c r="F2199" s="23"/>
    </row>
    <row r="2200" spans="6:6">
      <c r="F2200" s="23"/>
    </row>
    <row r="2201" spans="6:6">
      <c r="F2201" s="23"/>
    </row>
    <row r="2202" spans="6:6">
      <c r="F2202" s="23"/>
    </row>
    <row r="2203" spans="6:6">
      <c r="F2203" s="23"/>
    </row>
    <row r="2204" spans="6:6">
      <c r="F2204" s="23"/>
    </row>
    <row r="2205" spans="6:6">
      <c r="F2205" s="23"/>
    </row>
    <row r="2206" spans="6:6">
      <c r="F2206" s="23"/>
    </row>
    <row r="2207" spans="6:6">
      <c r="F2207" s="23"/>
    </row>
    <row r="2208" spans="6:6">
      <c r="F2208" s="23"/>
    </row>
    <row r="2209" spans="6:6">
      <c r="F2209" s="23"/>
    </row>
    <row r="2210" spans="6:6">
      <c r="F2210" s="23"/>
    </row>
    <row r="2211" spans="6:6">
      <c r="F2211" s="23"/>
    </row>
    <row r="2212" spans="6:6">
      <c r="F2212" s="23"/>
    </row>
    <row r="2213" spans="6:6">
      <c r="F2213" s="23"/>
    </row>
    <row r="2214" spans="6:6">
      <c r="F2214" s="23"/>
    </row>
    <row r="2215" spans="6:6">
      <c r="F2215" s="23"/>
    </row>
    <row r="2216" spans="6:6">
      <c r="F2216" s="23"/>
    </row>
    <row r="2217" spans="6:6">
      <c r="F2217" s="23"/>
    </row>
    <row r="2218" spans="6:6">
      <c r="F2218" s="23"/>
    </row>
    <row r="2219" spans="6:6">
      <c r="F2219" s="23"/>
    </row>
    <row r="2220" spans="6:6">
      <c r="F2220" s="23"/>
    </row>
    <row r="2221" spans="6:6">
      <c r="F2221" s="23"/>
    </row>
    <row r="2222" spans="6:6">
      <c r="F2222" s="23"/>
    </row>
    <row r="2223" spans="6:6">
      <c r="F2223" s="23"/>
    </row>
    <row r="2224" spans="6:6">
      <c r="F2224" s="23"/>
    </row>
    <row r="2225" spans="6:6">
      <c r="F2225" s="23"/>
    </row>
    <row r="2226" spans="6:6">
      <c r="F2226" s="23"/>
    </row>
    <row r="2227" spans="6:6">
      <c r="F2227" s="23"/>
    </row>
    <row r="2228" spans="6:6">
      <c r="F2228" s="23"/>
    </row>
    <row r="2229" spans="6:6">
      <c r="F2229" s="23"/>
    </row>
    <row r="2230" spans="6:6">
      <c r="F2230" s="23"/>
    </row>
    <row r="2231" spans="6:6">
      <c r="F2231" s="23"/>
    </row>
    <row r="2232" spans="6:6">
      <c r="F2232" s="23"/>
    </row>
    <row r="2233" spans="6:6">
      <c r="F2233" s="23"/>
    </row>
    <row r="2234" spans="6:6">
      <c r="F2234" s="23"/>
    </row>
    <row r="2235" spans="6:6">
      <c r="F2235" s="23"/>
    </row>
    <row r="2236" spans="6:6">
      <c r="F2236" s="23"/>
    </row>
    <row r="2237" spans="6:6">
      <c r="F2237" s="23"/>
    </row>
    <row r="2238" spans="6:6">
      <c r="F2238" s="23"/>
    </row>
    <row r="2239" spans="6:6">
      <c r="F2239" s="23"/>
    </row>
    <row r="2240" spans="6:6">
      <c r="F2240" s="23"/>
    </row>
    <row r="2241" spans="6:6">
      <c r="F2241" s="23"/>
    </row>
    <row r="2242" spans="6:6">
      <c r="F2242" s="23"/>
    </row>
    <row r="2243" spans="6:6">
      <c r="F2243" s="23"/>
    </row>
    <row r="2244" spans="6:6">
      <c r="F2244" s="23"/>
    </row>
    <row r="2245" spans="6:6">
      <c r="F2245" s="23"/>
    </row>
    <row r="2246" spans="6:6">
      <c r="F2246" s="23"/>
    </row>
    <row r="2247" spans="6:6">
      <c r="F2247" s="23"/>
    </row>
    <row r="2248" spans="6:6">
      <c r="F2248" s="23"/>
    </row>
    <row r="2249" spans="6:6">
      <c r="F2249" s="23"/>
    </row>
    <row r="2250" spans="6:6">
      <c r="F2250" s="23"/>
    </row>
    <row r="2251" spans="6:6">
      <c r="F2251" s="23"/>
    </row>
    <row r="2252" spans="6:6">
      <c r="F2252" s="23"/>
    </row>
    <row r="2253" spans="6:6">
      <c r="F2253" s="23"/>
    </row>
    <row r="2254" spans="6:6">
      <c r="F2254" s="23"/>
    </row>
    <row r="2255" spans="6:6">
      <c r="F2255" s="23"/>
    </row>
    <row r="2256" spans="6:6">
      <c r="F2256" s="23"/>
    </row>
    <row r="2257" spans="6:6">
      <c r="F2257" s="23"/>
    </row>
    <row r="2258" spans="6:6">
      <c r="F2258" s="23"/>
    </row>
    <row r="2259" spans="6:6">
      <c r="F2259" s="23"/>
    </row>
    <row r="2260" spans="6:6">
      <c r="F2260" s="23"/>
    </row>
    <row r="2261" spans="6:6">
      <c r="F2261" s="23"/>
    </row>
    <row r="2262" spans="6:6">
      <c r="F2262" s="23"/>
    </row>
    <row r="2263" spans="6:6">
      <c r="F2263" s="23"/>
    </row>
    <row r="2264" spans="6:6">
      <c r="F2264" s="23"/>
    </row>
    <row r="2265" spans="6:6">
      <c r="F2265" s="23"/>
    </row>
    <row r="2266" spans="6:6">
      <c r="F2266" s="23"/>
    </row>
    <row r="2267" spans="6:6">
      <c r="F2267" s="23"/>
    </row>
    <row r="2268" spans="6:6">
      <c r="F2268" s="23"/>
    </row>
    <row r="2269" spans="6:6">
      <c r="F2269" s="23"/>
    </row>
    <row r="2270" spans="6:6">
      <c r="F2270" s="23"/>
    </row>
    <row r="2271" spans="6:6">
      <c r="F2271" s="23"/>
    </row>
    <row r="2272" spans="6:6">
      <c r="F2272" s="23"/>
    </row>
    <row r="2273" spans="6:6">
      <c r="F2273" s="23"/>
    </row>
    <row r="2274" spans="6:6">
      <c r="F2274" s="23"/>
    </row>
    <row r="2275" spans="6:6">
      <c r="F2275" s="23"/>
    </row>
    <row r="2276" spans="6:6">
      <c r="F2276" s="23"/>
    </row>
    <row r="2277" spans="6:6">
      <c r="F2277" s="23"/>
    </row>
    <row r="2278" spans="6:6">
      <c r="F2278" s="23"/>
    </row>
    <row r="2279" spans="6:6">
      <c r="F2279" s="23"/>
    </row>
    <row r="2280" spans="6:6">
      <c r="F2280" s="23"/>
    </row>
    <row r="2281" spans="6:6">
      <c r="F2281" s="23"/>
    </row>
    <row r="2282" spans="6:6">
      <c r="F2282" s="23"/>
    </row>
    <row r="2283" spans="6:6">
      <c r="F2283" s="23"/>
    </row>
    <row r="2284" spans="6:6">
      <c r="F2284" s="23"/>
    </row>
    <row r="2285" spans="6:6">
      <c r="F2285" s="23"/>
    </row>
    <row r="2286" spans="6:6">
      <c r="F2286" s="23"/>
    </row>
    <row r="2287" spans="6:6">
      <c r="F2287" s="23"/>
    </row>
    <row r="2288" spans="6:6">
      <c r="F2288" s="23"/>
    </row>
    <row r="2289" spans="6:6">
      <c r="F2289" s="23"/>
    </row>
    <row r="2290" spans="6:6">
      <c r="F2290" s="23"/>
    </row>
    <row r="2291" spans="6:6">
      <c r="F2291" s="23"/>
    </row>
    <row r="2292" spans="6:6">
      <c r="F2292" s="23"/>
    </row>
    <row r="2293" spans="6:6">
      <c r="F2293" s="23"/>
    </row>
    <row r="2294" spans="6:6">
      <c r="F2294" s="23"/>
    </row>
    <row r="2295" spans="6:6">
      <c r="F2295" s="23"/>
    </row>
    <row r="2296" spans="6:6">
      <c r="F2296" s="23"/>
    </row>
    <row r="2297" spans="6:6">
      <c r="F2297" s="23"/>
    </row>
    <row r="2298" spans="6:6">
      <c r="F2298" s="23"/>
    </row>
    <row r="2299" spans="6:6">
      <c r="F2299" s="23"/>
    </row>
    <row r="2300" spans="6:6">
      <c r="F2300" s="23"/>
    </row>
    <row r="2301" spans="6:6">
      <c r="F2301" s="23"/>
    </row>
    <row r="2302" spans="6:6">
      <c r="F2302" s="23"/>
    </row>
    <row r="2303" spans="6:6">
      <c r="F2303" s="23"/>
    </row>
    <row r="2304" spans="6:6">
      <c r="F2304" s="23"/>
    </row>
    <row r="2305" spans="6:6">
      <c r="F2305" s="23"/>
    </row>
    <row r="2306" spans="6:6">
      <c r="F2306" s="23"/>
    </row>
    <row r="2307" spans="6:6">
      <c r="F2307" s="23"/>
    </row>
    <row r="2308" spans="6:6">
      <c r="F2308" s="23"/>
    </row>
    <row r="2309" spans="6:6">
      <c r="F2309" s="23"/>
    </row>
    <row r="2310" spans="6:6">
      <c r="F2310" s="23"/>
    </row>
    <row r="2311" spans="6:6">
      <c r="F2311" s="23"/>
    </row>
    <row r="2312" spans="6:6">
      <c r="F2312" s="23"/>
    </row>
    <row r="2313" spans="6:6">
      <c r="F2313" s="23"/>
    </row>
    <row r="2314" spans="6:6">
      <c r="F2314" s="23"/>
    </row>
    <row r="2315" spans="6:6">
      <c r="F2315" s="23"/>
    </row>
    <row r="2316" spans="6:6">
      <c r="F2316" s="23"/>
    </row>
    <row r="2317" spans="6:6">
      <c r="F2317" s="23"/>
    </row>
    <row r="2318" spans="6:6">
      <c r="F2318" s="23"/>
    </row>
    <row r="2319" spans="6:6">
      <c r="F2319" s="23"/>
    </row>
    <row r="2320" spans="6:6">
      <c r="F2320" s="23"/>
    </row>
    <row r="2321" spans="6:6">
      <c r="F2321" s="23"/>
    </row>
    <row r="2322" spans="6:6">
      <c r="F2322" s="23"/>
    </row>
    <row r="2323" spans="6:6">
      <c r="F2323" s="23"/>
    </row>
    <row r="2324" spans="6:6">
      <c r="F2324" s="23"/>
    </row>
    <row r="2325" spans="6:6">
      <c r="F2325" s="23"/>
    </row>
    <row r="2326" spans="6:6">
      <c r="F2326" s="23"/>
    </row>
    <row r="2327" spans="6:6">
      <c r="F2327" s="23"/>
    </row>
    <row r="2328" spans="6:6">
      <c r="F2328" s="23"/>
    </row>
    <row r="2329" spans="6:6">
      <c r="F2329" s="23"/>
    </row>
    <row r="2330" spans="6:6">
      <c r="F2330" s="23"/>
    </row>
    <row r="2331" spans="6:6">
      <c r="F2331" s="23"/>
    </row>
    <row r="2332" spans="6:6">
      <c r="F2332" s="23"/>
    </row>
    <row r="2333" spans="6:6">
      <c r="F2333" s="23"/>
    </row>
    <row r="2334" spans="6:6">
      <c r="F2334" s="23"/>
    </row>
    <row r="2335" spans="6:6">
      <c r="F2335" s="23"/>
    </row>
    <row r="2336" spans="6:6">
      <c r="F2336" s="23"/>
    </row>
    <row r="2337" spans="6:6">
      <c r="F2337" s="23"/>
    </row>
    <row r="2338" spans="6:6">
      <c r="F2338" s="23"/>
    </row>
    <row r="2339" spans="6:6">
      <c r="F2339" s="23"/>
    </row>
    <row r="2340" spans="6:6">
      <c r="F2340" s="23"/>
    </row>
    <row r="2341" spans="6:6">
      <c r="F2341" s="23"/>
    </row>
    <row r="2342" spans="6:6">
      <c r="F2342" s="23"/>
    </row>
    <row r="2343" spans="6:6">
      <c r="F2343" s="23"/>
    </row>
    <row r="2344" spans="6:6">
      <c r="F2344" s="23"/>
    </row>
    <row r="2345" spans="6:6">
      <c r="F2345" s="23"/>
    </row>
    <row r="2346" spans="6:6">
      <c r="F2346" s="23"/>
    </row>
    <row r="2347" spans="6:6">
      <c r="F2347" s="23"/>
    </row>
    <row r="2348" spans="6:6">
      <c r="F2348" s="23"/>
    </row>
    <row r="2349" spans="6:6">
      <c r="F2349" s="23"/>
    </row>
    <row r="2350" spans="6:6">
      <c r="F2350" s="23"/>
    </row>
    <row r="2351" spans="6:6">
      <c r="F2351" s="23"/>
    </row>
    <row r="2352" spans="6:6">
      <c r="F2352" s="23"/>
    </row>
    <row r="2353" spans="6:6">
      <c r="F2353" s="23"/>
    </row>
    <row r="2354" spans="6:6">
      <c r="F2354" s="23"/>
    </row>
    <row r="2355" spans="6:6">
      <c r="F2355" s="23"/>
    </row>
    <row r="2356" spans="6:6">
      <c r="F2356" s="23"/>
    </row>
    <row r="2357" spans="6:6">
      <c r="F2357" s="23"/>
    </row>
    <row r="2358" spans="6:6">
      <c r="F2358" s="23"/>
    </row>
    <row r="2359" spans="6:6">
      <c r="F2359" s="23"/>
    </row>
    <row r="2360" spans="6:6">
      <c r="F2360" s="23"/>
    </row>
    <row r="2361" spans="6:6">
      <c r="F2361" s="23"/>
    </row>
    <row r="2362" spans="6:6">
      <c r="F2362" s="23"/>
    </row>
    <row r="2363" spans="6:6">
      <c r="F2363" s="23"/>
    </row>
    <row r="2364" spans="6:6">
      <c r="F2364" s="23"/>
    </row>
    <row r="2365" spans="6:6">
      <c r="F2365" s="23"/>
    </row>
    <row r="2366" spans="6:6">
      <c r="F2366" s="23"/>
    </row>
    <row r="2367" spans="6:6">
      <c r="F2367" s="23"/>
    </row>
    <row r="2368" spans="6:6">
      <c r="F2368" s="23"/>
    </row>
    <row r="2369" spans="6:6">
      <c r="F2369" s="23"/>
    </row>
    <row r="2370" spans="6:6">
      <c r="F2370" s="23"/>
    </row>
    <row r="2371" spans="6:6">
      <c r="F2371" s="23"/>
    </row>
    <row r="2372" spans="6:6">
      <c r="F2372" s="23"/>
    </row>
    <row r="2373" spans="6:6">
      <c r="F2373" s="23"/>
    </row>
    <row r="2374" spans="6:6">
      <c r="F2374" s="23"/>
    </row>
    <row r="2375" spans="6:6">
      <c r="F2375" s="23"/>
    </row>
    <row r="2376" spans="6:6">
      <c r="F2376" s="23"/>
    </row>
    <row r="2377" spans="6:6">
      <c r="F2377" s="23"/>
    </row>
    <row r="2378" spans="6:6">
      <c r="F2378" s="23"/>
    </row>
    <row r="2379" spans="6:6">
      <c r="F2379" s="23"/>
    </row>
    <row r="2380" spans="6:6">
      <c r="F2380" s="23"/>
    </row>
    <row r="2381" spans="6:6">
      <c r="F2381" s="23"/>
    </row>
    <row r="2382" spans="6:6">
      <c r="F2382" s="23"/>
    </row>
    <row r="2383" spans="6:6">
      <c r="F2383" s="23"/>
    </row>
    <row r="2384" spans="6:6">
      <c r="F2384" s="23"/>
    </row>
    <row r="2385" spans="6:6">
      <c r="F2385" s="23"/>
    </row>
    <row r="2386" spans="6:6">
      <c r="F2386" s="23"/>
    </row>
    <row r="2387" spans="6:6">
      <c r="F2387" s="23"/>
    </row>
    <row r="2388" spans="6:6">
      <c r="F2388" s="23"/>
    </row>
    <row r="2389" spans="6:6">
      <c r="F2389" s="23"/>
    </row>
    <row r="2390" spans="6:6">
      <c r="F2390" s="23"/>
    </row>
    <row r="2391" spans="6:6">
      <c r="F2391" s="23"/>
    </row>
    <row r="2392" spans="6:6">
      <c r="F2392" s="23"/>
    </row>
    <row r="2393" spans="6:6">
      <c r="F2393" s="23"/>
    </row>
    <row r="2394" spans="6:6">
      <c r="F2394" s="23"/>
    </row>
    <row r="2395" spans="6:6">
      <c r="F2395" s="23"/>
    </row>
    <row r="2396" spans="6:6">
      <c r="F2396" s="23"/>
    </row>
    <row r="2397" spans="6:6">
      <c r="F2397" s="23"/>
    </row>
    <row r="2398" spans="6:6">
      <c r="F2398" s="23"/>
    </row>
    <row r="2399" spans="6:6">
      <c r="F2399" s="23"/>
    </row>
    <row r="2400" spans="6:6">
      <c r="F2400" s="23"/>
    </row>
    <row r="2401" spans="6:6">
      <c r="F2401" s="23"/>
    </row>
    <row r="2402" spans="6:6">
      <c r="F2402" s="23"/>
    </row>
    <row r="2403" spans="6:6">
      <c r="F2403" s="23"/>
    </row>
    <row r="2404" spans="6:6">
      <c r="F2404" s="23"/>
    </row>
    <row r="2405" spans="6:6">
      <c r="F2405" s="23"/>
    </row>
    <row r="2406" spans="6:6">
      <c r="F2406" s="23"/>
    </row>
    <row r="2407" spans="6:6">
      <c r="F2407" s="23"/>
    </row>
    <row r="2408" spans="6:6">
      <c r="F2408" s="23"/>
    </row>
    <row r="2409" spans="6:6">
      <c r="F2409" s="23"/>
    </row>
    <row r="2410" spans="6:6">
      <c r="F2410" s="23"/>
    </row>
    <row r="2411" spans="6:6">
      <c r="F2411" s="23"/>
    </row>
    <row r="2412" spans="6:6">
      <c r="F2412" s="23"/>
    </row>
    <row r="2413" spans="6:6">
      <c r="F2413" s="23"/>
    </row>
    <row r="2414" spans="6:6">
      <c r="F2414" s="23"/>
    </row>
    <row r="2415" spans="6:6">
      <c r="F2415" s="23"/>
    </row>
    <row r="2416" spans="6:6">
      <c r="F2416" s="23"/>
    </row>
    <row r="2417" spans="6:6">
      <c r="F2417" s="23"/>
    </row>
    <row r="2418" spans="6:6">
      <c r="F2418" s="23"/>
    </row>
    <row r="2419" spans="6:6">
      <c r="F2419" s="23"/>
    </row>
    <row r="2420" spans="6:6">
      <c r="F2420" s="23"/>
    </row>
    <row r="2421" spans="6:6">
      <c r="F2421" s="23"/>
    </row>
    <row r="2422" spans="6:6">
      <c r="F2422" s="23"/>
    </row>
    <row r="2423" spans="6:6">
      <c r="F2423" s="23"/>
    </row>
    <row r="2424" spans="6:6">
      <c r="F2424" s="23"/>
    </row>
    <row r="2425" spans="6:6">
      <c r="F2425" s="23"/>
    </row>
    <row r="2426" spans="6:6">
      <c r="F2426" s="23"/>
    </row>
    <row r="2427" spans="6:6">
      <c r="F2427" s="23"/>
    </row>
    <row r="2428" spans="6:6">
      <c r="F2428" s="23"/>
    </row>
    <row r="2429" spans="6:6">
      <c r="F2429" s="23"/>
    </row>
    <row r="2430" spans="6:6">
      <c r="F2430" s="23"/>
    </row>
    <row r="2431" spans="6:6">
      <c r="F2431" s="23"/>
    </row>
    <row r="2432" spans="6:6">
      <c r="F2432" s="23"/>
    </row>
    <row r="2433" spans="6:6">
      <c r="F2433" s="23"/>
    </row>
    <row r="2434" spans="6:6">
      <c r="F2434" s="23"/>
    </row>
    <row r="2435" spans="6:6">
      <c r="F2435" s="23"/>
    </row>
    <row r="2436" spans="6:6">
      <c r="F2436" s="23"/>
    </row>
    <row r="2437" spans="6:6">
      <c r="F2437" s="23"/>
    </row>
    <row r="2438" spans="6:6">
      <c r="F2438" s="23"/>
    </row>
    <row r="2439" spans="6:6">
      <c r="F2439" s="23"/>
    </row>
    <row r="2440" spans="6:6">
      <c r="F2440" s="23"/>
    </row>
    <row r="2441" spans="6:6">
      <c r="F2441" s="23"/>
    </row>
    <row r="2442" spans="6:6">
      <c r="F2442" s="23"/>
    </row>
    <row r="2443" spans="6:6">
      <c r="F2443" s="23"/>
    </row>
    <row r="2444" spans="6:6">
      <c r="F2444" s="23"/>
    </row>
    <row r="2445" spans="6:6">
      <c r="F2445" s="23"/>
    </row>
    <row r="2446" spans="6:6">
      <c r="F2446" s="23"/>
    </row>
    <row r="2447" spans="6:6">
      <c r="F2447" s="23"/>
    </row>
    <row r="2448" spans="6:6">
      <c r="F2448" s="23"/>
    </row>
    <row r="2449" spans="6:6">
      <c r="F2449" s="23"/>
    </row>
    <row r="2450" spans="6:6">
      <c r="F2450" s="23"/>
    </row>
    <row r="2451" spans="6:6">
      <c r="F2451" s="23"/>
    </row>
    <row r="2452" spans="6:6">
      <c r="F2452" s="23"/>
    </row>
    <row r="2453" spans="6:6">
      <c r="F2453" s="23"/>
    </row>
    <row r="2454" spans="6:6">
      <c r="F2454" s="23"/>
    </row>
    <row r="2455" spans="6:6">
      <c r="F2455" s="23"/>
    </row>
    <row r="2456" spans="6:6">
      <c r="F2456" s="23"/>
    </row>
    <row r="2457" spans="6:6">
      <c r="F2457" s="23"/>
    </row>
    <row r="2458" spans="6:6">
      <c r="F2458" s="23"/>
    </row>
    <row r="2459" spans="6:6">
      <c r="F2459" s="23"/>
    </row>
    <row r="2460" spans="6:6">
      <c r="F2460" s="23"/>
    </row>
    <row r="2461" spans="6:6">
      <c r="F2461" s="23"/>
    </row>
    <row r="2462" spans="6:6">
      <c r="F2462" s="23"/>
    </row>
    <row r="2463" spans="6:6">
      <c r="F2463" s="23"/>
    </row>
    <row r="2464" spans="6:6">
      <c r="F2464" s="23"/>
    </row>
    <row r="2465" spans="6:6">
      <c r="F2465" s="23"/>
    </row>
    <row r="2466" spans="6:6">
      <c r="F2466" s="23"/>
    </row>
    <row r="2467" spans="6:6">
      <c r="F2467" s="23"/>
    </row>
    <row r="2468" spans="6:6">
      <c r="F2468" s="23"/>
    </row>
    <row r="2469" spans="6:6">
      <c r="F2469" s="23"/>
    </row>
    <row r="2470" spans="6:6">
      <c r="F2470" s="23"/>
    </row>
    <row r="2471" spans="6:6">
      <c r="F2471" s="23"/>
    </row>
    <row r="2472" spans="6:6">
      <c r="F2472" s="23"/>
    </row>
    <row r="2473" spans="6:6">
      <c r="F2473" s="23"/>
    </row>
    <row r="2474" spans="6:6">
      <c r="F2474" s="23"/>
    </row>
    <row r="2475" spans="6:6">
      <c r="F2475" s="23"/>
    </row>
    <row r="2476" spans="6:6">
      <c r="F2476" s="23"/>
    </row>
    <row r="2477" spans="6:6">
      <c r="F2477" s="23"/>
    </row>
    <row r="2478" spans="6:6">
      <c r="F2478" s="23"/>
    </row>
    <row r="2479" spans="6:6">
      <c r="F2479" s="23"/>
    </row>
    <row r="2480" spans="6:6">
      <c r="F2480" s="23"/>
    </row>
    <row r="2481" spans="6:6">
      <c r="F2481" s="23"/>
    </row>
    <row r="2482" spans="6:6">
      <c r="F2482" s="23"/>
    </row>
    <row r="2483" spans="6:6">
      <c r="F2483" s="23"/>
    </row>
    <row r="2484" spans="6:6">
      <c r="F2484" s="23"/>
    </row>
    <row r="2485" spans="6:6">
      <c r="F2485" s="23"/>
    </row>
    <row r="2486" spans="6:6">
      <c r="F2486" s="23"/>
    </row>
    <row r="2487" spans="6:6">
      <c r="F2487" s="23"/>
    </row>
    <row r="2488" spans="6:6">
      <c r="F2488" s="23"/>
    </row>
    <row r="2489" spans="6:6">
      <c r="F2489" s="23"/>
    </row>
    <row r="2490" spans="6:6">
      <c r="F2490" s="23"/>
    </row>
    <row r="2491" spans="6:6">
      <c r="F2491" s="23"/>
    </row>
    <row r="2492" spans="6:6">
      <c r="F2492" s="23"/>
    </row>
    <row r="2493" spans="6:6">
      <c r="F2493" s="23"/>
    </row>
    <row r="2494" spans="6:6">
      <c r="F2494" s="23"/>
    </row>
    <row r="2495" spans="6:6">
      <c r="F2495" s="23"/>
    </row>
    <row r="2496" spans="6:6">
      <c r="F2496" s="23"/>
    </row>
    <row r="2497" spans="6:6">
      <c r="F2497" s="23"/>
    </row>
    <row r="2498" spans="6:6">
      <c r="F2498" s="23"/>
    </row>
    <row r="2499" spans="6:6">
      <c r="F2499" s="23"/>
    </row>
    <row r="2500" spans="6:6">
      <c r="F2500" s="23"/>
    </row>
    <row r="2501" spans="6:6">
      <c r="F2501" s="23"/>
    </row>
    <row r="2502" spans="6:6">
      <c r="F2502" s="23"/>
    </row>
    <row r="2503" spans="6:6">
      <c r="F2503" s="23"/>
    </row>
    <row r="2504" spans="6:6">
      <c r="F2504" s="23"/>
    </row>
    <row r="2505" spans="6:6">
      <c r="F2505" s="23"/>
    </row>
    <row r="2506" spans="6:6">
      <c r="F2506" s="23"/>
    </row>
    <row r="2507" spans="6:6">
      <c r="F2507" s="23"/>
    </row>
    <row r="2508" spans="6:6">
      <c r="F2508" s="23"/>
    </row>
    <row r="2509" spans="6:6">
      <c r="F2509" s="23"/>
    </row>
    <row r="2510" spans="6:6">
      <c r="F2510" s="23"/>
    </row>
    <row r="2511" spans="6:6">
      <c r="F2511" s="23"/>
    </row>
    <row r="2512" spans="6:6">
      <c r="F2512" s="23"/>
    </row>
    <row r="2513" spans="6:6">
      <c r="F2513" s="23"/>
    </row>
    <row r="2514" spans="6:6">
      <c r="F2514" s="23"/>
    </row>
    <row r="2515" spans="6:6">
      <c r="F2515" s="23"/>
    </row>
    <row r="2516" spans="6:6">
      <c r="F2516" s="23"/>
    </row>
    <row r="2517" spans="6:6">
      <c r="F2517" s="23"/>
    </row>
    <row r="2518" spans="6:6">
      <c r="F2518" s="23"/>
    </row>
    <row r="2519" spans="6:6">
      <c r="F2519" s="23"/>
    </row>
    <row r="2520" spans="6:6">
      <c r="F2520" s="23"/>
    </row>
    <row r="2521" spans="6:6">
      <c r="F2521" s="23"/>
    </row>
    <row r="2522" spans="6:6">
      <c r="F2522" s="23"/>
    </row>
    <row r="2523" spans="6:6">
      <c r="F2523" s="23"/>
    </row>
    <row r="2524" spans="6:6">
      <c r="F2524" s="23"/>
    </row>
    <row r="2525" spans="6:6">
      <c r="F2525" s="23"/>
    </row>
    <row r="2526" spans="6:6">
      <c r="F2526" s="23"/>
    </row>
    <row r="2527" spans="6:6">
      <c r="F2527" s="23"/>
    </row>
    <row r="2528" spans="6:6">
      <c r="F2528" s="23"/>
    </row>
    <row r="2529" spans="6:6">
      <c r="F2529" s="23"/>
    </row>
    <row r="2530" spans="6:6">
      <c r="F2530" s="23"/>
    </row>
    <row r="2531" spans="6:6">
      <c r="F2531" s="23"/>
    </row>
    <row r="2532" spans="6:6">
      <c r="F2532" s="23"/>
    </row>
    <row r="2533" spans="6:6">
      <c r="F2533" s="23"/>
    </row>
    <row r="2534" spans="6:6">
      <c r="F2534" s="23"/>
    </row>
    <row r="2535" spans="6:6">
      <c r="F2535" s="23"/>
    </row>
    <row r="2536" spans="6:6">
      <c r="F2536" s="23"/>
    </row>
    <row r="2537" spans="6:6">
      <c r="F2537" s="23"/>
    </row>
    <row r="2538" spans="6:6">
      <c r="F2538" s="23"/>
    </row>
    <row r="2539" spans="6:6">
      <c r="F2539" s="23"/>
    </row>
    <row r="2540" spans="6:6">
      <c r="F2540" s="23"/>
    </row>
    <row r="2541" spans="6:6">
      <c r="F2541" s="23"/>
    </row>
    <row r="2542" spans="6:6">
      <c r="F2542" s="23"/>
    </row>
    <row r="2543" spans="6:6">
      <c r="F2543" s="23"/>
    </row>
    <row r="2544" spans="6:6">
      <c r="F2544" s="23"/>
    </row>
    <row r="2545" spans="6:6">
      <c r="F2545" s="23"/>
    </row>
    <row r="2546" spans="6:6">
      <c r="F2546" s="23"/>
    </row>
    <row r="2547" spans="6:6">
      <c r="F2547" s="23"/>
    </row>
    <row r="2548" spans="6:6">
      <c r="F2548" s="23"/>
    </row>
    <row r="2549" spans="6:6">
      <c r="F2549" s="23"/>
    </row>
    <row r="2550" spans="6:6">
      <c r="F2550" s="23"/>
    </row>
    <row r="2551" spans="6:6">
      <c r="F2551" s="23"/>
    </row>
    <row r="2552" spans="6:6">
      <c r="F2552" s="23"/>
    </row>
    <row r="2553" spans="6:6">
      <c r="F2553" s="23"/>
    </row>
    <row r="2554" spans="6:6">
      <c r="F2554" s="23"/>
    </row>
    <row r="2555" spans="6:6">
      <c r="F2555" s="23"/>
    </row>
    <row r="2556" spans="6:6">
      <c r="F2556" s="23"/>
    </row>
    <row r="2557" spans="6:6">
      <c r="F2557" s="23"/>
    </row>
    <row r="2558" spans="6:6">
      <c r="F2558" s="23"/>
    </row>
    <row r="2559" spans="6:6">
      <c r="F2559" s="23"/>
    </row>
    <row r="2560" spans="6:6">
      <c r="F2560" s="23"/>
    </row>
    <row r="2561" spans="6:6">
      <c r="F2561" s="23"/>
    </row>
    <row r="2562" spans="6:6">
      <c r="F2562" s="23"/>
    </row>
    <row r="2563" spans="6:6">
      <c r="F2563" s="23"/>
    </row>
    <row r="2564" spans="6:6">
      <c r="F2564" s="23"/>
    </row>
    <row r="2565" spans="6:6">
      <c r="F2565" s="23"/>
    </row>
    <row r="2566" spans="6:6">
      <c r="F2566" s="23"/>
    </row>
    <row r="2567" spans="6:6">
      <c r="F2567" s="23"/>
    </row>
    <row r="2568" spans="6:6">
      <c r="F2568" s="23"/>
    </row>
    <row r="2569" spans="6:6">
      <c r="F2569" s="23"/>
    </row>
    <row r="2570" spans="6:6">
      <c r="F2570" s="23"/>
    </row>
    <row r="2571" spans="6:6">
      <c r="F2571" s="23"/>
    </row>
    <row r="2572" spans="6:6">
      <c r="F2572" s="23"/>
    </row>
    <row r="2573" spans="6:6">
      <c r="F2573" s="23"/>
    </row>
    <row r="2574" spans="6:6">
      <c r="F2574" s="23"/>
    </row>
    <row r="2575" spans="6:6">
      <c r="F2575" s="23"/>
    </row>
    <row r="2576" spans="6:6">
      <c r="F2576" s="23"/>
    </row>
    <row r="2577" spans="6:6">
      <c r="F2577" s="23"/>
    </row>
    <row r="2578" spans="6:6">
      <c r="F2578" s="23"/>
    </row>
    <row r="2579" spans="6:6">
      <c r="F2579" s="23"/>
    </row>
    <row r="2580" spans="6:6">
      <c r="F2580" s="23"/>
    </row>
    <row r="2581" spans="6:6">
      <c r="F2581" s="23"/>
    </row>
    <row r="2582" spans="6:6">
      <c r="F2582" s="23"/>
    </row>
    <row r="2583" spans="6:6">
      <c r="F2583" s="23"/>
    </row>
    <row r="2584" spans="6:6">
      <c r="F2584" s="23"/>
    </row>
    <row r="2585" spans="6:6">
      <c r="F2585" s="23"/>
    </row>
    <row r="2586" spans="6:6">
      <c r="F2586" s="23"/>
    </row>
    <row r="2587" spans="6:6">
      <c r="F2587" s="23"/>
    </row>
    <row r="2588" spans="6:6">
      <c r="F2588" s="23"/>
    </row>
    <row r="2589" spans="6:6">
      <c r="F2589" s="23"/>
    </row>
    <row r="2590" spans="6:6">
      <c r="F2590" s="23"/>
    </row>
    <row r="2591" spans="6:6">
      <c r="F2591" s="23"/>
    </row>
    <row r="2592" spans="6:6">
      <c r="F2592" s="23"/>
    </row>
    <row r="2593" spans="6:6">
      <c r="F2593" s="23"/>
    </row>
    <row r="2594" spans="6:6">
      <c r="F2594" s="23"/>
    </row>
    <row r="2595" spans="6:6">
      <c r="F2595" s="23"/>
    </row>
    <row r="2596" spans="6:6">
      <c r="F2596" s="23"/>
    </row>
    <row r="2597" spans="6:6">
      <c r="F2597" s="23"/>
    </row>
    <row r="2598" spans="6:6">
      <c r="F2598" s="23"/>
    </row>
    <row r="2599" spans="6:6">
      <c r="F2599" s="23"/>
    </row>
    <row r="2600" spans="6:6">
      <c r="F2600" s="23"/>
    </row>
    <row r="2601" spans="6:6">
      <c r="F2601" s="23"/>
    </row>
    <row r="2602" spans="6:6">
      <c r="F2602" s="23"/>
    </row>
    <row r="2603" spans="6:6">
      <c r="F2603" s="23"/>
    </row>
    <row r="2604" spans="6:6">
      <c r="F2604" s="23"/>
    </row>
    <row r="2605" spans="6:6">
      <c r="F2605" s="23"/>
    </row>
    <row r="2606" spans="6:6">
      <c r="F2606" s="23"/>
    </row>
    <row r="2607" spans="6:6">
      <c r="F2607" s="23"/>
    </row>
    <row r="2608" spans="6:6">
      <c r="F2608" s="23"/>
    </row>
    <row r="2609" spans="6:6">
      <c r="F2609" s="23"/>
    </row>
    <row r="2610" spans="6:6">
      <c r="F2610" s="23"/>
    </row>
    <row r="2611" spans="6:6">
      <c r="F2611" s="23"/>
    </row>
    <row r="2612" spans="6:6">
      <c r="F2612" s="23"/>
    </row>
    <row r="2613" spans="6:6">
      <c r="F2613" s="23"/>
    </row>
    <row r="2614" spans="6:6">
      <c r="F2614" s="23"/>
    </row>
    <row r="2615" spans="6:6">
      <c r="F2615" s="23"/>
    </row>
    <row r="2616" spans="6:6">
      <c r="F2616" s="23"/>
    </row>
    <row r="2617" spans="6:6">
      <c r="F2617" s="23"/>
    </row>
    <row r="2618" spans="6:6">
      <c r="F2618" s="23"/>
    </row>
    <row r="2619" spans="6:6">
      <c r="F2619" s="23"/>
    </row>
    <row r="2620" spans="6:6">
      <c r="F2620" s="23"/>
    </row>
    <row r="2621" spans="6:6">
      <c r="F2621" s="23"/>
    </row>
    <row r="2622" spans="6:6">
      <c r="F2622" s="23"/>
    </row>
    <row r="2623" spans="6:6">
      <c r="F2623" s="23"/>
    </row>
    <row r="2624" spans="6:6">
      <c r="F2624" s="23"/>
    </row>
    <row r="2625" spans="6:6">
      <c r="F2625" s="23"/>
    </row>
    <row r="2626" spans="6:6">
      <c r="F2626" s="23"/>
    </row>
    <row r="2627" spans="6:6">
      <c r="F2627" s="23"/>
    </row>
    <row r="2628" spans="6:6">
      <c r="F2628" s="23"/>
    </row>
    <row r="2629" spans="6:6">
      <c r="F2629" s="23"/>
    </row>
    <row r="2630" spans="6:6">
      <c r="F2630" s="23"/>
    </row>
    <row r="2631" spans="6:6">
      <c r="F2631" s="23"/>
    </row>
    <row r="2632" spans="6:6">
      <c r="F2632" s="23"/>
    </row>
    <row r="2633" spans="6:6">
      <c r="F2633" s="23"/>
    </row>
    <row r="2634" spans="6:6">
      <c r="F2634" s="23"/>
    </row>
    <row r="2635" spans="6:6">
      <c r="F2635" s="23"/>
    </row>
    <row r="2636" spans="6:6">
      <c r="F2636" s="23"/>
    </row>
    <row r="2637" spans="6:6">
      <c r="F2637" s="23"/>
    </row>
    <row r="2638" spans="6:6">
      <c r="F2638" s="23"/>
    </row>
    <row r="2639" spans="6:6">
      <c r="F2639" s="23"/>
    </row>
    <row r="2640" spans="6:6">
      <c r="F2640" s="23"/>
    </row>
    <row r="2641" spans="6:6">
      <c r="F2641" s="23"/>
    </row>
    <row r="2642" spans="6:6">
      <c r="F2642" s="23"/>
    </row>
    <row r="2643" spans="6:6">
      <c r="F2643" s="23"/>
    </row>
    <row r="2644" spans="6:6">
      <c r="F2644" s="23"/>
    </row>
    <row r="2645" spans="6:6">
      <c r="F2645" s="23"/>
    </row>
    <row r="2646" spans="6:6">
      <c r="F2646" s="23"/>
    </row>
    <row r="2647" spans="6:6">
      <c r="F2647" s="23"/>
    </row>
    <row r="2648" spans="6:6">
      <c r="F2648" s="23"/>
    </row>
    <row r="2649" spans="6:6">
      <c r="F2649" s="23"/>
    </row>
    <row r="2650" spans="6:6">
      <c r="F2650" s="23"/>
    </row>
    <row r="2651" spans="6:6">
      <c r="F2651" s="23"/>
    </row>
    <row r="2652" spans="6:6">
      <c r="F2652" s="23"/>
    </row>
    <row r="2653" spans="6:6">
      <c r="F2653" s="23"/>
    </row>
    <row r="2654" spans="6:6">
      <c r="F2654" s="23"/>
    </row>
    <row r="2655" spans="6:6">
      <c r="F2655" s="23"/>
    </row>
    <row r="2656" spans="6:6">
      <c r="F2656" s="23"/>
    </row>
    <row r="2657" spans="6:6">
      <c r="F2657" s="23"/>
    </row>
    <row r="2658" spans="6:6">
      <c r="F2658" s="23"/>
    </row>
    <row r="2659" spans="6:6">
      <c r="F2659" s="23"/>
    </row>
    <row r="2660" spans="6:6">
      <c r="F2660" s="23"/>
    </row>
    <row r="2661" spans="6:6">
      <c r="F2661" s="23"/>
    </row>
    <row r="2662" spans="6:6">
      <c r="F2662" s="23"/>
    </row>
    <row r="2663" spans="6:6">
      <c r="F2663" s="23"/>
    </row>
    <row r="2664" spans="6:6">
      <c r="F2664" s="23"/>
    </row>
    <row r="2665" spans="6:6">
      <c r="F2665" s="23"/>
    </row>
    <row r="2666" spans="6:6">
      <c r="F2666" s="23"/>
    </row>
    <row r="2667" spans="6:6">
      <c r="F2667" s="23"/>
    </row>
    <row r="2668" spans="6:6">
      <c r="F2668" s="23"/>
    </row>
    <row r="2669" spans="6:6">
      <c r="F2669" s="23"/>
    </row>
    <row r="2670" spans="6:6">
      <c r="F2670" s="23"/>
    </row>
    <row r="2671" spans="6:6">
      <c r="F2671" s="23"/>
    </row>
    <row r="2672" spans="6:6">
      <c r="F2672" s="23"/>
    </row>
    <row r="2673" spans="6:6">
      <c r="F2673" s="23"/>
    </row>
    <row r="2674" spans="6:6">
      <c r="F2674" s="23"/>
    </row>
    <row r="2675" spans="6:6">
      <c r="F2675" s="23"/>
    </row>
    <row r="2676" spans="6:6">
      <c r="F2676" s="23"/>
    </row>
    <row r="2677" spans="6:6">
      <c r="F2677" s="23"/>
    </row>
    <row r="2678" spans="6:6">
      <c r="F2678" s="23"/>
    </row>
    <row r="2679" spans="6:6">
      <c r="F2679" s="23"/>
    </row>
    <row r="2680" spans="6:6">
      <c r="F2680" s="23"/>
    </row>
    <row r="2681" spans="6:6">
      <c r="F2681" s="23"/>
    </row>
    <row r="2682" spans="6:6">
      <c r="F2682" s="23"/>
    </row>
    <row r="2683" spans="6:6">
      <c r="F2683" s="23"/>
    </row>
    <row r="2684" spans="6:6">
      <c r="F2684" s="23"/>
    </row>
    <row r="2685" spans="6:6">
      <c r="F2685" s="23"/>
    </row>
    <row r="2686" spans="6:6">
      <c r="F2686" s="23"/>
    </row>
    <row r="2687" spans="6:6">
      <c r="F2687" s="23"/>
    </row>
    <row r="2688" spans="6:6">
      <c r="F2688" s="23"/>
    </row>
    <row r="2689" spans="6:6">
      <c r="F2689" s="23"/>
    </row>
    <row r="2690" spans="6:6">
      <c r="F2690" s="23"/>
    </row>
    <row r="2691" spans="6:6">
      <c r="F2691" s="23"/>
    </row>
    <row r="2692" spans="6:6">
      <c r="F2692" s="23"/>
    </row>
    <row r="2693" spans="6:6">
      <c r="F2693" s="23"/>
    </row>
    <row r="2694" spans="6:6">
      <c r="F2694" s="23"/>
    </row>
    <row r="2695" spans="6:6">
      <c r="F2695" s="23"/>
    </row>
    <row r="2696" spans="6:6">
      <c r="F2696" s="23"/>
    </row>
    <row r="2697" spans="6:6">
      <c r="F2697" s="23"/>
    </row>
    <row r="2698" spans="6:6">
      <c r="F2698" s="23"/>
    </row>
    <row r="2699" spans="6:6">
      <c r="F2699" s="23"/>
    </row>
    <row r="2700" spans="6:6">
      <c r="F2700" s="23"/>
    </row>
    <row r="2701" spans="6:6">
      <c r="F2701" s="23"/>
    </row>
    <row r="2702" spans="6:6">
      <c r="F2702" s="23"/>
    </row>
    <row r="2703" spans="6:6">
      <c r="F2703" s="23"/>
    </row>
    <row r="2704" spans="6:6">
      <c r="F2704" s="23"/>
    </row>
    <row r="2705" spans="6:6">
      <c r="F2705" s="23"/>
    </row>
    <row r="2706" spans="6:6">
      <c r="F2706" s="23"/>
    </row>
    <row r="2707" spans="6:6">
      <c r="F2707" s="23"/>
    </row>
    <row r="2708" spans="6:6">
      <c r="F2708" s="23"/>
    </row>
    <row r="2709" spans="6:6">
      <c r="F2709" s="23"/>
    </row>
    <row r="2710" spans="6:6">
      <c r="F2710" s="23"/>
    </row>
    <row r="2711" spans="6:6">
      <c r="F2711" s="23"/>
    </row>
    <row r="2712" spans="6:6">
      <c r="F2712" s="23"/>
    </row>
    <row r="2713" spans="6:6">
      <c r="F2713" s="23"/>
    </row>
    <row r="2714" spans="6:6">
      <c r="F2714" s="23"/>
    </row>
    <row r="2715" spans="6:6">
      <c r="F2715" s="23"/>
    </row>
    <row r="2716" spans="6:6">
      <c r="F2716" s="23"/>
    </row>
    <row r="2717" spans="6:6">
      <c r="F2717" s="23"/>
    </row>
    <row r="2718" spans="6:6">
      <c r="F2718" s="23"/>
    </row>
    <row r="2719" spans="6:6">
      <c r="F2719" s="23"/>
    </row>
    <row r="2720" spans="6:6">
      <c r="F2720" s="23"/>
    </row>
    <row r="2721" spans="6:6">
      <c r="F2721" s="23"/>
    </row>
    <row r="2722" spans="6:6">
      <c r="F2722" s="23"/>
    </row>
    <row r="2723" spans="6:6">
      <c r="F2723" s="23"/>
    </row>
    <row r="2724" spans="6:6">
      <c r="F2724" s="23"/>
    </row>
    <row r="2725" spans="6:6">
      <c r="F2725" s="23"/>
    </row>
    <row r="2726" spans="6:6">
      <c r="F2726" s="23"/>
    </row>
    <row r="2727" spans="6:6">
      <c r="F2727" s="23"/>
    </row>
    <row r="2728" spans="6:6">
      <c r="F2728" s="23"/>
    </row>
    <row r="2729" spans="6:6">
      <c r="F2729" s="23"/>
    </row>
    <row r="2730" spans="6:6">
      <c r="F2730" s="23"/>
    </row>
    <row r="2731" spans="6:6">
      <c r="F2731" s="23"/>
    </row>
    <row r="2732" spans="6:6">
      <c r="F2732" s="23"/>
    </row>
    <row r="2733" spans="6:6">
      <c r="F2733" s="23"/>
    </row>
    <row r="2734" spans="6:6">
      <c r="F2734" s="23"/>
    </row>
    <row r="2735" spans="6:6">
      <c r="F2735" s="23"/>
    </row>
    <row r="2736" spans="6:6">
      <c r="F2736" s="23"/>
    </row>
    <row r="2737" spans="6:6">
      <c r="F2737" s="23"/>
    </row>
    <row r="2738" spans="6:6">
      <c r="F2738" s="23"/>
    </row>
    <row r="2739" spans="6:6">
      <c r="F2739" s="23"/>
    </row>
    <row r="2740" spans="6:6">
      <c r="F2740" s="23"/>
    </row>
    <row r="2741" spans="6:6">
      <c r="F2741" s="23"/>
    </row>
    <row r="2742" spans="6:6">
      <c r="F2742" s="23"/>
    </row>
    <row r="2743" spans="6:6">
      <c r="F2743" s="23"/>
    </row>
    <row r="2744" spans="6:6">
      <c r="F2744" s="23"/>
    </row>
    <row r="2745" spans="6:6">
      <c r="F2745" s="23"/>
    </row>
    <row r="2746" spans="6:6">
      <c r="F2746" s="23"/>
    </row>
    <row r="2747" spans="6:6">
      <c r="F2747" s="23"/>
    </row>
    <row r="2748" spans="6:6">
      <c r="F2748" s="23"/>
    </row>
    <row r="2749" spans="6:6">
      <c r="F2749" s="23"/>
    </row>
    <row r="2750" spans="6:6">
      <c r="F2750" s="23"/>
    </row>
    <row r="2751" spans="6:6">
      <c r="F2751" s="23"/>
    </row>
    <row r="2752" spans="6:6">
      <c r="F2752" s="23"/>
    </row>
    <row r="2753" spans="6:6">
      <c r="F2753" s="23"/>
    </row>
    <row r="2754" spans="6:6">
      <c r="F2754" s="23"/>
    </row>
    <row r="2755" spans="6:6">
      <c r="F2755" s="23"/>
    </row>
    <row r="2756" spans="6:6">
      <c r="F2756" s="23"/>
    </row>
    <row r="2757" spans="6:6">
      <c r="F2757" s="23"/>
    </row>
    <row r="2758" spans="6:6">
      <c r="F2758" s="23"/>
    </row>
    <row r="2759" spans="6:6">
      <c r="F2759" s="23"/>
    </row>
    <row r="2760" spans="6:6">
      <c r="F2760" s="23"/>
    </row>
    <row r="2761" spans="6:6">
      <c r="F2761" s="23"/>
    </row>
    <row r="2762" spans="6:6">
      <c r="F2762" s="23"/>
    </row>
    <row r="2763" spans="6:6">
      <c r="F2763" s="23"/>
    </row>
    <row r="2764" spans="6:6">
      <c r="F2764" s="23"/>
    </row>
    <row r="2765" spans="6:6">
      <c r="F2765" s="23"/>
    </row>
    <row r="2766" spans="6:6">
      <c r="F2766" s="23"/>
    </row>
    <row r="2767" spans="6:6">
      <c r="F2767" s="23"/>
    </row>
    <row r="2768" spans="6:6">
      <c r="F2768" s="23"/>
    </row>
    <row r="2769" spans="6:6">
      <c r="F2769" s="23"/>
    </row>
    <row r="2770" spans="6:6">
      <c r="F2770" s="23"/>
    </row>
    <row r="2771" spans="6:6">
      <c r="F2771" s="23"/>
    </row>
    <row r="2772" spans="6:6">
      <c r="F2772" s="23"/>
    </row>
    <row r="2773" spans="6:6">
      <c r="F2773" s="23"/>
    </row>
    <row r="2774" spans="6:6">
      <c r="F2774" s="23"/>
    </row>
    <row r="2775" spans="6:6">
      <c r="F2775" s="23"/>
    </row>
    <row r="2776" spans="6:6">
      <c r="F2776" s="23"/>
    </row>
    <row r="2777" spans="6:6">
      <c r="F2777" s="23"/>
    </row>
    <row r="2778" spans="6:6">
      <c r="F2778" s="23"/>
    </row>
    <row r="2779" spans="6:6">
      <c r="F2779" s="23"/>
    </row>
    <row r="2780" spans="6:6">
      <c r="F2780" s="23"/>
    </row>
    <row r="2781" spans="6:6">
      <c r="F2781" s="23"/>
    </row>
    <row r="2782" spans="6:6">
      <c r="F2782" s="23"/>
    </row>
    <row r="2783" spans="6:6">
      <c r="F2783" s="23"/>
    </row>
    <row r="2784" spans="6:6">
      <c r="F2784" s="23"/>
    </row>
    <row r="2785" spans="6:6">
      <c r="F2785" s="23"/>
    </row>
    <row r="2786" spans="6:6">
      <c r="F2786" s="23"/>
    </row>
    <row r="2787" spans="6:6">
      <c r="F2787" s="23"/>
    </row>
    <row r="2788" spans="6:6">
      <c r="F2788" s="23"/>
    </row>
    <row r="2789" spans="6:6">
      <c r="F2789" s="23"/>
    </row>
    <row r="2790" spans="6:6">
      <c r="F2790" s="23"/>
    </row>
    <row r="2791" spans="6:6">
      <c r="F2791" s="23"/>
    </row>
    <row r="2792" spans="6:6">
      <c r="F2792" s="23"/>
    </row>
    <row r="2793" spans="6:6">
      <c r="F2793" s="23"/>
    </row>
    <row r="2794" spans="6:6">
      <c r="F2794" s="23"/>
    </row>
    <row r="2795" spans="6:6">
      <c r="F2795" s="23"/>
    </row>
    <row r="2796" spans="6:6">
      <c r="F2796" s="23"/>
    </row>
    <row r="2797" spans="6:6">
      <c r="F2797" s="23"/>
    </row>
    <row r="2798" spans="6:6">
      <c r="F2798" s="23"/>
    </row>
    <row r="2799" spans="6:6">
      <c r="F2799" s="23"/>
    </row>
    <row r="2800" spans="6:6">
      <c r="F2800" s="23"/>
    </row>
    <row r="2801" spans="6:6">
      <c r="F2801" s="23"/>
    </row>
    <row r="2802" spans="6:6">
      <c r="F2802" s="23"/>
    </row>
    <row r="2803" spans="6:6">
      <c r="F2803" s="23"/>
    </row>
    <row r="2804" spans="6:6">
      <c r="F2804" s="23"/>
    </row>
    <row r="2805" spans="6:6">
      <c r="F2805" s="23"/>
    </row>
    <row r="2806" spans="6:6">
      <c r="F2806" s="23"/>
    </row>
    <row r="2807" spans="6:6">
      <c r="F2807" s="23"/>
    </row>
    <row r="2808" spans="6:6">
      <c r="F2808" s="23"/>
    </row>
    <row r="2809" spans="6:6">
      <c r="F2809" s="23"/>
    </row>
    <row r="2810" spans="6:6">
      <c r="F2810" s="23"/>
    </row>
    <row r="2811" spans="6:6">
      <c r="F2811" s="23"/>
    </row>
    <row r="2812" spans="6:6">
      <c r="F2812" s="23"/>
    </row>
    <row r="2813" spans="6:6">
      <c r="F2813" s="23"/>
    </row>
    <row r="2814" spans="6:6">
      <c r="F2814" s="23"/>
    </row>
    <row r="2815" spans="6:6">
      <c r="F2815" s="23"/>
    </row>
    <row r="2816" spans="6:6">
      <c r="F2816" s="23"/>
    </row>
    <row r="2817" spans="6:6">
      <c r="F2817" s="23"/>
    </row>
    <row r="2818" spans="6:6">
      <c r="F2818" s="23"/>
    </row>
    <row r="2819" spans="6:6">
      <c r="F2819" s="23"/>
    </row>
    <row r="2820" spans="6:6">
      <c r="F2820" s="23"/>
    </row>
    <row r="2821" spans="6:6">
      <c r="F2821" s="23"/>
    </row>
    <row r="2822" spans="6:6">
      <c r="F2822" s="23"/>
    </row>
    <row r="2823" spans="6:6">
      <c r="F2823" s="23"/>
    </row>
    <row r="2824" spans="6:6">
      <c r="F2824" s="23"/>
    </row>
    <row r="2825" spans="6:6">
      <c r="F2825" s="23"/>
    </row>
    <row r="2826" spans="6:6">
      <c r="F2826" s="23"/>
    </row>
    <row r="2827" spans="6:6">
      <c r="F2827" s="23"/>
    </row>
    <row r="2828" spans="6:6">
      <c r="F2828" s="23"/>
    </row>
    <row r="2829" spans="6:6">
      <c r="F2829" s="23"/>
    </row>
    <row r="2830" spans="6:6">
      <c r="F2830" s="23"/>
    </row>
    <row r="2831" spans="6:6">
      <c r="F2831" s="23"/>
    </row>
    <row r="2832" spans="6:6">
      <c r="F2832" s="23"/>
    </row>
    <row r="2833" spans="6:6">
      <c r="F2833" s="23"/>
    </row>
    <row r="2834" spans="6:6">
      <c r="F2834" s="23"/>
    </row>
    <row r="2835" spans="6:6">
      <c r="F2835" s="23"/>
    </row>
    <row r="2836" spans="6:6">
      <c r="F2836" s="23"/>
    </row>
    <row r="2837" spans="6:6">
      <c r="F2837" s="23"/>
    </row>
    <row r="2838" spans="6:6">
      <c r="F2838" s="23"/>
    </row>
    <row r="2839" spans="6:6">
      <c r="F2839" s="23"/>
    </row>
    <row r="2840" spans="6:6">
      <c r="F2840" s="23"/>
    </row>
    <row r="2841" spans="6:6">
      <c r="F2841" s="23"/>
    </row>
    <row r="2842" spans="6:6">
      <c r="F2842" s="23"/>
    </row>
    <row r="2843" spans="6:6">
      <c r="F2843" s="23"/>
    </row>
    <row r="2844" spans="6:6">
      <c r="F2844" s="23"/>
    </row>
    <row r="2845" spans="6:6">
      <c r="F2845" s="23"/>
    </row>
    <row r="2846" spans="6:6">
      <c r="F2846" s="23"/>
    </row>
    <row r="2847" spans="6:6">
      <c r="F2847" s="23"/>
    </row>
    <row r="2848" spans="6:6">
      <c r="F2848" s="23"/>
    </row>
    <row r="2849" spans="6:6">
      <c r="F2849" s="23"/>
    </row>
    <row r="2850" spans="6:6">
      <c r="F2850" s="23"/>
    </row>
    <row r="2851" spans="6:6">
      <c r="F2851" s="23"/>
    </row>
    <row r="2852" spans="6:6">
      <c r="F2852" s="23"/>
    </row>
    <row r="2853" spans="6:6">
      <c r="F2853" s="23"/>
    </row>
    <row r="2854" spans="6:6">
      <c r="F2854" s="23"/>
    </row>
    <row r="2855" spans="6:6">
      <c r="F2855" s="23"/>
    </row>
    <row r="2856" spans="6:6">
      <c r="F2856" s="23"/>
    </row>
    <row r="2857" spans="6:6">
      <c r="F2857" s="23"/>
    </row>
    <row r="2858" spans="6:6">
      <c r="F2858" s="23"/>
    </row>
    <row r="2859" spans="6:6">
      <c r="F2859" s="23"/>
    </row>
    <row r="2860" spans="6:6">
      <c r="F2860" s="23"/>
    </row>
    <row r="2861" spans="6:6">
      <c r="F2861" s="23"/>
    </row>
    <row r="2862" spans="6:6">
      <c r="F2862" s="23"/>
    </row>
    <row r="2863" spans="6:6">
      <c r="F2863" s="23"/>
    </row>
    <row r="2864" spans="6:6">
      <c r="F2864" s="23"/>
    </row>
    <row r="2865" spans="6:6">
      <c r="F2865" s="23"/>
    </row>
    <row r="2866" spans="6:6">
      <c r="F2866" s="23"/>
    </row>
    <row r="2867" spans="6:6">
      <c r="F2867" s="23"/>
    </row>
    <row r="2868" spans="6:6">
      <c r="F2868" s="23"/>
    </row>
    <row r="2869" spans="6:6">
      <c r="F2869" s="23"/>
    </row>
    <row r="2870" spans="6:6">
      <c r="F2870" s="23"/>
    </row>
    <row r="2871" spans="6:6">
      <c r="F2871" s="23"/>
    </row>
    <row r="2872" spans="6:6">
      <c r="F2872" s="23"/>
    </row>
    <row r="2873" spans="6:6">
      <c r="F2873" s="23"/>
    </row>
    <row r="2874" spans="6:6">
      <c r="F2874" s="23"/>
    </row>
    <row r="2875" spans="6:6">
      <c r="F2875" s="23"/>
    </row>
    <row r="2876" spans="6:6">
      <c r="F2876" s="23"/>
    </row>
    <row r="2877" spans="6:6">
      <c r="F2877" s="23"/>
    </row>
    <row r="2878" spans="6:6">
      <c r="F2878" s="23"/>
    </row>
    <row r="2879" spans="6:6">
      <c r="F2879" s="23"/>
    </row>
    <row r="2880" spans="6:6">
      <c r="F2880" s="23"/>
    </row>
    <row r="2881" spans="6:6">
      <c r="F2881" s="23"/>
    </row>
    <row r="2882" spans="6:6">
      <c r="F2882" s="23"/>
    </row>
    <row r="2883" spans="6:6">
      <c r="F2883" s="23"/>
    </row>
    <row r="2884" spans="6:6">
      <c r="F2884" s="23"/>
    </row>
    <row r="2885" spans="6:6">
      <c r="F2885" s="23"/>
    </row>
    <row r="2886" spans="6:6">
      <c r="F2886" s="23"/>
    </row>
    <row r="2887" spans="6:6">
      <c r="F2887" s="23"/>
    </row>
    <row r="2888" spans="6:6">
      <c r="F2888" s="23"/>
    </row>
    <row r="2889" spans="6:6">
      <c r="F2889" s="23"/>
    </row>
    <row r="2890" spans="6:6">
      <c r="F2890" s="23"/>
    </row>
    <row r="2891" spans="6:6">
      <c r="F2891" s="23"/>
    </row>
    <row r="2892" spans="6:6">
      <c r="F2892" s="23"/>
    </row>
    <row r="2893" spans="6:6">
      <c r="F2893" s="23"/>
    </row>
    <row r="2894" spans="6:6">
      <c r="F2894" s="23"/>
    </row>
    <row r="2895" spans="6:6">
      <c r="F2895" s="23"/>
    </row>
    <row r="2896" spans="6:6">
      <c r="F2896" s="23"/>
    </row>
    <row r="2897" spans="6:6">
      <c r="F2897" s="23"/>
    </row>
    <row r="2898" spans="6:6">
      <c r="F2898" s="23"/>
    </row>
    <row r="2899" spans="6:6">
      <c r="F2899" s="23"/>
    </row>
    <row r="2900" spans="6:6">
      <c r="F2900" s="23"/>
    </row>
    <row r="2901" spans="6:6">
      <c r="F2901" s="23"/>
    </row>
    <row r="2902" spans="6:6">
      <c r="F2902" s="23"/>
    </row>
    <row r="2903" spans="6:6">
      <c r="F2903" s="23"/>
    </row>
    <row r="2904" spans="6:6">
      <c r="F2904" s="23"/>
    </row>
    <row r="2905" spans="6:6">
      <c r="F2905" s="23"/>
    </row>
    <row r="2906" spans="6:6">
      <c r="F2906" s="23"/>
    </row>
    <row r="2907" spans="6:6">
      <c r="F2907" s="23"/>
    </row>
    <row r="2908" spans="6:6">
      <c r="F2908" s="23"/>
    </row>
    <row r="2909" spans="6:6">
      <c r="F2909" s="23"/>
    </row>
    <row r="2910" spans="6:6">
      <c r="F2910" s="23"/>
    </row>
    <row r="2911" spans="6:6">
      <c r="F2911" s="23"/>
    </row>
    <row r="2912" spans="6:6">
      <c r="F2912" s="23"/>
    </row>
    <row r="2913" spans="6:6">
      <c r="F2913" s="23"/>
    </row>
    <row r="2914" spans="6:6">
      <c r="F2914" s="23"/>
    </row>
    <row r="2915" spans="6:6">
      <c r="F2915" s="23"/>
    </row>
    <row r="2916" spans="6:6">
      <c r="F2916" s="23"/>
    </row>
    <row r="2917" spans="6:6">
      <c r="F2917" s="23"/>
    </row>
    <row r="2918" spans="6:6">
      <c r="F2918" s="23"/>
    </row>
    <row r="2919" spans="6:6">
      <c r="F2919" s="23"/>
    </row>
    <row r="2920" spans="6:6">
      <c r="F2920" s="23"/>
    </row>
    <row r="2921" spans="6:6">
      <c r="F2921" s="23"/>
    </row>
    <row r="2922" spans="6:6">
      <c r="F2922" s="23"/>
    </row>
    <row r="2923" spans="6:6">
      <c r="F2923" s="23"/>
    </row>
    <row r="2924" spans="6:6">
      <c r="F2924" s="23"/>
    </row>
    <row r="2925" spans="6:6">
      <c r="F2925" s="23"/>
    </row>
    <row r="2926" spans="6:6">
      <c r="F2926" s="23"/>
    </row>
    <row r="2927" spans="6:6">
      <c r="F2927" s="23"/>
    </row>
    <row r="2928" spans="6:6">
      <c r="F2928" s="23"/>
    </row>
    <row r="2929" spans="6:6">
      <c r="F2929" s="23"/>
    </row>
    <row r="2930" spans="6:6">
      <c r="F2930" s="23"/>
    </row>
    <row r="2931" spans="6:6">
      <c r="F2931" s="23"/>
    </row>
    <row r="2932" spans="6:6">
      <c r="F2932" s="23"/>
    </row>
    <row r="2933" spans="6:6">
      <c r="F2933" s="23"/>
    </row>
    <row r="2934" spans="6:6">
      <c r="F2934" s="23"/>
    </row>
    <row r="2935" spans="6:6">
      <c r="F2935" s="23"/>
    </row>
    <row r="2936" spans="6:6">
      <c r="F2936" s="23"/>
    </row>
    <row r="2937" spans="6:6">
      <c r="F2937" s="23"/>
    </row>
    <row r="2938" spans="6:6">
      <c r="F2938" s="23"/>
    </row>
    <row r="2939" spans="6:6">
      <c r="F2939" s="23"/>
    </row>
    <row r="2940" spans="6:6">
      <c r="F2940" s="23"/>
    </row>
    <row r="2941" spans="6:6">
      <c r="F2941" s="23"/>
    </row>
    <row r="2942" spans="6:6">
      <c r="F2942" s="23"/>
    </row>
    <row r="2943" spans="6:6">
      <c r="F2943" s="23"/>
    </row>
    <row r="2944" spans="6:6">
      <c r="F2944" s="23"/>
    </row>
    <row r="2945" spans="6:6">
      <c r="F2945" s="23"/>
    </row>
    <row r="2946" spans="6:6">
      <c r="F2946" s="23"/>
    </row>
    <row r="2947" spans="6:6">
      <c r="F2947" s="23"/>
    </row>
    <row r="2948" spans="6:6">
      <c r="F2948" s="23"/>
    </row>
    <row r="2949" spans="6:6">
      <c r="F2949" s="23"/>
    </row>
    <row r="2950" spans="6:6">
      <c r="F2950" s="23"/>
    </row>
    <row r="2951" spans="6:6">
      <c r="F2951" s="23"/>
    </row>
    <row r="2952" spans="6:6">
      <c r="F2952" s="23"/>
    </row>
    <row r="2953" spans="6:6">
      <c r="F2953" s="23"/>
    </row>
    <row r="2954" spans="6:6">
      <c r="F2954" s="23"/>
    </row>
    <row r="2955" spans="6:6">
      <c r="F2955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JUN 26</vt:lpstr>
      <vt:lpstr>MAY 26</vt:lpstr>
      <vt:lpstr>ABR 26</vt:lpstr>
      <vt:lpstr>MAR 26</vt:lpstr>
      <vt:lpstr>FEB 26</vt:lpstr>
      <vt:lpstr>ENE 26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</cp:lastModifiedBy>
  <cp:revision/>
  <dcterms:created xsi:type="dcterms:W3CDTF">2026-01-08T22:23:08Z</dcterms:created>
  <dcterms:modified xsi:type="dcterms:W3CDTF">2026-06-22T05:54:19Z</dcterms:modified>
  <cp:category/>
  <cp:contentStatus/>
</cp:coreProperties>
</file>